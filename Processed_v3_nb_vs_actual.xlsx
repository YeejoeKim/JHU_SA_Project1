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esktop\统计分析\Module 2\"/>
    </mc:Choice>
  </mc:AlternateContent>
  <xr:revisionPtr revIDLastSave="0" documentId="13_ncr:1_{6E1FBB56-98B3-4C4B-B0C8-66F5494D80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0" sheetId="1" r:id="rId1"/>
    <sheet name="2019" sheetId="8" r:id="rId2"/>
    <sheet name="2018" sheetId="7" r:id="rId3"/>
    <sheet name="2017" sheetId="6" r:id="rId4"/>
    <sheet name="2016" sheetId="5" r:id="rId5"/>
    <sheet name="2015" sheetId="4" r:id="rId6"/>
    <sheet name="NB_p" sheetId="11" r:id="rId7"/>
    <sheet name="NB_r" sheetId="9" r:id="rId8"/>
    <sheet name="Mean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0" l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O30" i="4"/>
  <c r="O29" i="4"/>
  <c r="O28" i="4"/>
  <c r="O27" i="4"/>
  <c r="O26" i="4"/>
  <c r="O25" i="4"/>
  <c r="O24" i="4"/>
  <c r="O23" i="4"/>
  <c r="O22" i="4"/>
  <c r="O21" i="4"/>
  <c r="M30" i="4"/>
  <c r="M29" i="4"/>
  <c r="M28" i="4"/>
  <c r="M27" i="4"/>
  <c r="M26" i="4"/>
  <c r="M25" i="4"/>
  <c r="M24" i="4"/>
  <c r="M23" i="4"/>
  <c r="M22" i="4"/>
  <c r="M21" i="4"/>
  <c r="K30" i="4"/>
  <c r="K29" i="4"/>
  <c r="K28" i="4"/>
  <c r="K27" i="4"/>
  <c r="K26" i="4"/>
  <c r="K25" i="4"/>
  <c r="K24" i="4"/>
  <c r="K23" i="4"/>
  <c r="K22" i="4"/>
  <c r="K21" i="4"/>
  <c r="I30" i="4"/>
  <c r="I29" i="4"/>
  <c r="I28" i="4"/>
  <c r="I27" i="4"/>
  <c r="I26" i="4"/>
  <c r="I25" i="4"/>
  <c r="I24" i="4"/>
  <c r="I23" i="4"/>
  <c r="I22" i="4"/>
  <c r="I21" i="4"/>
  <c r="G30" i="4"/>
  <c r="G29" i="4"/>
  <c r="G28" i="4"/>
  <c r="G27" i="4"/>
  <c r="G26" i="4"/>
  <c r="G25" i="4"/>
  <c r="G24" i="4"/>
  <c r="G23" i="4"/>
  <c r="G22" i="4"/>
  <c r="G21" i="4"/>
  <c r="E30" i="4"/>
  <c r="E29" i="4"/>
  <c r="E28" i="4"/>
  <c r="E27" i="4"/>
  <c r="E26" i="4"/>
  <c r="E25" i="4"/>
  <c r="E24" i="4"/>
  <c r="E23" i="4"/>
  <c r="E22" i="4"/>
  <c r="E21" i="4"/>
  <c r="C22" i="4"/>
  <c r="C23" i="4"/>
  <c r="C24" i="4"/>
  <c r="C25" i="4"/>
  <c r="C26" i="4"/>
  <c r="C27" i="4"/>
  <c r="C28" i="4"/>
  <c r="C29" i="4"/>
  <c r="C30" i="4"/>
  <c r="C21" i="4"/>
  <c r="N30" i="4"/>
  <c r="N29" i="4"/>
  <c r="N28" i="4"/>
  <c r="N27" i="4"/>
  <c r="N26" i="4"/>
  <c r="N25" i="4"/>
  <c r="N24" i="4"/>
  <c r="N23" i="4"/>
  <c r="N22" i="4"/>
  <c r="N21" i="4"/>
  <c r="L30" i="4"/>
  <c r="L29" i="4"/>
  <c r="L28" i="4"/>
  <c r="L27" i="4"/>
  <c r="L26" i="4"/>
  <c r="L25" i="4"/>
  <c r="L24" i="4"/>
  <c r="L23" i="4"/>
  <c r="L22" i="4"/>
  <c r="L21" i="4"/>
  <c r="J30" i="4"/>
  <c r="J29" i="4"/>
  <c r="J28" i="4"/>
  <c r="J27" i="4"/>
  <c r="J26" i="4"/>
  <c r="J25" i="4"/>
  <c r="J24" i="4"/>
  <c r="J23" i="4"/>
  <c r="J22" i="4"/>
  <c r="J21" i="4"/>
  <c r="H30" i="4"/>
  <c r="H29" i="4"/>
  <c r="H28" i="4"/>
  <c r="H27" i="4"/>
  <c r="H26" i="4"/>
  <c r="H25" i="4"/>
  <c r="H24" i="4"/>
  <c r="H23" i="4"/>
  <c r="H22" i="4"/>
  <c r="H21" i="4"/>
  <c r="F30" i="4"/>
  <c r="F29" i="4"/>
  <c r="F28" i="4"/>
  <c r="F27" i="4"/>
  <c r="F26" i="4"/>
  <c r="F25" i="4"/>
  <c r="F24" i="4"/>
  <c r="F23" i="4"/>
  <c r="F22" i="4"/>
  <c r="F21" i="4"/>
  <c r="D30" i="4"/>
  <c r="D29" i="4"/>
  <c r="D28" i="4"/>
  <c r="D27" i="4"/>
  <c r="D26" i="4"/>
  <c r="D25" i="4"/>
  <c r="D24" i="4"/>
  <c r="D23" i="4"/>
  <c r="D22" i="4"/>
  <c r="D21" i="4"/>
  <c r="B22" i="4"/>
  <c r="B23" i="4"/>
  <c r="B24" i="4"/>
  <c r="B25" i="4"/>
  <c r="B26" i="4"/>
  <c r="B27" i="4"/>
  <c r="B28" i="4"/>
  <c r="B29" i="4"/>
  <c r="B30" i="4"/>
  <c r="B21" i="4"/>
  <c r="M18" i="4"/>
  <c r="M17" i="4"/>
  <c r="M16" i="4"/>
  <c r="M15" i="4"/>
  <c r="M14" i="4"/>
  <c r="M13" i="4"/>
  <c r="K18" i="4"/>
  <c r="K17" i="4"/>
  <c r="K16" i="4"/>
  <c r="K15" i="4"/>
  <c r="K14" i="4"/>
  <c r="K13" i="4"/>
  <c r="I18" i="4"/>
  <c r="I17" i="4"/>
  <c r="I16" i="4"/>
  <c r="I15" i="4"/>
  <c r="I14" i="4"/>
  <c r="I13" i="4"/>
  <c r="G18" i="4"/>
  <c r="G17" i="4"/>
  <c r="G16" i="4"/>
  <c r="G15" i="4"/>
  <c r="G14" i="4"/>
  <c r="G13" i="4"/>
  <c r="E18" i="4"/>
  <c r="E17" i="4"/>
  <c r="E16" i="4"/>
  <c r="E15" i="4"/>
  <c r="E14" i="4"/>
  <c r="E13" i="4"/>
  <c r="C14" i="4"/>
  <c r="C15" i="4"/>
  <c r="C16" i="4"/>
  <c r="C17" i="4"/>
  <c r="C18" i="4"/>
  <c r="C13" i="4"/>
  <c r="L18" i="4"/>
  <c r="L17" i="4"/>
  <c r="L16" i="4"/>
  <c r="L15" i="4"/>
  <c r="L14" i="4"/>
  <c r="L13" i="4"/>
  <c r="J18" i="4"/>
  <c r="J17" i="4"/>
  <c r="J16" i="4"/>
  <c r="J15" i="4"/>
  <c r="J14" i="4"/>
  <c r="J13" i="4"/>
  <c r="H18" i="4"/>
  <c r="H17" i="4"/>
  <c r="H16" i="4"/>
  <c r="H15" i="4"/>
  <c r="H14" i="4"/>
  <c r="H13" i="4"/>
  <c r="F18" i="4"/>
  <c r="F17" i="4"/>
  <c r="F16" i="4"/>
  <c r="F15" i="4"/>
  <c r="F14" i="4"/>
  <c r="F13" i="4"/>
  <c r="D18" i="4"/>
  <c r="D17" i="4"/>
  <c r="D16" i="4"/>
  <c r="D15" i="4"/>
  <c r="D14" i="4"/>
  <c r="D13" i="4"/>
  <c r="B14" i="4"/>
  <c r="B15" i="4"/>
  <c r="B16" i="4"/>
  <c r="B17" i="4"/>
  <c r="B18" i="4"/>
  <c r="B13" i="4"/>
  <c r="K10" i="4"/>
  <c r="K9" i="4"/>
  <c r="K8" i="4"/>
  <c r="K7" i="4"/>
  <c r="K6" i="4"/>
  <c r="K5" i="4"/>
  <c r="K4" i="4"/>
  <c r="K3" i="4"/>
  <c r="I10" i="4"/>
  <c r="I9" i="4"/>
  <c r="I8" i="4"/>
  <c r="I7" i="4"/>
  <c r="I6" i="4"/>
  <c r="I5" i="4"/>
  <c r="I4" i="4"/>
  <c r="I3" i="4"/>
  <c r="G10" i="4"/>
  <c r="G9" i="4"/>
  <c r="G8" i="4"/>
  <c r="G7" i="4"/>
  <c r="G6" i="4"/>
  <c r="G5" i="4"/>
  <c r="G4" i="4"/>
  <c r="G3" i="4"/>
  <c r="E10" i="4"/>
  <c r="E9" i="4"/>
  <c r="E8" i="4"/>
  <c r="E7" i="4"/>
  <c r="E6" i="4"/>
  <c r="E5" i="4"/>
  <c r="E4" i="4"/>
  <c r="E3" i="4"/>
  <c r="C4" i="4"/>
  <c r="C5" i="4"/>
  <c r="C6" i="4"/>
  <c r="C7" i="4"/>
  <c r="C8" i="4"/>
  <c r="C9" i="4"/>
  <c r="C10" i="4"/>
  <c r="C3" i="4"/>
  <c r="J10" i="4"/>
  <c r="J9" i="4"/>
  <c r="J8" i="4"/>
  <c r="J7" i="4"/>
  <c r="J6" i="4"/>
  <c r="J5" i="4"/>
  <c r="J4" i="4"/>
  <c r="J3" i="4"/>
  <c r="H10" i="4"/>
  <c r="H9" i="4"/>
  <c r="H8" i="4"/>
  <c r="H7" i="4"/>
  <c r="H6" i="4"/>
  <c r="H5" i="4"/>
  <c r="H4" i="4"/>
  <c r="H3" i="4"/>
  <c r="F10" i="4"/>
  <c r="F9" i="4"/>
  <c r="F8" i="4"/>
  <c r="F7" i="4"/>
  <c r="F6" i="4"/>
  <c r="F5" i="4"/>
  <c r="F4" i="4"/>
  <c r="F3" i="4"/>
  <c r="D10" i="4"/>
  <c r="D9" i="4"/>
  <c r="D8" i="4"/>
  <c r="D7" i="4"/>
  <c r="D6" i="4"/>
  <c r="D5" i="4"/>
  <c r="D4" i="4"/>
  <c r="D3" i="4"/>
  <c r="B4" i="4"/>
  <c r="B5" i="4"/>
  <c r="B6" i="4"/>
  <c r="B7" i="4"/>
  <c r="B8" i="4"/>
  <c r="B9" i="4"/>
  <c r="B10" i="4"/>
  <c r="B3" i="4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M18" i="5"/>
  <c r="L18" i="5"/>
  <c r="K18" i="5"/>
  <c r="J18" i="5"/>
  <c r="I18" i="5"/>
  <c r="H18" i="5"/>
  <c r="G18" i="5"/>
  <c r="F18" i="5"/>
  <c r="E18" i="5"/>
  <c r="D18" i="5"/>
  <c r="C18" i="5"/>
  <c r="B18" i="5"/>
  <c r="M17" i="5"/>
  <c r="L17" i="5"/>
  <c r="K17" i="5"/>
  <c r="J17" i="5"/>
  <c r="I17" i="5"/>
  <c r="H17" i="5"/>
  <c r="G17" i="5"/>
  <c r="F17" i="5"/>
  <c r="E17" i="5"/>
  <c r="D17" i="5"/>
  <c r="C17" i="5"/>
  <c r="B17" i="5"/>
  <c r="M16" i="5"/>
  <c r="L16" i="5"/>
  <c r="K16" i="5"/>
  <c r="J16" i="5"/>
  <c r="I16" i="5"/>
  <c r="H16" i="5"/>
  <c r="G16" i="5"/>
  <c r="F16" i="5"/>
  <c r="E16" i="5"/>
  <c r="D16" i="5"/>
  <c r="C16" i="5"/>
  <c r="B16" i="5"/>
  <c r="M15" i="5"/>
  <c r="L15" i="5"/>
  <c r="K15" i="5"/>
  <c r="J15" i="5"/>
  <c r="I15" i="5"/>
  <c r="H15" i="5"/>
  <c r="G15" i="5"/>
  <c r="F15" i="5"/>
  <c r="E15" i="5"/>
  <c r="D15" i="5"/>
  <c r="C15" i="5"/>
  <c r="B15" i="5"/>
  <c r="M14" i="5"/>
  <c r="L14" i="5"/>
  <c r="K14" i="5"/>
  <c r="J14" i="5"/>
  <c r="I14" i="5"/>
  <c r="H14" i="5"/>
  <c r="G14" i="5"/>
  <c r="F14" i="5"/>
  <c r="E14" i="5"/>
  <c r="D14" i="5"/>
  <c r="C14" i="5"/>
  <c r="B14" i="5"/>
  <c r="M13" i="5"/>
  <c r="L13" i="5"/>
  <c r="K13" i="5"/>
  <c r="J13" i="5"/>
  <c r="I13" i="5"/>
  <c r="H13" i="5"/>
  <c r="G13" i="5"/>
  <c r="F13" i="5"/>
  <c r="E13" i="5"/>
  <c r="D13" i="5"/>
  <c r="C13" i="5"/>
  <c r="B13" i="5"/>
  <c r="K10" i="5"/>
  <c r="J10" i="5"/>
  <c r="I10" i="5"/>
  <c r="H10" i="5"/>
  <c r="G10" i="5"/>
  <c r="F10" i="5"/>
  <c r="E10" i="5"/>
  <c r="D10" i="5"/>
  <c r="C10" i="5"/>
  <c r="B10" i="5"/>
  <c r="K9" i="5"/>
  <c r="J9" i="5"/>
  <c r="I9" i="5"/>
  <c r="H9" i="5"/>
  <c r="G9" i="5"/>
  <c r="F9" i="5"/>
  <c r="E9" i="5"/>
  <c r="D9" i="5"/>
  <c r="C9" i="5"/>
  <c r="B9" i="5"/>
  <c r="K8" i="5"/>
  <c r="J8" i="5"/>
  <c r="I8" i="5"/>
  <c r="H8" i="5"/>
  <c r="G8" i="5"/>
  <c r="F8" i="5"/>
  <c r="E8" i="5"/>
  <c r="D8" i="5"/>
  <c r="C8" i="5"/>
  <c r="B8" i="5"/>
  <c r="K7" i="5"/>
  <c r="J7" i="5"/>
  <c r="I7" i="5"/>
  <c r="H7" i="5"/>
  <c r="G7" i="5"/>
  <c r="F7" i="5"/>
  <c r="E7" i="5"/>
  <c r="D7" i="5"/>
  <c r="C7" i="5"/>
  <c r="B7" i="5"/>
  <c r="K6" i="5"/>
  <c r="J6" i="5"/>
  <c r="I6" i="5"/>
  <c r="H6" i="5"/>
  <c r="G6" i="5"/>
  <c r="F6" i="5"/>
  <c r="E6" i="5"/>
  <c r="D6" i="5"/>
  <c r="C6" i="5"/>
  <c r="B6" i="5"/>
  <c r="K5" i="5"/>
  <c r="J5" i="5"/>
  <c r="I5" i="5"/>
  <c r="H5" i="5"/>
  <c r="G5" i="5"/>
  <c r="F5" i="5"/>
  <c r="E5" i="5"/>
  <c r="D5" i="5"/>
  <c r="C5" i="5"/>
  <c r="B5" i="5"/>
  <c r="K4" i="5"/>
  <c r="J4" i="5"/>
  <c r="I4" i="5"/>
  <c r="H4" i="5"/>
  <c r="G4" i="5"/>
  <c r="F4" i="5"/>
  <c r="E4" i="5"/>
  <c r="D4" i="5"/>
  <c r="C4" i="5"/>
  <c r="B4" i="5"/>
  <c r="K3" i="5"/>
  <c r="J3" i="5"/>
  <c r="I3" i="5"/>
  <c r="H3" i="5"/>
  <c r="G3" i="5"/>
  <c r="F3" i="5"/>
  <c r="E3" i="5"/>
  <c r="D3" i="5"/>
  <c r="C3" i="5"/>
  <c r="B3" i="5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M18" i="6"/>
  <c r="L18" i="6"/>
  <c r="K18" i="6"/>
  <c r="J18" i="6"/>
  <c r="I18" i="6"/>
  <c r="H18" i="6"/>
  <c r="G18" i="6"/>
  <c r="F18" i="6"/>
  <c r="E18" i="6"/>
  <c r="D18" i="6"/>
  <c r="C18" i="6"/>
  <c r="B18" i="6"/>
  <c r="M17" i="6"/>
  <c r="L17" i="6"/>
  <c r="K17" i="6"/>
  <c r="J17" i="6"/>
  <c r="I17" i="6"/>
  <c r="H17" i="6"/>
  <c r="G17" i="6"/>
  <c r="F17" i="6"/>
  <c r="E17" i="6"/>
  <c r="D17" i="6"/>
  <c r="C17" i="6"/>
  <c r="B17" i="6"/>
  <c r="M16" i="6"/>
  <c r="L16" i="6"/>
  <c r="K16" i="6"/>
  <c r="J16" i="6"/>
  <c r="I16" i="6"/>
  <c r="H16" i="6"/>
  <c r="G16" i="6"/>
  <c r="F16" i="6"/>
  <c r="E16" i="6"/>
  <c r="D16" i="6"/>
  <c r="C16" i="6"/>
  <c r="B16" i="6"/>
  <c r="M15" i="6"/>
  <c r="L15" i="6"/>
  <c r="K15" i="6"/>
  <c r="J15" i="6"/>
  <c r="I15" i="6"/>
  <c r="H15" i="6"/>
  <c r="G15" i="6"/>
  <c r="F15" i="6"/>
  <c r="E15" i="6"/>
  <c r="D15" i="6"/>
  <c r="C15" i="6"/>
  <c r="B15" i="6"/>
  <c r="M14" i="6"/>
  <c r="L14" i="6"/>
  <c r="K14" i="6"/>
  <c r="J14" i="6"/>
  <c r="I14" i="6"/>
  <c r="H14" i="6"/>
  <c r="G14" i="6"/>
  <c r="F14" i="6"/>
  <c r="E14" i="6"/>
  <c r="D14" i="6"/>
  <c r="C14" i="6"/>
  <c r="B14" i="6"/>
  <c r="M13" i="6"/>
  <c r="L13" i="6"/>
  <c r="K13" i="6"/>
  <c r="J13" i="6"/>
  <c r="I13" i="6"/>
  <c r="H13" i="6"/>
  <c r="G13" i="6"/>
  <c r="F13" i="6"/>
  <c r="E13" i="6"/>
  <c r="D13" i="6"/>
  <c r="C13" i="6"/>
  <c r="B13" i="6"/>
  <c r="K10" i="6"/>
  <c r="J10" i="6"/>
  <c r="I10" i="6"/>
  <c r="H10" i="6"/>
  <c r="G10" i="6"/>
  <c r="F10" i="6"/>
  <c r="E10" i="6"/>
  <c r="D10" i="6"/>
  <c r="C10" i="6"/>
  <c r="B10" i="6"/>
  <c r="K9" i="6"/>
  <c r="J9" i="6"/>
  <c r="I9" i="6"/>
  <c r="H9" i="6"/>
  <c r="G9" i="6"/>
  <c r="F9" i="6"/>
  <c r="E9" i="6"/>
  <c r="D9" i="6"/>
  <c r="C9" i="6"/>
  <c r="B9" i="6"/>
  <c r="K8" i="6"/>
  <c r="J8" i="6"/>
  <c r="I8" i="6"/>
  <c r="H8" i="6"/>
  <c r="G8" i="6"/>
  <c r="F8" i="6"/>
  <c r="E8" i="6"/>
  <c r="D8" i="6"/>
  <c r="C8" i="6"/>
  <c r="B8" i="6"/>
  <c r="K7" i="6"/>
  <c r="J7" i="6"/>
  <c r="I7" i="6"/>
  <c r="H7" i="6"/>
  <c r="G7" i="6"/>
  <c r="F7" i="6"/>
  <c r="E7" i="6"/>
  <c r="D7" i="6"/>
  <c r="C7" i="6"/>
  <c r="B7" i="6"/>
  <c r="K6" i="6"/>
  <c r="J6" i="6"/>
  <c r="I6" i="6"/>
  <c r="H6" i="6"/>
  <c r="G6" i="6"/>
  <c r="F6" i="6"/>
  <c r="E6" i="6"/>
  <c r="D6" i="6"/>
  <c r="C6" i="6"/>
  <c r="B6" i="6"/>
  <c r="K5" i="6"/>
  <c r="J5" i="6"/>
  <c r="I5" i="6"/>
  <c r="H5" i="6"/>
  <c r="G5" i="6"/>
  <c r="F5" i="6"/>
  <c r="E5" i="6"/>
  <c r="D5" i="6"/>
  <c r="C5" i="6"/>
  <c r="B5" i="6"/>
  <c r="K4" i="6"/>
  <c r="J4" i="6"/>
  <c r="I4" i="6"/>
  <c r="H4" i="6"/>
  <c r="G4" i="6"/>
  <c r="F4" i="6"/>
  <c r="E4" i="6"/>
  <c r="D4" i="6"/>
  <c r="C4" i="6"/>
  <c r="B4" i="6"/>
  <c r="K3" i="6"/>
  <c r="J3" i="6"/>
  <c r="I3" i="6"/>
  <c r="H3" i="6"/>
  <c r="G3" i="6"/>
  <c r="F3" i="6"/>
  <c r="E3" i="6"/>
  <c r="D3" i="6"/>
  <c r="C3" i="6"/>
  <c r="B3" i="6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M18" i="7"/>
  <c r="L18" i="7"/>
  <c r="K18" i="7"/>
  <c r="J18" i="7"/>
  <c r="I18" i="7"/>
  <c r="H18" i="7"/>
  <c r="G18" i="7"/>
  <c r="F18" i="7"/>
  <c r="E18" i="7"/>
  <c r="D18" i="7"/>
  <c r="C18" i="7"/>
  <c r="B18" i="7"/>
  <c r="M17" i="7"/>
  <c r="L17" i="7"/>
  <c r="K17" i="7"/>
  <c r="J17" i="7"/>
  <c r="I17" i="7"/>
  <c r="H17" i="7"/>
  <c r="G17" i="7"/>
  <c r="F17" i="7"/>
  <c r="E17" i="7"/>
  <c r="D17" i="7"/>
  <c r="C17" i="7"/>
  <c r="B17" i="7"/>
  <c r="M16" i="7"/>
  <c r="L16" i="7"/>
  <c r="K16" i="7"/>
  <c r="J16" i="7"/>
  <c r="I16" i="7"/>
  <c r="H16" i="7"/>
  <c r="G16" i="7"/>
  <c r="F16" i="7"/>
  <c r="E16" i="7"/>
  <c r="D16" i="7"/>
  <c r="C16" i="7"/>
  <c r="B16" i="7"/>
  <c r="M15" i="7"/>
  <c r="L15" i="7"/>
  <c r="K15" i="7"/>
  <c r="J15" i="7"/>
  <c r="I15" i="7"/>
  <c r="H15" i="7"/>
  <c r="G15" i="7"/>
  <c r="F15" i="7"/>
  <c r="E15" i="7"/>
  <c r="D15" i="7"/>
  <c r="C15" i="7"/>
  <c r="B15" i="7"/>
  <c r="M14" i="7"/>
  <c r="L14" i="7"/>
  <c r="K14" i="7"/>
  <c r="J14" i="7"/>
  <c r="I14" i="7"/>
  <c r="H14" i="7"/>
  <c r="G14" i="7"/>
  <c r="F14" i="7"/>
  <c r="E14" i="7"/>
  <c r="D14" i="7"/>
  <c r="C14" i="7"/>
  <c r="B14" i="7"/>
  <c r="M13" i="7"/>
  <c r="L13" i="7"/>
  <c r="K13" i="7"/>
  <c r="J13" i="7"/>
  <c r="I13" i="7"/>
  <c r="H13" i="7"/>
  <c r="G13" i="7"/>
  <c r="F13" i="7"/>
  <c r="E13" i="7"/>
  <c r="D13" i="7"/>
  <c r="C13" i="7"/>
  <c r="B13" i="7"/>
  <c r="K10" i="7"/>
  <c r="J10" i="7"/>
  <c r="I10" i="7"/>
  <c r="H10" i="7"/>
  <c r="G10" i="7"/>
  <c r="F10" i="7"/>
  <c r="E10" i="7"/>
  <c r="D10" i="7"/>
  <c r="C10" i="7"/>
  <c r="B10" i="7"/>
  <c r="K9" i="7"/>
  <c r="J9" i="7"/>
  <c r="I9" i="7"/>
  <c r="H9" i="7"/>
  <c r="G9" i="7"/>
  <c r="F9" i="7"/>
  <c r="E9" i="7"/>
  <c r="D9" i="7"/>
  <c r="C9" i="7"/>
  <c r="B9" i="7"/>
  <c r="K8" i="7"/>
  <c r="J8" i="7"/>
  <c r="I8" i="7"/>
  <c r="H8" i="7"/>
  <c r="G8" i="7"/>
  <c r="F8" i="7"/>
  <c r="E8" i="7"/>
  <c r="D8" i="7"/>
  <c r="C8" i="7"/>
  <c r="B8" i="7"/>
  <c r="K7" i="7"/>
  <c r="J7" i="7"/>
  <c r="I7" i="7"/>
  <c r="H7" i="7"/>
  <c r="G7" i="7"/>
  <c r="F7" i="7"/>
  <c r="E7" i="7"/>
  <c r="D7" i="7"/>
  <c r="C7" i="7"/>
  <c r="B7" i="7"/>
  <c r="K6" i="7"/>
  <c r="J6" i="7"/>
  <c r="I6" i="7"/>
  <c r="H6" i="7"/>
  <c r="G6" i="7"/>
  <c r="F6" i="7"/>
  <c r="E6" i="7"/>
  <c r="D6" i="7"/>
  <c r="C6" i="7"/>
  <c r="B6" i="7"/>
  <c r="K5" i="7"/>
  <c r="J5" i="7"/>
  <c r="I5" i="7"/>
  <c r="H5" i="7"/>
  <c r="G5" i="7"/>
  <c r="F5" i="7"/>
  <c r="E5" i="7"/>
  <c r="D5" i="7"/>
  <c r="C5" i="7"/>
  <c r="B5" i="7"/>
  <c r="K4" i="7"/>
  <c r="J4" i="7"/>
  <c r="I4" i="7"/>
  <c r="H4" i="7"/>
  <c r="G4" i="7"/>
  <c r="F4" i="7"/>
  <c r="E4" i="7"/>
  <c r="D4" i="7"/>
  <c r="C4" i="7"/>
  <c r="B4" i="7"/>
  <c r="K3" i="7"/>
  <c r="J3" i="7"/>
  <c r="I3" i="7"/>
  <c r="H3" i="7"/>
  <c r="G3" i="7"/>
  <c r="F3" i="7"/>
  <c r="E3" i="7"/>
  <c r="D3" i="7"/>
  <c r="C3" i="7"/>
  <c r="B3" i="7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M18" i="8"/>
  <c r="L18" i="8"/>
  <c r="K18" i="8"/>
  <c r="J18" i="8"/>
  <c r="I18" i="8"/>
  <c r="H18" i="8"/>
  <c r="G18" i="8"/>
  <c r="F18" i="8"/>
  <c r="E18" i="8"/>
  <c r="D18" i="8"/>
  <c r="C18" i="8"/>
  <c r="B18" i="8"/>
  <c r="M17" i="8"/>
  <c r="L17" i="8"/>
  <c r="K17" i="8"/>
  <c r="J17" i="8"/>
  <c r="I17" i="8"/>
  <c r="H17" i="8"/>
  <c r="G17" i="8"/>
  <c r="F17" i="8"/>
  <c r="E17" i="8"/>
  <c r="D17" i="8"/>
  <c r="C17" i="8"/>
  <c r="B17" i="8"/>
  <c r="M16" i="8"/>
  <c r="L16" i="8"/>
  <c r="K16" i="8"/>
  <c r="J16" i="8"/>
  <c r="I16" i="8"/>
  <c r="H16" i="8"/>
  <c r="G16" i="8"/>
  <c r="F16" i="8"/>
  <c r="E16" i="8"/>
  <c r="D16" i="8"/>
  <c r="C16" i="8"/>
  <c r="B16" i="8"/>
  <c r="M15" i="8"/>
  <c r="L15" i="8"/>
  <c r="K15" i="8"/>
  <c r="J15" i="8"/>
  <c r="I15" i="8"/>
  <c r="H15" i="8"/>
  <c r="G15" i="8"/>
  <c r="F15" i="8"/>
  <c r="E15" i="8"/>
  <c r="D15" i="8"/>
  <c r="C15" i="8"/>
  <c r="B15" i="8"/>
  <c r="M14" i="8"/>
  <c r="L14" i="8"/>
  <c r="K14" i="8"/>
  <c r="J14" i="8"/>
  <c r="I14" i="8"/>
  <c r="H14" i="8"/>
  <c r="G14" i="8"/>
  <c r="F14" i="8"/>
  <c r="E14" i="8"/>
  <c r="D14" i="8"/>
  <c r="C14" i="8"/>
  <c r="B14" i="8"/>
  <c r="M13" i="8"/>
  <c r="L13" i="8"/>
  <c r="K13" i="8"/>
  <c r="J13" i="8"/>
  <c r="I13" i="8"/>
  <c r="H13" i="8"/>
  <c r="G13" i="8"/>
  <c r="F13" i="8"/>
  <c r="E13" i="8"/>
  <c r="D13" i="8"/>
  <c r="C13" i="8"/>
  <c r="B13" i="8"/>
  <c r="K10" i="8"/>
  <c r="J10" i="8"/>
  <c r="I10" i="8"/>
  <c r="H10" i="8"/>
  <c r="G10" i="8"/>
  <c r="F10" i="8"/>
  <c r="E10" i="8"/>
  <c r="D10" i="8"/>
  <c r="C10" i="8"/>
  <c r="B10" i="8"/>
  <c r="K9" i="8"/>
  <c r="J9" i="8"/>
  <c r="I9" i="8"/>
  <c r="H9" i="8"/>
  <c r="G9" i="8"/>
  <c r="F9" i="8"/>
  <c r="E9" i="8"/>
  <c r="D9" i="8"/>
  <c r="C9" i="8"/>
  <c r="B9" i="8"/>
  <c r="K8" i="8"/>
  <c r="J8" i="8"/>
  <c r="I8" i="8"/>
  <c r="H8" i="8"/>
  <c r="G8" i="8"/>
  <c r="F8" i="8"/>
  <c r="E8" i="8"/>
  <c r="D8" i="8"/>
  <c r="C8" i="8"/>
  <c r="B8" i="8"/>
  <c r="K7" i="8"/>
  <c r="J7" i="8"/>
  <c r="I7" i="8"/>
  <c r="H7" i="8"/>
  <c r="G7" i="8"/>
  <c r="F7" i="8"/>
  <c r="E7" i="8"/>
  <c r="D7" i="8"/>
  <c r="C7" i="8"/>
  <c r="B7" i="8"/>
  <c r="K6" i="8"/>
  <c r="J6" i="8"/>
  <c r="I6" i="8"/>
  <c r="H6" i="8"/>
  <c r="G6" i="8"/>
  <c r="F6" i="8"/>
  <c r="E6" i="8"/>
  <c r="D6" i="8"/>
  <c r="C6" i="8"/>
  <c r="B6" i="8"/>
  <c r="K5" i="8"/>
  <c r="J5" i="8"/>
  <c r="I5" i="8"/>
  <c r="H5" i="8"/>
  <c r="G5" i="8"/>
  <c r="F5" i="8"/>
  <c r="E5" i="8"/>
  <c r="D5" i="8"/>
  <c r="C5" i="8"/>
  <c r="B5" i="8"/>
  <c r="K4" i="8"/>
  <c r="J4" i="8"/>
  <c r="I4" i="8"/>
  <c r="H4" i="8"/>
  <c r="G4" i="8"/>
  <c r="F4" i="8"/>
  <c r="E4" i="8"/>
  <c r="D4" i="8"/>
  <c r="C4" i="8"/>
  <c r="B4" i="8"/>
  <c r="K3" i="8"/>
  <c r="J3" i="8"/>
  <c r="I3" i="8"/>
  <c r="H3" i="8"/>
  <c r="G3" i="8"/>
  <c r="F3" i="8"/>
  <c r="E3" i="8"/>
  <c r="D3" i="8"/>
  <c r="C3" i="8"/>
  <c r="B3" i="8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M18" i="1"/>
  <c r="L18" i="1"/>
  <c r="K18" i="1"/>
  <c r="J18" i="1"/>
  <c r="I18" i="1"/>
  <c r="H18" i="1"/>
  <c r="G18" i="1"/>
  <c r="F18" i="1"/>
  <c r="E18" i="1"/>
  <c r="D18" i="1"/>
  <c r="C18" i="1"/>
  <c r="B18" i="1"/>
  <c r="M17" i="1"/>
  <c r="L17" i="1"/>
  <c r="K17" i="1"/>
  <c r="J17" i="1"/>
  <c r="I17" i="1"/>
  <c r="H17" i="1"/>
  <c r="G17" i="1"/>
  <c r="F17" i="1"/>
  <c r="E17" i="1"/>
  <c r="D17" i="1"/>
  <c r="C17" i="1"/>
  <c r="B17" i="1"/>
  <c r="M16" i="1"/>
  <c r="L16" i="1"/>
  <c r="K16" i="1"/>
  <c r="J16" i="1"/>
  <c r="I16" i="1"/>
  <c r="H16" i="1"/>
  <c r="G16" i="1"/>
  <c r="F16" i="1"/>
  <c r="E16" i="1"/>
  <c r="D16" i="1"/>
  <c r="C16" i="1"/>
  <c r="B16" i="1"/>
  <c r="M15" i="1"/>
  <c r="L15" i="1"/>
  <c r="K15" i="1"/>
  <c r="J15" i="1"/>
  <c r="I15" i="1"/>
  <c r="H15" i="1"/>
  <c r="G15" i="1"/>
  <c r="F15" i="1"/>
  <c r="E15" i="1"/>
  <c r="D15" i="1"/>
  <c r="C15" i="1"/>
  <c r="B15" i="1"/>
  <c r="M14" i="1"/>
  <c r="L14" i="1"/>
  <c r="K14" i="1"/>
  <c r="J14" i="1"/>
  <c r="I14" i="1"/>
  <c r="H14" i="1"/>
  <c r="G14" i="1"/>
  <c r="F14" i="1"/>
  <c r="E14" i="1"/>
  <c r="D14" i="1"/>
  <c r="C14" i="1"/>
  <c r="B14" i="1"/>
  <c r="M13" i="1"/>
  <c r="L13" i="1"/>
  <c r="K13" i="1"/>
  <c r="J13" i="1"/>
  <c r="I13" i="1"/>
  <c r="H13" i="1"/>
  <c r="G13" i="1"/>
  <c r="F13" i="1"/>
  <c r="E13" i="1"/>
  <c r="D13" i="1"/>
  <c r="C13" i="1"/>
  <c r="B13" i="1"/>
  <c r="K10" i="1"/>
  <c r="J10" i="1"/>
  <c r="I10" i="1"/>
  <c r="H10" i="1"/>
  <c r="G10" i="1"/>
  <c r="F10" i="1"/>
  <c r="E10" i="1"/>
  <c r="D10" i="1"/>
  <c r="C10" i="1"/>
  <c r="B10" i="1"/>
  <c r="K9" i="1"/>
  <c r="J9" i="1"/>
  <c r="I9" i="1"/>
  <c r="H9" i="1"/>
  <c r="G9" i="1"/>
  <c r="F9" i="1"/>
  <c r="E9" i="1"/>
  <c r="D9" i="1"/>
  <c r="C9" i="1"/>
  <c r="B9" i="1"/>
  <c r="K8" i="1"/>
  <c r="J8" i="1"/>
  <c r="I8" i="1"/>
  <c r="H8" i="1"/>
  <c r="G8" i="1"/>
  <c r="F8" i="1"/>
  <c r="E8" i="1"/>
  <c r="D8" i="1"/>
  <c r="C8" i="1"/>
  <c r="B8" i="1"/>
  <c r="K7" i="1"/>
  <c r="J7" i="1"/>
  <c r="I7" i="1"/>
  <c r="H7" i="1"/>
  <c r="G7" i="1"/>
  <c r="F7" i="1"/>
  <c r="E7" i="1"/>
  <c r="D7" i="1"/>
  <c r="C7" i="1"/>
  <c r="B7" i="1"/>
  <c r="K6" i="1"/>
  <c r="J6" i="1"/>
  <c r="I6" i="1"/>
  <c r="H6" i="1"/>
  <c r="G6" i="1"/>
  <c r="F6" i="1"/>
  <c r="E6" i="1"/>
  <c r="D6" i="1"/>
  <c r="C6" i="1"/>
  <c r="B6" i="1"/>
  <c r="K5" i="1"/>
  <c r="J5" i="1"/>
  <c r="I5" i="1"/>
  <c r="H5" i="1"/>
  <c r="G5" i="1"/>
  <c r="F5" i="1"/>
  <c r="E5" i="1"/>
  <c r="D5" i="1"/>
  <c r="C5" i="1"/>
  <c r="B5" i="1"/>
  <c r="K4" i="1"/>
  <c r="J4" i="1"/>
  <c r="I4" i="1"/>
  <c r="H4" i="1"/>
  <c r="G4" i="1"/>
  <c r="F4" i="1"/>
  <c r="E4" i="1"/>
  <c r="D4" i="1"/>
  <c r="C4" i="1"/>
  <c r="B4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<sst xmlns="http://schemas.openxmlformats.org/spreadsheetml/2006/main" count="253" uniqueCount="39">
  <si>
    <t>Hours</t>
  </si>
  <si>
    <t>Day_average_2015</t>
  </si>
  <si>
    <t>Day_average_2016</t>
  </si>
  <si>
    <t>Day_average_2017</t>
  </si>
  <si>
    <t>Day_average_2018</t>
  </si>
  <si>
    <t>Day_average_2019</t>
  </si>
  <si>
    <t>Day_average_2020</t>
  </si>
  <si>
    <t>Hour</t>
  </si>
  <si>
    <t>NG_P(X≥3)</t>
  </si>
  <si>
    <t>Actual_P(X≥3)</t>
  </si>
  <si>
    <t>NG_P(X≥6)</t>
  </si>
  <si>
    <t>Actual_P(X≥6)</t>
  </si>
  <si>
    <t>NG_P(X≥9)</t>
  </si>
  <si>
    <t>Actual_P(X≥9)</t>
  </si>
  <si>
    <t>NG_P(X≥12)</t>
  </si>
  <si>
    <t>Actual_P(X≥12)</t>
  </si>
  <si>
    <t>NG_P(X≥15)</t>
  </si>
  <si>
    <t>Actual_P(X≥15)</t>
  </si>
  <si>
    <t>Low_frequency_hour</t>
  </si>
  <si>
    <t>NG_P(X≥5)</t>
  </si>
  <si>
    <t>Actual_P(X≥5)</t>
  </si>
  <si>
    <t>NG_P(X≥10)</t>
  </si>
  <si>
    <t>Actual_P(X≥10)</t>
  </si>
  <si>
    <t>NG_P(X≥20)</t>
  </si>
  <si>
    <t>Actual_P(X≥20)</t>
  </si>
  <si>
    <t>NG_P(X≥25)</t>
  </si>
  <si>
    <t>Actual_P(X≥25)</t>
  </si>
  <si>
    <t>NG_P(X≥30)</t>
  </si>
  <si>
    <t>Actual_P(X≥30)</t>
  </si>
  <si>
    <t>Mid_frequency_hour</t>
  </si>
  <si>
    <t>NG_P(X≥35)</t>
  </si>
  <si>
    <t>Actual_P(X≥35)</t>
  </si>
  <si>
    <t>NG_P(X≥40)</t>
  </si>
  <si>
    <t>Actual_P(X≥40)</t>
  </si>
  <si>
    <t>High_frequency_hour</t>
  </si>
  <si>
    <t>Average</t>
    <phoneticPr fontId="18" type="noConversion"/>
  </si>
  <si>
    <t>Mid_frequency_hour: 10-20</t>
    <phoneticPr fontId="18" type="noConversion"/>
  </si>
  <si>
    <t>High_frequency_hour: 20-30</t>
    <phoneticPr fontId="18" type="noConversion"/>
  </si>
  <si>
    <t>Low_frequency_hour: 0-10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</si>
</sst>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9" x14ac:knownFonts="1">
    <font>
      <sz val="11"/>
      <color theme="1"/>
      <name val="等线"/>
    </font>
    <font>
      <sz val="11"/>
      <color theme="1"/>
      <name val="等线"/>
      <family val="3"/>
      <charset val="134"/>
    </font>
    <font>
      <sz val="18"/>
      <color theme="3"/>
      <name val="等线 Light"/>
      <family val="3"/>
      <charset val="134"/>
    </font>
    <font>
      <b/>
      <sz val="15"/>
      <color theme="3"/>
      <name val="等线"/>
      <family val="3"/>
      <charset val="134"/>
    </font>
    <font>
      <b/>
      <sz val="13"/>
      <color theme="3"/>
      <name val="等线"/>
      <family val="3"/>
      <charset val="134"/>
    </font>
    <font>
      <b/>
      <sz val="11"/>
      <color theme="3"/>
      <name val="等线"/>
      <family val="3"/>
      <charset val="134"/>
    </font>
    <font>
      <sz val="11"/>
      <color rgb="FF006100"/>
      <name val="等线"/>
      <family val="3"/>
      <charset val="134"/>
    </font>
    <font>
      <sz val="11"/>
      <color rgb="FF9C0006"/>
      <name val="等线"/>
      <family val="3"/>
      <charset val="134"/>
    </font>
    <font>
      <sz val="11"/>
      <color rgb="FF9C5700"/>
      <name val="等线"/>
      <family val="3"/>
      <charset val="134"/>
    </font>
    <font>
      <sz val="11"/>
      <color rgb="FF3F3F76"/>
      <name val="等线"/>
      <family val="3"/>
      <charset val="134"/>
    </font>
    <font>
      <b/>
      <sz val="11"/>
      <color rgb="FF3F3F3F"/>
      <name val="等线"/>
      <family val="3"/>
      <charset val="134"/>
    </font>
    <font>
      <b/>
      <sz val="11"/>
      <color rgb="FFFA7D00"/>
      <name val="等线"/>
      <family val="3"/>
      <charset val="134"/>
    </font>
    <font>
      <sz val="11"/>
      <color rgb="FFFA7D00"/>
      <name val="等线"/>
      <family val="3"/>
      <charset val="134"/>
    </font>
    <font>
      <b/>
      <sz val="11"/>
      <color theme="0"/>
      <name val="等线"/>
      <family val="3"/>
      <charset val="134"/>
    </font>
    <font>
      <sz val="11"/>
      <color rgb="FFFF0000"/>
      <name val="等线"/>
      <family val="3"/>
      <charset val="134"/>
    </font>
    <font>
      <i/>
      <sz val="11"/>
      <color rgb="FF7F7F7F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color theme="0"/>
      <name val="等线"/>
      <family val="3"/>
      <charset val="134"/>
    </font>
    <font>
      <sz val="9"/>
      <name val="宋体"/>
      <family val="3"/>
      <charset val="134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  <xf numFmtId="0" fontId="0" fillId="34" borderId="0" xfId="0" applyFill="1">
      <alignment vertical="center"/>
    </xf>
    <xf numFmtId="176" fontId="0" fillId="34" borderId="0" xfId="0" applyNumberFormat="1" applyFill="1">
      <alignment vertical="center"/>
    </xf>
    <xf numFmtId="176" fontId="0" fillId="35" borderId="0" xfId="0" applyNumberFormat="1" applyFill="1">
      <alignment vertical="center"/>
    </xf>
    <xf numFmtId="0" fontId="0" fillId="35" borderId="0" xfId="0" applyFill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0" fontId="0" fillId="0" borderId="0" xfId="42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0" fontId="0" fillId="0" borderId="16" xfId="42" applyNumberFormat="1" applyFont="1" applyBorder="1" applyAlignment="1">
      <alignment horizontal="center" vertical="center"/>
    </xf>
    <xf numFmtId="10" fontId="0" fillId="0" borderId="14" xfId="42" applyNumberFormat="1" applyFont="1" applyBorder="1" applyAlignment="1">
      <alignment horizontal="center" vertical="center"/>
    </xf>
    <xf numFmtId="10" fontId="0" fillId="0" borderId="17" xfId="42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37" borderId="0" xfId="0" applyFont="1" applyFill="1" applyAlignment="1">
      <alignment horizontal="center" vertical="center"/>
    </xf>
    <xf numFmtId="0" fontId="1" fillId="36" borderId="0" xfId="0" applyFont="1" applyFill="1" applyAlignment="1">
      <alignment horizontal="center" vertical="center"/>
    </xf>
    <xf numFmtId="0" fontId="1" fillId="38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43">
    <cellStyle name="20% - 着色 1" xfId="19" xr:uid="{00000000-0005-0000-0000-000000000000}"/>
    <cellStyle name="20% - 着色 2" xfId="23" xr:uid="{00000000-0005-0000-0000-000001000000}"/>
    <cellStyle name="20% - 着色 3" xfId="27" xr:uid="{00000000-0005-0000-0000-000002000000}"/>
    <cellStyle name="20% - 着色 4" xfId="31" xr:uid="{00000000-0005-0000-0000-000003000000}"/>
    <cellStyle name="20% - 着色 5" xfId="35" xr:uid="{00000000-0005-0000-0000-000004000000}"/>
    <cellStyle name="20% - 着色 6" xfId="39" xr:uid="{00000000-0005-0000-0000-000005000000}"/>
    <cellStyle name="40% - 着色 1" xfId="20" xr:uid="{00000000-0005-0000-0000-000006000000}"/>
    <cellStyle name="40% - 着色 2" xfId="24" xr:uid="{00000000-0005-0000-0000-000007000000}"/>
    <cellStyle name="40% - 着色 3" xfId="28" xr:uid="{00000000-0005-0000-0000-000008000000}"/>
    <cellStyle name="40% - 着色 4" xfId="32" xr:uid="{00000000-0005-0000-0000-000009000000}"/>
    <cellStyle name="40% - 着色 5" xfId="36" xr:uid="{00000000-0005-0000-0000-00000A000000}"/>
    <cellStyle name="40% - 着色 6" xfId="40" xr:uid="{00000000-0005-0000-0000-00000B000000}"/>
    <cellStyle name="60% - 着色 1" xfId="21" xr:uid="{00000000-0005-0000-0000-00000C000000}"/>
    <cellStyle name="60% - 着色 2" xfId="25" xr:uid="{00000000-0005-0000-0000-00000D000000}"/>
    <cellStyle name="60% - 着色 3" xfId="29" xr:uid="{00000000-0005-0000-0000-00000E000000}"/>
    <cellStyle name="60% - 着色 4" xfId="33" xr:uid="{00000000-0005-0000-0000-00000F000000}"/>
    <cellStyle name="60% - 着色 5" xfId="37" xr:uid="{00000000-0005-0000-0000-000010000000}"/>
    <cellStyle name="60% - 着色 6" xfId="41" xr:uid="{00000000-0005-0000-0000-000011000000}"/>
    <cellStyle name="百分比" xfId="42" xr:uid="{00000000-0005-0000-0000-000012000000}"/>
    <cellStyle name="标题" xfId="1" xr:uid="{00000000-0005-0000-0000-000013000000}"/>
    <cellStyle name="标题 1" xfId="2" xr:uid="{00000000-0005-0000-0000-000014000000}"/>
    <cellStyle name="标题 2" xfId="3" xr:uid="{00000000-0005-0000-0000-000015000000}"/>
    <cellStyle name="标题 3" xfId="4" xr:uid="{00000000-0005-0000-0000-000016000000}"/>
    <cellStyle name="标题 4" xfId="5" xr:uid="{00000000-0005-0000-0000-000017000000}"/>
    <cellStyle name="差" xfId="7" xr:uid="{00000000-0005-0000-0000-000018000000}"/>
    <cellStyle name="常规" xfId="0" builtinId="0"/>
    <cellStyle name="好" xfId="6" xr:uid="{00000000-0005-0000-0000-00001A000000}"/>
    <cellStyle name="汇总" xfId="17" xr:uid="{00000000-0005-0000-0000-00001B000000}"/>
    <cellStyle name="计算" xfId="11" xr:uid="{00000000-0005-0000-0000-00001C000000}"/>
    <cellStyle name="检查单元格" xfId="13" xr:uid="{00000000-0005-0000-0000-00001D000000}"/>
    <cellStyle name="解释性文本" xfId="16" xr:uid="{00000000-0005-0000-0000-00001E000000}"/>
    <cellStyle name="警告文本" xfId="14" xr:uid="{00000000-0005-0000-0000-00001F000000}"/>
    <cellStyle name="链接单元格" xfId="12" xr:uid="{00000000-0005-0000-0000-000020000000}"/>
    <cellStyle name="适中" xfId="8" xr:uid="{00000000-0005-0000-0000-000021000000}"/>
    <cellStyle name="输出" xfId="10" xr:uid="{00000000-0005-0000-0000-000022000000}"/>
    <cellStyle name="输入" xfId="9" xr:uid="{00000000-0005-0000-0000-000023000000}"/>
    <cellStyle name="着色 1" xfId="18" xr:uid="{00000000-0005-0000-0000-000024000000}"/>
    <cellStyle name="着色 2" xfId="22" xr:uid="{00000000-0005-0000-0000-000025000000}"/>
    <cellStyle name="着色 3" xfId="26" xr:uid="{00000000-0005-0000-0000-000026000000}"/>
    <cellStyle name="着色 4" xfId="30" xr:uid="{00000000-0005-0000-0000-000027000000}"/>
    <cellStyle name="着色 5" xfId="34" xr:uid="{00000000-0005-0000-0000-000028000000}"/>
    <cellStyle name="着色 6" xfId="38" xr:uid="{00000000-0005-0000-0000-000029000000}"/>
    <cellStyle name="注释" xfId="15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98"/>
  <sheetViews>
    <sheetView tabSelected="1" zoomScale="70" zoomScaleNormal="70" workbookViewId="0">
      <selection activeCell="A2" sqref="A2"/>
    </sheetView>
  </sheetViews>
  <sheetFormatPr defaultRowHeight="14" x14ac:dyDescent="0.3"/>
  <cols>
    <col min="1" max="1" width="18.75" style="1" customWidth="1"/>
    <col min="2" max="2" width="11" style="1" customWidth="1"/>
    <col min="3" max="3" width="13.5" style="1" customWidth="1"/>
    <col min="4" max="4" width="11" style="1" customWidth="1"/>
    <col min="5" max="5" width="13.5" style="1" customWidth="1"/>
    <col min="6" max="6" width="11" style="1" customWidth="1"/>
    <col min="7" max="7" width="13.5" style="1" customWidth="1"/>
    <col min="8" max="8" width="12.08203125" style="1" customWidth="1"/>
    <col min="9" max="9" width="14.58203125" style="1" customWidth="1"/>
    <col min="10" max="10" width="12.08203125" style="1" customWidth="1"/>
    <col min="11" max="11" width="14.58203125" style="1" customWidth="1"/>
    <col min="12" max="12" width="11.5" style="1" customWidth="1"/>
    <col min="13" max="13" width="14.1640625" style="1" customWidth="1"/>
    <col min="14" max="14" width="11.5" style="1" customWidth="1"/>
    <col min="15" max="15" width="14.1640625" style="1" customWidth="1"/>
    <col min="16" max="25" width="5.58203125" style="1" customWidth="1"/>
    <col min="26" max="16384" width="8.6640625" style="1"/>
  </cols>
  <sheetData>
    <row r="1" spans="1:13" x14ac:dyDescent="0.3">
      <c r="A1" s="9"/>
      <c r="B1" s="10" t="s">
        <v>8</v>
      </c>
      <c r="C1" s="10" t="s">
        <v>9</v>
      </c>
      <c r="D1" s="10" t="s">
        <v>10</v>
      </c>
      <c r="E1" s="10" t="s">
        <v>11</v>
      </c>
      <c r="F1" s="10" t="s">
        <v>12</v>
      </c>
      <c r="G1" s="10" t="s">
        <v>13</v>
      </c>
      <c r="H1" s="10" t="s">
        <v>14</v>
      </c>
      <c r="I1" s="10" t="s">
        <v>15</v>
      </c>
      <c r="J1" s="10" t="s">
        <v>16</v>
      </c>
      <c r="K1" s="11" t="s">
        <v>17</v>
      </c>
    </row>
    <row r="2" spans="1:13" x14ac:dyDescent="0.3">
      <c r="A2" s="12" t="s">
        <v>18</v>
      </c>
      <c r="B2" s="1">
        <v>3</v>
      </c>
      <c r="C2" s="1">
        <v>3</v>
      </c>
      <c r="D2" s="1">
        <v>6</v>
      </c>
      <c r="E2" s="1">
        <v>6</v>
      </c>
      <c r="F2" s="1">
        <v>9</v>
      </c>
      <c r="G2" s="1">
        <v>9</v>
      </c>
      <c r="H2" s="1">
        <v>12</v>
      </c>
      <c r="I2" s="1">
        <v>12</v>
      </c>
      <c r="J2" s="1">
        <v>15</v>
      </c>
      <c r="K2" s="13">
        <v>15</v>
      </c>
    </row>
    <row r="3" spans="1:13" x14ac:dyDescent="0.3">
      <c r="A3" s="12">
        <v>0</v>
      </c>
      <c r="B3" s="14">
        <f>1-_xlfn.BETA.DIST(VLOOKUP($A3,NB_p!$A$2:$G$25,2,FALSE),VLOOKUP($A3,NB_r!$A$2:$G$25,2,FALSE),B$2,TRUE)</f>
        <v>0.94409790804449278</v>
      </c>
      <c r="C3" s="14">
        <f>COUNTIF(INDEX($B$33:$Y$242,0,MATCH($A3,$B$32:$Y$32,0)),"&gt;="&amp;C$2)/ROWS($A$33:$A$242)</f>
        <v>0.93809523809523809</v>
      </c>
      <c r="D3" s="14">
        <f>1-_xlfn.BETA.DIST(VLOOKUP($A3,NB_p!$A$2:$G$25,2,FALSE),VLOOKUP($A3,NB_r!$A$2:$G$25,2,FALSE),D$2,TRUE)</f>
        <v>0.68189135365899856</v>
      </c>
      <c r="E3" s="14">
        <f>COUNTIF(INDEX($B$33:$Y$242,0,MATCH($A3,$B$32:$Y$32,0)),"&gt;="&amp;E$2)/ROWS($A$33:$A$242)</f>
        <v>0.68095238095238098</v>
      </c>
      <c r="F3" s="14">
        <f>1-_xlfn.BETA.DIST(VLOOKUP($A3,NB_p!$A$2:$G$25,2,FALSE),VLOOKUP($A3,NB_r!$A$2:$G$25,2,FALSE),F$2,TRUE)</f>
        <v>0.3476784462477488</v>
      </c>
      <c r="G3" s="14">
        <f>COUNTIF(INDEX($B$33:$Y$242,0,MATCH($A3,$B$32:$Y$32,0)),"&gt;="&amp;G$2)/ROWS($A$33:$A$242)</f>
        <v>0.34761904761904761</v>
      </c>
      <c r="H3" s="14">
        <f>1-_xlfn.BETA.DIST(VLOOKUP($A3,NB_p!$A$2:$G$25,2,FALSE),VLOOKUP($A3,NB_r!$A$2:$G$25,2,FALSE),H$2,TRUE)</f>
        <v>0.13148671949724411</v>
      </c>
      <c r="I3" s="14">
        <f>COUNTIF(INDEX($B$33:$Y$242,0,MATCH($A3,$B$32:$Y$32,0)),"&gt;="&amp;I$2)/ROWS($A$33:$A$242)</f>
        <v>0.13333333333333333</v>
      </c>
      <c r="J3" s="14">
        <f>1-_xlfn.BETA.DIST(VLOOKUP($A3,NB_p!$A$2:$G$25,2,FALSE),VLOOKUP($A3,NB_r!$A$2:$G$25,2,FALSE),J$2,TRUE)</f>
        <v>3.9395091780348279E-2</v>
      </c>
      <c r="K3" s="14">
        <f>COUNTIF(INDEX($B$33:$Y$242,0,MATCH($A3,$B$32:$Y$32,0)),"&gt;="&amp;K$2)/ROWS($A$33:$A$242)</f>
        <v>2.3809523809523808E-2</v>
      </c>
    </row>
    <row r="4" spans="1:13" x14ac:dyDescent="0.3">
      <c r="A4" s="12">
        <v>1</v>
      </c>
      <c r="B4" s="14">
        <f>1-_xlfn.BETA.DIST(VLOOKUP($A4,NB_p!$A$2:$G$25,2,FALSE),VLOOKUP($A4,NB_r!$A$2:$G$25,2,FALSE),B$2,TRUE)</f>
        <v>0.91919410001270907</v>
      </c>
      <c r="C4" s="14">
        <f t="shared" ref="C4:C10" si="0">COUNTIF(INDEX($B$33:$Y$242,0,MATCH($A4,$B$32:$Y$32,0)),"&gt;="&amp;C$2)/ROWS($A$33:$A$242)</f>
        <v>0.92380952380952386</v>
      </c>
      <c r="D4" s="14">
        <f>1-_xlfn.BETA.DIST(VLOOKUP($A4,NB_p!$A$2:$G$25,2,FALSE),VLOOKUP($A4,NB_r!$A$2:$G$25,2,FALSE),D$2,TRUE)</f>
        <v>0.58041071454084592</v>
      </c>
      <c r="E4" s="14">
        <f t="shared" ref="E4:K10" si="1">COUNTIF(INDEX($B$33:$Y$242,0,MATCH($A4,$B$32:$Y$32,0)),"&gt;="&amp;E$2)/ROWS($A$33:$A$242)</f>
        <v>0.57619047619047614</v>
      </c>
      <c r="F4" s="14">
        <f>1-_xlfn.BETA.DIST(VLOOKUP($A4,NB_p!$A$2:$G$25,2,FALSE),VLOOKUP($A4,NB_r!$A$2:$G$25,2,FALSE),F$2,TRUE)</f>
        <v>0.23139221008699329</v>
      </c>
      <c r="G4" s="14">
        <f t="shared" si="1"/>
        <v>0.23333333333333334</v>
      </c>
      <c r="H4" s="14">
        <f>1-_xlfn.BETA.DIST(VLOOKUP($A4,NB_p!$A$2:$G$25,2,FALSE),VLOOKUP($A4,NB_r!$A$2:$G$25,2,FALSE),H$2,TRUE)</f>
        <v>6.3092548396896708E-2</v>
      </c>
      <c r="I4" s="14">
        <f t="shared" si="1"/>
        <v>6.6666666666666666E-2</v>
      </c>
      <c r="J4" s="14">
        <f>1-_xlfn.BETA.DIST(VLOOKUP($A4,NB_p!$A$2:$G$25,2,FALSE),VLOOKUP($A4,NB_r!$A$2:$G$25,2,FALSE),J$2,TRUE)</f>
        <v>1.2856110755597117E-2</v>
      </c>
      <c r="K4" s="14">
        <f t="shared" si="1"/>
        <v>1.4285714285714285E-2</v>
      </c>
    </row>
    <row r="5" spans="1:13" x14ac:dyDescent="0.3">
      <c r="A5" s="12">
        <v>2</v>
      </c>
      <c r="B5" s="14">
        <f>1-_xlfn.BETA.DIST(VLOOKUP($A5,NB_p!$A$2:$G$25,2,FALSE),VLOOKUP($A5,NB_r!$A$2:$G$25,2,FALSE),B$2,TRUE)</f>
        <v>0.85439411597883419</v>
      </c>
      <c r="C5" s="14">
        <f t="shared" si="0"/>
        <v>0.85238095238095235</v>
      </c>
      <c r="D5" s="14">
        <f>1-_xlfn.BETA.DIST(VLOOKUP($A5,NB_p!$A$2:$G$25,2,FALSE),VLOOKUP($A5,NB_r!$A$2:$G$25,2,FALSE),D$2,TRUE)</f>
        <v>0.45765265222499485</v>
      </c>
      <c r="E5" s="14">
        <f t="shared" si="1"/>
        <v>0.42857142857142855</v>
      </c>
      <c r="F5" s="14">
        <f>1-_xlfn.BETA.DIST(VLOOKUP($A5,NB_p!$A$2:$G$25,2,FALSE),VLOOKUP($A5,NB_r!$A$2:$G$25,2,FALSE),F$2,TRUE)</f>
        <v>0.15864016701006634</v>
      </c>
      <c r="G5" s="14">
        <f t="shared" si="1"/>
        <v>0.17142857142857143</v>
      </c>
      <c r="H5" s="14">
        <f>1-_xlfn.BETA.DIST(VLOOKUP($A5,NB_p!$A$2:$G$25,2,FALSE),VLOOKUP($A5,NB_r!$A$2:$G$25,2,FALSE),H$2,TRUE)</f>
        <v>4.0054541165918112E-2</v>
      </c>
      <c r="I5" s="14">
        <f t="shared" si="1"/>
        <v>4.7619047619047616E-2</v>
      </c>
      <c r="J5" s="14">
        <f>1-_xlfn.BETA.DIST(VLOOKUP($A5,NB_p!$A$2:$G$25,2,FALSE),VLOOKUP($A5,NB_r!$A$2:$G$25,2,FALSE),J$2,TRUE)</f>
        <v>8.0481483433609835E-3</v>
      </c>
      <c r="K5" s="14">
        <f t="shared" si="1"/>
        <v>9.5238095238095247E-3</v>
      </c>
    </row>
    <row r="6" spans="1:13" x14ac:dyDescent="0.3">
      <c r="A6" s="12">
        <v>3</v>
      </c>
      <c r="B6" s="14">
        <f>1-_xlfn.BETA.DIST(VLOOKUP($A6,NB_p!$A$2:$G$25,2,FALSE),VLOOKUP($A6,NB_r!$A$2:$G$25,2,FALSE),B$2,TRUE)</f>
        <v>0.812806969182432</v>
      </c>
      <c r="C6" s="14">
        <f t="shared" si="0"/>
        <v>0.81428571428571428</v>
      </c>
      <c r="D6" s="14">
        <f>1-_xlfn.BETA.DIST(VLOOKUP($A6,NB_p!$A$2:$G$25,2,FALSE),VLOOKUP($A6,NB_r!$A$2:$G$25,2,FALSE),D$2,TRUE)</f>
        <v>0.37206759642123854</v>
      </c>
      <c r="E6" s="14">
        <f t="shared" si="1"/>
        <v>0.37619047619047619</v>
      </c>
      <c r="F6" s="14">
        <f>1-_xlfn.BETA.DIST(VLOOKUP($A6,NB_p!$A$2:$G$25,2,FALSE),VLOOKUP($A6,NB_r!$A$2:$G$25,2,FALSE),F$2,TRUE)</f>
        <v>0.10272378533635207</v>
      </c>
      <c r="G6" s="14">
        <f t="shared" si="1"/>
        <v>0.12380952380952381</v>
      </c>
      <c r="H6" s="14">
        <f>1-_xlfn.BETA.DIST(VLOOKUP($A6,NB_p!$A$2:$G$25,2,FALSE),VLOOKUP($A6,NB_r!$A$2:$G$25,2,FALSE),H$2,TRUE)</f>
        <v>1.9805990548542818E-2</v>
      </c>
      <c r="I6" s="14">
        <f t="shared" si="1"/>
        <v>9.5238095238095247E-3</v>
      </c>
      <c r="J6" s="14">
        <f>1-_xlfn.BETA.DIST(VLOOKUP($A6,NB_p!$A$2:$G$25,2,FALSE),VLOOKUP($A6,NB_r!$A$2:$G$25,2,FALSE),J$2,TRUE)</f>
        <v>2.955567645335111E-3</v>
      </c>
      <c r="K6" s="14">
        <f t="shared" si="1"/>
        <v>4.7619047619047623E-3</v>
      </c>
    </row>
    <row r="7" spans="1:13" x14ac:dyDescent="0.3">
      <c r="A7" s="12">
        <v>4</v>
      </c>
      <c r="B7" s="14">
        <f>1-_xlfn.BETA.DIST(VLOOKUP($A7,NB_p!$A$2:$G$25,2,FALSE),VLOOKUP($A7,NB_r!$A$2:$G$25,2,FALSE),B$2,TRUE)</f>
        <v>0.84490765054563421</v>
      </c>
      <c r="C7" s="14">
        <f t="shared" si="0"/>
        <v>0.84761904761904761</v>
      </c>
      <c r="D7" s="14">
        <f>1-_xlfn.BETA.DIST(VLOOKUP($A7,NB_p!$A$2:$G$25,2,FALSE),VLOOKUP($A7,NB_r!$A$2:$G$25,2,FALSE),D$2,TRUE)</f>
        <v>0.43921895313461723</v>
      </c>
      <c r="E7" s="14">
        <f t="shared" si="1"/>
        <v>0.41428571428571431</v>
      </c>
      <c r="F7" s="14">
        <f>1-_xlfn.BETA.DIST(VLOOKUP($A7,NB_p!$A$2:$G$25,2,FALSE),VLOOKUP($A7,NB_r!$A$2:$G$25,2,FALSE),F$2,TRUE)</f>
        <v>0.14656566501359936</v>
      </c>
      <c r="G7" s="14">
        <f t="shared" si="1"/>
        <v>0.16666666666666666</v>
      </c>
      <c r="H7" s="14">
        <f>1-_xlfn.BETA.DIST(VLOOKUP($A7,NB_p!$A$2:$G$25,2,FALSE),VLOOKUP($A7,NB_r!$A$2:$G$25,2,FALSE),H$2,TRUE)</f>
        <v>3.5522537696778156E-2</v>
      </c>
      <c r="I7" s="14">
        <f t="shared" si="1"/>
        <v>3.8095238095238099E-2</v>
      </c>
      <c r="J7" s="14">
        <f>1-_xlfn.BETA.DIST(VLOOKUP($A7,NB_p!$A$2:$G$25,2,FALSE),VLOOKUP($A7,NB_r!$A$2:$G$25,2,FALSE),J$2,TRUE)</f>
        <v>6.8441648196382321E-3</v>
      </c>
      <c r="K7" s="14">
        <f t="shared" si="1"/>
        <v>9.5238095238095247E-3</v>
      </c>
    </row>
    <row r="8" spans="1:13" x14ac:dyDescent="0.3">
      <c r="A8" s="12">
        <v>5</v>
      </c>
      <c r="B8" s="14">
        <f>1-_xlfn.BETA.DIST(VLOOKUP($A8,NB_p!$A$2:$G$25,2,FALSE),VLOOKUP($A8,NB_r!$A$2:$G$25,2,FALSE),B$2,TRUE)</f>
        <v>0.90673066397624036</v>
      </c>
      <c r="C8" s="14">
        <f t="shared" si="0"/>
        <v>0.90952380952380951</v>
      </c>
      <c r="D8" s="14">
        <f>1-_xlfn.BETA.DIST(VLOOKUP($A8,NB_p!$A$2:$G$25,2,FALSE),VLOOKUP($A8,NB_r!$A$2:$G$25,2,FALSE),D$2,TRUE)</f>
        <v>0.56631009130682974</v>
      </c>
      <c r="E8" s="14">
        <f t="shared" si="1"/>
        <v>0.54285714285714282</v>
      </c>
      <c r="F8" s="14">
        <f>1-_xlfn.BETA.DIST(VLOOKUP($A8,NB_p!$A$2:$G$25,2,FALSE),VLOOKUP($A8,NB_r!$A$2:$G$25,2,FALSE),F$2,TRUE)</f>
        <v>0.23388476951841985</v>
      </c>
      <c r="G8" s="14">
        <f t="shared" si="1"/>
        <v>0.20952380952380953</v>
      </c>
      <c r="H8" s="14">
        <f>1-_xlfn.BETA.DIST(VLOOKUP($A8,NB_p!$A$2:$G$25,2,FALSE),VLOOKUP($A8,NB_r!$A$2:$G$25,2,FALSE),H$2,TRUE)</f>
        <v>6.968155537759213E-2</v>
      </c>
      <c r="I8" s="14">
        <f t="shared" si="1"/>
        <v>7.1428571428571425E-2</v>
      </c>
      <c r="J8" s="14">
        <f>1-_xlfn.BETA.DIST(VLOOKUP($A8,NB_p!$A$2:$G$25,2,FALSE),VLOOKUP($A8,NB_r!$A$2:$G$25,2,FALSE),J$2,TRUE)</f>
        <v>1.6255632379794771E-2</v>
      </c>
      <c r="K8" s="14">
        <f t="shared" si="1"/>
        <v>1.9047619047619049E-2</v>
      </c>
    </row>
    <row r="9" spans="1:13" x14ac:dyDescent="0.3">
      <c r="A9" s="12">
        <v>6</v>
      </c>
      <c r="B9" s="14">
        <f>1-_xlfn.BETA.DIST(VLOOKUP($A9,NB_p!$A$2:$G$25,2,FALSE),VLOOKUP($A9,NB_r!$A$2:$G$25,2,FALSE),B$2,TRUE)</f>
        <v>0.92250736313432469</v>
      </c>
      <c r="C9" s="14">
        <f t="shared" si="0"/>
        <v>0.95238095238095233</v>
      </c>
      <c r="D9" s="14">
        <f>1-_xlfn.BETA.DIST(VLOOKUP($A9,NB_p!$A$2:$G$25,2,FALSE),VLOOKUP($A9,NB_r!$A$2:$G$25,2,FALSE),D$2,TRUE)</f>
        <v>0.68709474227670675</v>
      </c>
      <c r="E9" s="14">
        <f t="shared" si="1"/>
        <v>0.68571428571428572</v>
      </c>
      <c r="F9" s="14">
        <f>1-_xlfn.BETA.DIST(VLOOKUP($A9,NB_p!$A$2:$G$25,2,FALSE),VLOOKUP($A9,NB_r!$A$2:$G$25,2,FALSE),F$2,TRUE)</f>
        <v>0.41830156069745128</v>
      </c>
      <c r="G9" s="14">
        <f t="shared" si="1"/>
        <v>0.37619047619047619</v>
      </c>
      <c r="H9" s="14">
        <f>1-_xlfn.BETA.DIST(VLOOKUP($A9,NB_p!$A$2:$G$25,2,FALSE),VLOOKUP($A9,NB_r!$A$2:$G$25,2,FALSE),H$2,TRUE)</f>
        <v>0.21867629783203357</v>
      </c>
      <c r="I9" s="14">
        <f t="shared" si="1"/>
        <v>0.19047619047619047</v>
      </c>
      <c r="J9" s="14">
        <f>1-_xlfn.BETA.DIST(VLOOKUP($A9,NB_p!$A$2:$G$25,2,FALSE),VLOOKUP($A9,NB_r!$A$2:$G$25,2,FALSE),J$2,TRUE)</f>
        <v>0.10215705271431463</v>
      </c>
      <c r="K9" s="14">
        <f t="shared" si="1"/>
        <v>9.5238095238095233E-2</v>
      </c>
    </row>
    <row r="10" spans="1:13" x14ac:dyDescent="0.3">
      <c r="A10" s="12">
        <v>23</v>
      </c>
      <c r="B10" s="14">
        <f>1-_xlfn.BETA.DIST(VLOOKUP($A10,NB_p!$A$2:$G$25,2,FALSE),VLOOKUP($A10,NB_r!$A$2:$G$25,2,FALSE),B$2,TRUE)</f>
        <v>0.9668292577800347</v>
      </c>
      <c r="C10" s="14">
        <f t="shared" si="0"/>
        <v>0.97142857142857142</v>
      </c>
      <c r="D10" s="14">
        <f>1-_xlfn.BETA.DIST(VLOOKUP($A10,NB_p!$A$2:$G$25,2,FALSE),VLOOKUP($A10,NB_r!$A$2:$G$25,2,FALSE),D$2,TRUE)</f>
        <v>0.78091623678985889</v>
      </c>
      <c r="E10" s="14">
        <f t="shared" si="1"/>
        <v>0.82857142857142863</v>
      </c>
      <c r="F10" s="14">
        <f>1-_xlfn.BETA.DIST(VLOOKUP($A10,NB_p!$A$2:$G$25,2,FALSE),VLOOKUP($A10,NB_r!$A$2:$G$25,2,FALSE),F$2,TRUE)</f>
        <v>0.48354448168126951</v>
      </c>
      <c r="G10" s="14">
        <f t="shared" si="1"/>
        <v>0.45238095238095238</v>
      </c>
      <c r="H10" s="14">
        <f>1-_xlfn.BETA.DIST(VLOOKUP($A10,NB_p!$A$2:$G$25,2,FALSE),VLOOKUP($A10,NB_r!$A$2:$G$25,2,FALSE),H$2,TRUE)</f>
        <v>0.23388285069526282</v>
      </c>
      <c r="I10" s="14">
        <f t="shared" si="1"/>
        <v>0.20476190476190476</v>
      </c>
      <c r="J10" s="14">
        <f>1-_xlfn.BETA.DIST(VLOOKUP($A10,NB_p!$A$2:$G$25,2,FALSE),VLOOKUP($A10,NB_r!$A$2:$G$25,2,FALSE),J$2,TRUE)</f>
        <v>9.2548261748886418E-2</v>
      </c>
      <c r="K10" s="14">
        <f t="shared" si="1"/>
        <v>7.6190476190476197E-2</v>
      </c>
    </row>
    <row r="11" spans="1:13" x14ac:dyDescent="0.3">
      <c r="A11" s="9"/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16</v>
      </c>
      <c r="G11" s="10" t="s">
        <v>17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1" t="s">
        <v>28</v>
      </c>
    </row>
    <row r="12" spans="1:13" x14ac:dyDescent="0.3">
      <c r="A12" s="12" t="s">
        <v>29</v>
      </c>
      <c r="B12" s="1">
        <v>5</v>
      </c>
      <c r="C12" s="1">
        <v>5</v>
      </c>
      <c r="D12" s="1">
        <v>10</v>
      </c>
      <c r="E12" s="1">
        <v>10</v>
      </c>
      <c r="F12" s="1">
        <v>15</v>
      </c>
      <c r="G12" s="1">
        <v>15</v>
      </c>
      <c r="H12" s="1">
        <v>20</v>
      </c>
      <c r="I12" s="1">
        <v>20</v>
      </c>
      <c r="J12" s="1">
        <v>25</v>
      </c>
      <c r="K12" s="1">
        <v>25</v>
      </c>
      <c r="L12" s="1">
        <v>30</v>
      </c>
      <c r="M12" s="13">
        <v>30</v>
      </c>
    </row>
    <row r="13" spans="1:13" x14ac:dyDescent="0.3">
      <c r="A13" s="12">
        <v>7</v>
      </c>
      <c r="B13" s="14">
        <f>1-_xlfn.BETA.DIST(VLOOKUP($A13,NB_p!$A$2:$G$25,2,FALSE),VLOOKUP($A13,NB_r!$A$2:$G$25,2,FALSE),B$12,TRUE)</f>
        <v>0.90483954631533803</v>
      </c>
      <c r="C13" s="14">
        <f>COUNTIF(INDEX($B$33:$Y$242,0,MATCH($A13,$B$32:$Y$32,0)),"&gt;="&amp;C$12)/ROWS($A$33:$A$242)</f>
        <v>0.94761904761904758</v>
      </c>
      <c r="D13" s="14">
        <f>1-_xlfn.BETA.DIST(VLOOKUP($A13,NB_p!$A$2:$G$25,2,FALSE),VLOOKUP($A13,NB_r!$A$2:$G$25,2,FALSE),D$12,TRUE)</f>
        <v>0.59815290502487306</v>
      </c>
      <c r="E13" s="14">
        <f>COUNTIF(INDEX($B$33:$Y$242,0,MATCH($A13,$B$32:$Y$32,0)),"&gt;="&amp;E$12)/ROWS($A$33:$A$242)</f>
        <v>0.6</v>
      </c>
      <c r="F13" s="14">
        <f>1-_xlfn.BETA.DIST(VLOOKUP($A13,NB_p!$A$2:$G$25,2,FALSE),VLOOKUP($A13,NB_r!$A$2:$G$25,2,FALSE),F$12,TRUE)</f>
        <v>0.29863875988341482</v>
      </c>
      <c r="G13" s="14">
        <f>COUNTIF(INDEX($B$33:$Y$242,0,MATCH($A13,$B$32:$Y$32,0)),"&gt;="&amp;G$12)/ROWS($A$33:$A$242)</f>
        <v>0.24761904761904763</v>
      </c>
      <c r="H13" s="14">
        <f>1-_xlfn.BETA.DIST(VLOOKUP($A13,NB_p!$A$2:$G$25,2,FALSE),VLOOKUP($A13,NB_r!$A$2:$G$25,2,FALSE),H$12,TRUE)</f>
        <v>0.12250906566042197</v>
      </c>
      <c r="I13" s="14">
        <f>COUNTIF(INDEX($B$33:$Y$242,0,MATCH($A13,$B$32:$Y$32,0)),"&gt;="&amp;I$12)/ROWS($A$33:$A$242)</f>
        <v>0.10952380952380952</v>
      </c>
      <c r="J13" s="14">
        <f>1-_xlfn.BETA.DIST(VLOOKUP($A13,NB_p!$A$2:$G$25,2,FALSE),VLOOKUP($A13,NB_r!$A$2:$G$25,2,FALSE),J$12,TRUE)</f>
        <v>4.3805596393925228E-2</v>
      </c>
      <c r="K13" s="14">
        <f>COUNTIF(INDEX($B$33:$Y$242,0,MATCH($A13,$B$32:$Y$32,0)),"&gt;="&amp;K$12)/ROWS($A$33:$A$242)</f>
        <v>3.3333333333333333E-2</v>
      </c>
      <c r="L13" s="14">
        <f>1-_xlfn.BETA.DIST(VLOOKUP($A13,NB_p!$A$2:$G$25,2,FALSE),VLOOKUP($A13,NB_r!$A$2:$G$25,2,FALSE),L$12,TRUE)</f>
        <v>1.4178068890087103E-2</v>
      </c>
      <c r="M13" s="14">
        <f>COUNTIF(INDEX($B$33:$Y$242,0,MATCH($A13,$B$32:$Y$32,0)),"&gt;="&amp;M$12)/ROWS($A$33:$A$242)</f>
        <v>1.4285714285714285E-2</v>
      </c>
    </row>
    <row r="14" spans="1:13" x14ac:dyDescent="0.3">
      <c r="A14" s="12">
        <v>8</v>
      </c>
      <c r="B14" s="14">
        <f>1-_xlfn.BETA.DIST(VLOOKUP($A14,NB_p!$A$2:$G$25,2,FALSE),VLOOKUP($A14,NB_r!$A$2:$G$25,2,FALSE),B$12,TRUE)</f>
        <v>0.97310720403828121</v>
      </c>
      <c r="C14" s="14">
        <f t="shared" ref="C14:M18" si="2">COUNTIF(INDEX($B$33:$Y$242,0,MATCH($A14,$B$32:$Y$32,0)),"&gt;="&amp;C$12)/ROWS($A$33:$A$242)</f>
        <v>0.99523809523809526</v>
      </c>
      <c r="D14" s="14">
        <f>1-_xlfn.BETA.DIST(VLOOKUP($A14,NB_p!$A$2:$G$25,2,FALSE),VLOOKUP($A14,NB_r!$A$2:$G$25,2,FALSE),D$12,TRUE)</f>
        <v>0.79431183801551075</v>
      </c>
      <c r="E14" s="14">
        <f t="shared" si="2"/>
        <v>0.77142857142857146</v>
      </c>
      <c r="F14" s="14">
        <f>1-_xlfn.BETA.DIST(VLOOKUP($A14,NB_p!$A$2:$G$25,2,FALSE),VLOOKUP($A14,NB_r!$A$2:$G$25,2,FALSE),F$12,TRUE)</f>
        <v>0.49988184811248004</v>
      </c>
      <c r="G14" s="14">
        <f t="shared" si="2"/>
        <v>0.5</v>
      </c>
      <c r="H14" s="14">
        <f>1-_xlfn.BETA.DIST(VLOOKUP($A14,NB_p!$A$2:$G$25,2,FALSE),VLOOKUP($A14,NB_r!$A$2:$G$25,2,FALSE),H$12,TRUE)</f>
        <v>0.24983254718868952</v>
      </c>
      <c r="I14" s="14">
        <f t="shared" si="2"/>
        <v>0.24761904761904763</v>
      </c>
      <c r="J14" s="14">
        <f>1-_xlfn.BETA.DIST(VLOOKUP($A14,NB_p!$A$2:$G$25,2,FALSE),VLOOKUP($A14,NB_r!$A$2:$G$25,2,FALSE),J$12,TRUE)</f>
        <v>0.10435863911321142</v>
      </c>
      <c r="K14" s="14">
        <f t="shared" si="2"/>
        <v>0.11428571428571428</v>
      </c>
      <c r="L14" s="14">
        <f>1-_xlfn.BETA.DIST(VLOOKUP($A14,NB_p!$A$2:$G$25,2,FALSE),VLOOKUP($A14,NB_r!$A$2:$G$25,2,FALSE),L$12,TRUE)</f>
        <v>3.7996629509120528E-2</v>
      </c>
      <c r="M14" s="14">
        <f t="shared" si="2"/>
        <v>4.2857142857142858E-2</v>
      </c>
    </row>
    <row r="15" spans="1:13" x14ac:dyDescent="0.3">
      <c r="A15" s="12">
        <v>19</v>
      </c>
      <c r="B15" s="14">
        <f>1-_xlfn.BETA.DIST(VLOOKUP($A15,NB_p!$A$2:$G$25,2,FALSE),VLOOKUP($A15,NB_r!$A$2:$G$25,2,FALSE),B$12,TRUE)</f>
        <v>0.99590313694323851</v>
      </c>
      <c r="C15" s="14">
        <f t="shared" si="2"/>
        <v>1</v>
      </c>
      <c r="D15" s="14">
        <f>1-_xlfn.BETA.DIST(VLOOKUP($A15,NB_p!$A$2:$G$25,2,FALSE),VLOOKUP($A15,NB_r!$A$2:$G$25,2,FALSE),D$12,TRUE)</f>
        <v>0.91140649027834308</v>
      </c>
      <c r="E15" s="14">
        <f t="shared" si="2"/>
        <v>0.92380952380952386</v>
      </c>
      <c r="F15" s="14">
        <f>1-_xlfn.BETA.DIST(VLOOKUP($A15,NB_p!$A$2:$G$25,2,FALSE),VLOOKUP($A15,NB_r!$A$2:$G$25,2,FALSE),F$12,TRUE)</f>
        <v>0.63595652397888014</v>
      </c>
      <c r="G15" s="14">
        <f t="shared" si="2"/>
        <v>0.63809523809523805</v>
      </c>
      <c r="H15" s="14">
        <f>1-_xlfn.BETA.DIST(VLOOKUP($A15,NB_p!$A$2:$G$25,2,FALSE),VLOOKUP($A15,NB_r!$A$2:$G$25,2,FALSE),H$12,TRUE)</f>
        <v>0.3106615065541003</v>
      </c>
      <c r="I15" s="14">
        <f t="shared" si="2"/>
        <v>0.32857142857142857</v>
      </c>
      <c r="J15" s="14">
        <f>1-_xlfn.BETA.DIST(VLOOKUP($A15,NB_p!$A$2:$G$25,2,FALSE),VLOOKUP($A15,NB_r!$A$2:$G$25,2,FALSE),J$12,TRUE)</f>
        <v>0.10921704477899907</v>
      </c>
      <c r="K15" s="14">
        <f t="shared" si="2"/>
        <v>7.1428571428571425E-2</v>
      </c>
      <c r="L15" s="14">
        <f>1-_xlfn.BETA.DIST(VLOOKUP($A15,NB_p!$A$2:$G$25,2,FALSE),VLOOKUP($A15,NB_r!$A$2:$G$25,2,FALSE),L$12,TRUE)</f>
        <v>2.9244558306713686E-2</v>
      </c>
      <c r="M15" s="14">
        <f t="shared" si="2"/>
        <v>1.4285714285714285E-2</v>
      </c>
    </row>
    <row r="16" spans="1:13" x14ac:dyDescent="0.3">
      <c r="A16" s="12">
        <v>20</v>
      </c>
      <c r="B16" s="14">
        <f>1-_xlfn.BETA.DIST(VLOOKUP($A16,NB_p!$A$2:$G$25,2,FALSE),VLOOKUP($A16,NB_r!$A$2:$G$25,2,FALSE),B$12,TRUE)</f>
        <v>0.98531207813513688</v>
      </c>
      <c r="C16" s="14">
        <f t="shared" si="2"/>
        <v>1</v>
      </c>
      <c r="D16" s="14">
        <f>1-_xlfn.BETA.DIST(VLOOKUP($A16,NB_p!$A$2:$G$25,2,FALSE),VLOOKUP($A16,NB_r!$A$2:$G$25,2,FALSE),D$12,TRUE)</f>
        <v>0.81121560332608378</v>
      </c>
      <c r="E16" s="14">
        <f t="shared" si="2"/>
        <v>0.85238095238095235</v>
      </c>
      <c r="F16" s="14">
        <f>1-_xlfn.BETA.DIST(VLOOKUP($A16,NB_p!$A$2:$G$25,2,FALSE),VLOOKUP($A16,NB_r!$A$2:$G$25,2,FALSE),F$12,TRUE)</f>
        <v>0.45548670593918583</v>
      </c>
      <c r="G16" s="14">
        <f t="shared" si="2"/>
        <v>0.44761904761904764</v>
      </c>
      <c r="H16" s="14">
        <f>1-_xlfn.BETA.DIST(VLOOKUP($A16,NB_p!$A$2:$G$25,2,FALSE),VLOOKUP($A16,NB_r!$A$2:$G$25,2,FALSE),H$12,TRUE)</f>
        <v>0.17283106886338839</v>
      </c>
      <c r="I16" s="14">
        <f t="shared" si="2"/>
        <v>0.13333333333333333</v>
      </c>
      <c r="J16" s="14">
        <f>1-_xlfn.BETA.DIST(VLOOKUP($A16,NB_p!$A$2:$G$25,2,FALSE),VLOOKUP($A16,NB_r!$A$2:$G$25,2,FALSE),J$12,TRUE)</f>
        <v>4.7613183190036157E-2</v>
      </c>
      <c r="K16" s="14">
        <f t="shared" si="2"/>
        <v>4.2857142857142858E-2</v>
      </c>
      <c r="L16" s="14">
        <f>1-_xlfn.BETA.DIST(VLOOKUP($A16,NB_p!$A$2:$G$25,2,FALSE),VLOOKUP($A16,NB_r!$A$2:$G$25,2,FALSE),L$12,TRUE)</f>
        <v>1.0216418632672752E-2</v>
      </c>
      <c r="M16" s="14">
        <f t="shared" si="2"/>
        <v>9.5238095238095247E-3</v>
      </c>
    </row>
    <row r="17" spans="1:25" x14ac:dyDescent="0.3">
      <c r="A17" s="12">
        <v>21</v>
      </c>
      <c r="B17" s="14">
        <f>1-_xlfn.BETA.DIST(VLOOKUP($A17,NB_p!$A$2:$G$25,2,FALSE),VLOOKUP($A17,NB_r!$A$2:$G$25,2,FALSE),B$12,TRUE)</f>
        <v>0.94849934394252378</v>
      </c>
      <c r="C17" s="14">
        <f t="shared" si="2"/>
        <v>0.98571428571428577</v>
      </c>
      <c r="D17" s="14">
        <f>1-_xlfn.BETA.DIST(VLOOKUP($A17,NB_p!$A$2:$G$25,2,FALSE),VLOOKUP($A17,NB_r!$A$2:$G$25,2,FALSE),D$12,TRUE)</f>
        <v>0.69859627866075868</v>
      </c>
      <c r="E17" s="14">
        <f t="shared" si="2"/>
        <v>0.74285714285714288</v>
      </c>
      <c r="F17" s="14">
        <f>1-_xlfn.BETA.DIST(VLOOKUP($A17,NB_p!$A$2:$G$25,2,FALSE),VLOOKUP($A17,NB_r!$A$2:$G$25,2,FALSE),F$12,TRUE)</f>
        <v>0.38181604019546911</v>
      </c>
      <c r="G17" s="14">
        <f t="shared" si="2"/>
        <v>0.34761904761904761</v>
      </c>
      <c r="H17" s="14">
        <f>1-_xlfn.BETA.DIST(VLOOKUP($A17,NB_p!$A$2:$G$25,2,FALSE),VLOOKUP($A17,NB_r!$A$2:$G$25,2,FALSE),H$12,TRUE)</f>
        <v>0.16502854872772987</v>
      </c>
      <c r="I17" s="14">
        <f t="shared" si="2"/>
        <v>0.11428571428571428</v>
      </c>
      <c r="J17" s="14">
        <f>1-_xlfn.BETA.DIST(VLOOKUP($A17,NB_p!$A$2:$G$25,2,FALSE),VLOOKUP($A17,NB_r!$A$2:$G$25,2,FALSE),J$12,TRUE)</f>
        <v>6.0024998605832658E-2</v>
      </c>
      <c r="K17" s="14">
        <f t="shared" si="2"/>
        <v>2.8571428571428571E-2</v>
      </c>
      <c r="L17" s="14">
        <f>1-_xlfn.BETA.DIST(VLOOKUP($A17,NB_p!$A$2:$G$25,2,FALSE),VLOOKUP($A17,NB_r!$A$2:$G$25,2,FALSE),L$12,TRUE)</f>
        <v>1.9204070836279064E-2</v>
      </c>
      <c r="M17" s="14">
        <f t="shared" si="2"/>
        <v>1.4285714285714285E-2</v>
      </c>
    </row>
    <row r="18" spans="1:25" x14ac:dyDescent="0.3">
      <c r="A18" s="12">
        <v>22</v>
      </c>
      <c r="B18" s="14">
        <f>1-_xlfn.BETA.DIST(VLOOKUP($A18,NB_p!$A$2:$G$25,2,FALSE),VLOOKUP($A18,NB_r!$A$2:$G$25,2,FALSE),B$12,TRUE)</f>
        <v>0.93971253989106951</v>
      </c>
      <c r="C18" s="14">
        <f t="shared" si="2"/>
        <v>0.95714285714285718</v>
      </c>
      <c r="D18" s="14">
        <f>1-_xlfn.BETA.DIST(VLOOKUP($A18,NB_p!$A$2:$G$25,2,FALSE),VLOOKUP($A18,NB_r!$A$2:$G$25,2,FALSE),D$12,TRUE)</f>
        <v>0.59277186704268547</v>
      </c>
      <c r="E18" s="14">
        <f t="shared" si="2"/>
        <v>0.61904761904761907</v>
      </c>
      <c r="F18" s="14">
        <f>1-_xlfn.BETA.DIST(VLOOKUP($A18,NB_p!$A$2:$G$25,2,FALSE),VLOOKUP($A18,NB_r!$A$2:$G$25,2,FALSE),F$12,TRUE)</f>
        <v>0.22134432796918813</v>
      </c>
      <c r="G18" s="14">
        <f t="shared" si="2"/>
        <v>0.1761904761904762</v>
      </c>
      <c r="H18" s="14">
        <f>1-_xlfn.BETA.DIST(VLOOKUP($A18,NB_p!$A$2:$G$25,2,FALSE),VLOOKUP($A18,NB_r!$A$2:$G$25,2,FALSE),H$12,TRUE)</f>
        <v>5.4551533316939071E-2</v>
      </c>
      <c r="I18" s="14">
        <f t="shared" si="2"/>
        <v>3.8095238095238099E-2</v>
      </c>
      <c r="J18" s="14">
        <f>1-_xlfn.BETA.DIST(VLOOKUP($A18,NB_p!$A$2:$G$25,2,FALSE),VLOOKUP($A18,NB_r!$A$2:$G$25,2,FALSE),J$12,TRUE)</f>
        <v>9.9320855088368409E-3</v>
      </c>
      <c r="K18" s="14">
        <f t="shared" si="2"/>
        <v>1.9047619047619049E-2</v>
      </c>
      <c r="L18" s="14">
        <f>1-_xlfn.BETA.DIST(VLOOKUP($A18,NB_p!$A$2:$G$25,2,FALSE),VLOOKUP($A18,NB_r!$A$2:$G$25,2,FALSE),L$12,TRUE)</f>
        <v>1.4459466960198286E-3</v>
      </c>
      <c r="M18" s="14">
        <f t="shared" si="2"/>
        <v>1.4285714285714285E-2</v>
      </c>
    </row>
    <row r="19" spans="1:25" x14ac:dyDescent="0.3">
      <c r="A19" s="9"/>
      <c r="B19" s="10" t="s">
        <v>21</v>
      </c>
      <c r="C19" s="10" t="s">
        <v>22</v>
      </c>
      <c r="D19" s="10" t="s">
        <v>16</v>
      </c>
      <c r="E19" s="10" t="s">
        <v>17</v>
      </c>
      <c r="F19" s="10" t="s">
        <v>23</v>
      </c>
      <c r="G19" s="10" t="s">
        <v>24</v>
      </c>
      <c r="H19" s="10" t="s">
        <v>25</v>
      </c>
      <c r="I19" s="10" t="s">
        <v>26</v>
      </c>
      <c r="J19" s="10" t="s">
        <v>27</v>
      </c>
      <c r="K19" s="10" t="s">
        <v>28</v>
      </c>
      <c r="L19" s="10" t="s">
        <v>30</v>
      </c>
      <c r="M19" s="10" t="s">
        <v>31</v>
      </c>
      <c r="N19" s="10" t="s">
        <v>32</v>
      </c>
      <c r="O19" s="11" t="s">
        <v>33</v>
      </c>
    </row>
    <row r="20" spans="1:25" x14ac:dyDescent="0.3">
      <c r="A20" s="12" t="s">
        <v>34</v>
      </c>
      <c r="B20" s="1">
        <v>10</v>
      </c>
      <c r="C20" s="1">
        <v>10</v>
      </c>
      <c r="D20" s="1">
        <v>15</v>
      </c>
      <c r="E20" s="1">
        <v>15</v>
      </c>
      <c r="F20" s="1">
        <v>20</v>
      </c>
      <c r="G20" s="1">
        <v>20</v>
      </c>
      <c r="H20" s="1">
        <v>25</v>
      </c>
      <c r="I20" s="1">
        <v>25</v>
      </c>
      <c r="J20" s="1">
        <v>30</v>
      </c>
      <c r="K20" s="1">
        <v>30</v>
      </c>
      <c r="L20" s="1">
        <v>35</v>
      </c>
      <c r="M20" s="1">
        <v>35</v>
      </c>
      <c r="N20" s="1">
        <v>40</v>
      </c>
      <c r="O20" s="13">
        <v>40</v>
      </c>
    </row>
    <row r="21" spans="1:25" x14ac:dyDescent="0.3">
      <c r="A21" s="12">
        <v>9</v>
      </c>
      <c r="B21" s="14">
        <f>1-_xlfn.BETA.DIST(VLOOKUP($A21,NB_p!$A$2:$G$25,2,FALSE),VLOOKUP($A21,NB_r!$A$2:$G$25,2,FALSE),B$20,TRUE)</f>
        <v>0.90766882277150651</v>
      </c>
      <c r="C21" s="14">
        <f>COUNTIF(INDEX($B$33:$Y$242,0,MATCH($A21,$B$32:$Y$32,0)),"&gt;="&amp;C$20)/ROWS($A$33:$A$242)</f>
        <v>0.88571428571428568</v>
      </c>
      <c r="D21" s="14">
        <f>1-_xlfn.BETA.DIST(VLOOKUP($A21,NB_p!$A$2:$G$25,2,FALSE),VLOOKUP($A21,NB_r!$A$2:$G$25,2,FALSE),D$20,TRUE)</f>
        <v>0.63528731776789837</v>
      </c>
      <c r="E21" s="14">
        <f>COUNTIF(INDEX($B$33:$Y$242,0,MATCH($A21,$B$32:$Y$32,0)),"&gt;="&amp;E$20)/ROWS($A$33:$A$242)</f>
        <v>0.69047619047619047</v>
      </c>
      <c r="F21" s="14">
        <f>1-_xlfn.BETA.DIST(VLOOKUP($A21,NB_p!$A$2:$G$25,2,FALSE),VLOOKUP($A21,NB_r!$A$2:$G$25,2,FALSE),F$20,TRUE)</f>
        <v>0.3171260629866588</v>
      </c>
      <c r="G21" s="14">
        <f>COUNTIF(INDEX($B$33:$Y$242,0,MATCH($A21,$B$32:$Y$32,0)),"&gt;="&amp;G$20)/ROWS($A$33:$A$242)</f>
        <v>0.29523809523809524</v>
      </c>
      <c r="H21" s="14">
        <f>1-_xlfn.BETA.DIST(VLOOKUP($A21,NB_p!$A$2:$G$25,2,FALSE),VLOOKUP($A21,NB_r!$A$2:$G$25,2,FALSE),H$20,TRUE)</f>
        <v>0.11630825382475296</v>
      </c>
      <c r="I21" s="14">
        <f>COUNTIF(INDEX($B$33:$Y$242,0,MATCH($A21,$B$32:$Y$32,0)),"&gt;="&amp;I$20)/ROWS($A$33:$A$242)</f>
        <v>0.10952380952380952</v>
      </c>
      <c r="J21" s="14">
        <f>1-_xlfn.BETA.DIST(VLOOKUP($A21,NB_p!$A$2:$G$25,2,FALSE),VLOOKUP($A21,NB_r!$A$2:$G$25,2,FALSE),J$20,TRUE)</f>
        <v>3.3089904531853342E-2</v>
      </c>
      <c r="K21" s="14">
        <f>COUNTIF(INDEX($B$33:$Y$242,0,MATCH($A21,$B$32:$Y$32,0)),"&gt;="&amp;K$20)/ROWS($A$33:$A$242)</f>
        <v>3.8095238095238099E-2</v>
      </c>
      <c r="L21" s="14">
        <f>1-_xlfn.BETA.DIST(VLOOKUP($A21,NB_p!$A$2:$G$25,2,FALSE),VLOOKUP($A21,NB_r!$A$2:$G$25,2,FALSE),L$20,TRUE)</f>
        <v>7.6694401065465767E-3</v>
      </c>
      <c r="M21" s="14">
        <f>COUNTIF(INDEX($B$33:$Y$242,0,MATCH($A21,$B$32:$Y$32,0)),"&gt;="&amp;M$20)/ROWS($A$33:$A$242)</f>
        <v>1.4285714285714285E-2</v>
      </c>
      <c r="N21" s="14">
        <f>1-_xlfn.BETA.DIST(VLOOKUP($A21,NB_p!$A$2:$G$25,2,FALSE),VLOOKUP($A21,NB_r!$A$2:$G$25,2,FALSE),N$20,TRUE)</f>
        <v>1.5053038290131493E-3</v>
      </c>
      <c r="O21" s="17">
        <f>COUNTIF(INDEX($B$33:$Y$242,0,MATCH($A21,$B$32:$Y$32,0)),"&gt;="&amp;O$20)/ROWS($A$33:$A$242)</f>
        <v>0</v>
      </c>
    </row>
    <row r="22" spans="1:25" x14ac:dyDescent="0.3">
      <c r="A22" s="12">
        <v>10</v>
      </c>
      <c r="B22" s="14">
        <f>1-_xlfn.BETA.DIST(VLOOKUP($A22,NB_p!$A$2:$G$25,2,FALSE),VLOOKUP($A22,NB_r!$A$2:$G$25,2,FALSE),B$20,TRUE)</f>
        <v>0.91185270921415318</v>
      </c>
      <c r="C22" s="14">
        <f t="shared" ref="C22:O30" si="3">COUNTIF(INDEX($B$33:$Y$242,0,MATCH($A22,$B$32:$Y$32,0)),"&gt;="&amp;C$20)/ROWS($A$33:$A$242)</f>
        <v>0.93809523809523809</v>
      </c>
      <c r="D22" s="14">
        <f>1-_xlfn.BETA.DIST(VLOOKUP($A22,NB_p!$A$2:$G$25,2,FALSE),VLOOKUP($A22,NB_r!$A$2:$G$25,2,FALSE),D$20,TRUE)</f>
        <v>0.70122205790159187</v>
      </c>
      <c r="E22" s="14">
        <f t="shared" si="3"/>
        <v>0.74285714285714288</v>
      </c>
      <c r="F22" s="14">
        <f>1-_xlfn.BETA.DIST(VLOOKUP($A22,NB_p!$A$2:$G$25,2,FALSE),VLOOKUP($A22,NB_r!$A$2:$G$25,2,FALSE),F$20,TRUE)</f>
        <v>0.44003661498039182</v>
      </c>
      <c r="G22" s="14">
        <f t="shared" si="3"/>
        <v>0.41904761904761906</v>
      </c>
      <c r="H22" s="14">
        <f>1-_xlfn.BETA.DIST(VLOOKUP($A22,NB_p!$A$2:$G$25,2,FALSE),VLOOKUP($A22,NB_r!$A$2:$G$25,2,FALSE),H$20,TRUE)</f>
        <v>0.23048384614197226</v>
      </c>
      <c r="I22" s="14">
        <f t="shared" si="3"/>
        <v>0.16666666666666666</v>
      </c>
      <c r="J22" s="14">
        <f>1-_xlfn.BETA.DIST(VLOOKUP($A22,NB_p!$A$2:$G$25,2,FALSE),VLOOKUP($A22,NB_r!$A$2:$G$25,2,FALSE),J$20,TRUE)</f>
        <v>0.10406904054307087</v>
      </c>
      <c r="K22" s="14">
        <f t="shared" si="3"/>
        <v>7.1428571428571425E-2</v>
      </c>
      <c r="L22" s="14">
        <f>1-_xlfn.BETA.DIST(VLOOKUP($A22,NB_p!$A$2:$G$25,2,FALSE),VLOOKUP($A22,NB_r!$A$2:$G$25,2,FALSE),L$20,TRUE)</f>
        <v>4.1677466615885672E-2</v>
      </c>
      <c r="M22" s="14">
        <f t="shared" si="3"/>
        <v>2.3809523809523808E-2</v>
      </c>
      <c r="N22" s="14">
        <f>1-_xlfn.BETA.DIST(VLOOKUP($A22,NB_p!$A$2:$G$25,2,FALSE),VLOOKUP($A22,NB_r!$A$2:$G$25,2,FALSE),N$20,TRUE)</f>
        <v>1.5141532825013404E-2</v>
      </c>
      <c r="O22" s="17">
        <f t="shared" si="3"/>
        <v>9.5238095238095247E-3</v>
      </c>
    </row>
    <row r="23" spans="1:25" x14ac:dyDescent="0.3">
      <c r="A23" s="12">
        <v>11</v>
      </c>
      <c r="B23" s="14">
        <f>1-_xlfn.BETA.DIST(VLOOKUP($A23,NB_p!$A$2:$G$25,2,FALSE),VLOOKUP($A23,NB_r!$A$2:$G$25,2,FALSE),B$20,TRUE)</f>
        <v>0.90932319237968051</v>
      </c>
      <c r="C23" s="14">
        <f t="shared" si="3"/>
        <v>0.95238095238095233</v>
      </c>
      <c r="D23" s="14">
        <f>1-_xlfn.BETA.DIST(VLOOKUP($A23,NB_p!$A$2:$G$25,2,FALSE),VLOOKUP($A23,NB_r!$A$2:$G$25,2,FALSE),D$20,TRUE)</f>
        <v>0.71476454623314067</v>
      </c>
      <c r="E23" s="14">
        <f t="shared" si="3"/>
        <v>0.8</v>
      </c>
      <c r="F23" s="14">
        <f>1-_xlfn.BETA.DIST(VLOOKUP($A23,NB_p!$A$2:$G$25,2,FALSE),VLOOKUP($A23,NB_r!$A$2:$G$25,2,FALSE),F$20,TRUE)</f>
        <v>0.47514041231221504</v>
      </c>
      <c r="G23" s="14">
        <f t="shared" si="3"/>
        <v>0.49047619047619045</v>
      </c>
      <c r="H23" s="14">
        <f>1-_xlfn.BETA.DIST(VLOOKUP($A23,NB_p!$A$2:$G$25,2,FALSE),VLOOKUP($A23,NB_r!$A$2:$G$25,2,FALSE),H$20,TRUE)</f>
        <v>0.27281596326994406</v>
      </c>
      <c r="I23" s="14">
        <f t="shared" si="3"/>
        <v>0.20476190476190476</v>
      </c>
      <c r="J23" s="14">
        <f>1-_xlfn.BETA.DIST(VLOOKUP($A23,NB_p!$A$2:$G$25,2,FALSE),VLOOKUP($A23,NB_r!$A$2:$G$25,2,FALSE),J$20,TRUE)</f>
        <v>0.13895180748444824</v>
      </c>
      <c r="K23" s="14">
        <f t="shared" si="3"/>
        <v>5.2380952380952382E-2</v>
      </c>
      <c r="L23" s="14">
        <f>1-_xlfn.BETA.DIST(VLOOKUP($A23,NB_p!$A$2:$G$25,2,FALSE),VLOOKUP($A23,NB_r!$A$2:$G$25,2,FALSE),L$20,TRUE)</f>
        <v>6.4237865283410134E-2</v>
      </c>
      <c r="M23" s="14">
        <f t="shared" si="3"/>
        <v>1.4285714285714285E-2</v>
      </c>
      <c r="N23" s="14">
        <f>1-_xlfn.BETA.DIST(VLOOKUP($A23,NB_p!$A$2:$G$25,2,FALSE),VLOOKUP($A23,NB_r!$A$2:$G$25,2,FALSE),N$20,TRUE)</f>
        <v>2.7448610033296239E-2</v>
      </c>
      <c r="O23" s="17">
        <f t="shared" si="3"/>
        <v>9.5238095238095247E-3</v>
      </c>
    </row>
    <row r="24" spans="1:25" x14ac:dyDescent="0.3">
      <c r="A24" s="12">
        <v>12</v>
      </c>
      <c r="B24" s="14">
        <f>1-_xlfn.BETA.DIST(VLOOKUP($A24,NB_p!$A$2:$G$25,2,FALSE),VLOOKUP($A24,NB_r!$A$2:$G$25,2,FALSE),B$20,TRUE)</f>
        <v>0.71816705650373036</v>
      </c>
      <c r="C24" s="14">
        <f t="shared" si="3"/>
        <v>0.98571428571428577</v>
      </c>
      <c r="D24" s="14">
        <f>1-_xlfn.BETA.DIST(VLOOKUP($A24,NB_p!$A$2:$G$25,2,FALSE),VLOOKUP($A24,NB_r!$A$2:$G$25,2,FALSE),D$20,TRUE)</f>
        <v>0.57169203090618592</v>
      </c>
      <c r="E24" s="14">
        <f t="shared" si="3"/>
        <v>0.82380952380952377</v>
      </c>
      <c r="F24" s="14">
        <f>1-_xlfn.BETA.DIST(VLOOKUP($A24,NB_p!$A$2:$G$25,2,FALSE),VLOOKUP($A24,NB_r!$A$2:$G$25,2,FALSE),F$20,TRUE)</f>
        <v>0.44699485895680324</v>
      </c>
      <c r="G24" s="14">
        <f t="shared" si="3"/>
        <v>0.51428571428571423</v>
      </c>
      <c r="H24" s="14">
        <f>1-_xlfn.BETA.DIST(VLOOKUP($A24,NB_p!$A$2:$G$25,2,FALSE),VLOOKUP($A24,NB_r!$A$2:$G$25,2,FALSE),H$20,TRUE)</f>
        <v>0.34523847115265283</v>
      </c>
      <c r="I24" s="14">
        <f t="shared" si="3"/>
        <v>0.23809523809523808</v>
      </c>
      <c r="J24" s="14">
        <f>1-_xlfn.BETA.DIST(VLOOKUP($A24,NB_p!$A$2:$G$25,2,FALSE),VLOOKUP($A24,NB_r!$A$2:$G$25,2,FALSE),J$20,TRUE)</f>
        <v>0.26426542601916425</v>
      </c>
      <c r="K24" s="14">
        <f t="shared" si="3"/>
        <v>9.5238095238095233E-2</v>
      </c>
      <c r="L24" s="14">
        <f>1-_xlfn.BETA.DIST(VLOOKUP($A24,NB_p!$A$2:$G$25,2,FALSE),VLOOKUP($A24,NB_r!$A$2:$G$25,2,FALSE),L$20,TRUE)</f>
        <v>0.20089798457707475</v>
      </c>
      <c r="M24" s="14">
        <f t="shared" si="3"/>
        <v>5.2380952380952382E-2</v>
      </c>
      <c r="N24" s="14">
        <f>1-_xlfn.BETA.DIST(VLOOKUP($A24,NB_p!$A$2:$G$25,2,FALSE),VLOOKUP($A24,NB_r!$A$2:$G$25,2,FALSE),N$20,TRUE)</f>
        <v>0.15189502281295841</v>
      </c>
      <c r="O24" s="17">
        <f t="shared" si="3"/>
        <v>2.3809523809523808E-2</v>
      </c>
    </row>
    <row r="25" spans="1:25" x14ac:dyDescent="0.3">
      <c r="A25" s="12">
        <v>13</v>
      </c>
      <c r="B25" s="14">
        <f>1-_xlfn.BETA.DIST(VLOOKUP($A25,NB_p!$A$2:$G$25,2,FALSE),VLOOKUP($A25,NB_r!$A$2:$G$25,2,FALSE),B$20,TRUE)</f>
        <v>0.67188532409791346</v>
      </c>
      <c r="C25" s="14">
        <f t="shared" si="3"/>
        <v>0.98571428571428577</v>
      </c>
      <c r="D25" s="14">
        <f>1-_xlfn.BETA.DIST(VLOOKUP($A25,NB_p!$A$2:$G$25,2,FALSE),VLOOKUP($A25,NB_r!$A$2:$G$25,2,FALSE),D$20,TRUE)</f>
        <v>0.5360322957145961</v>
      </c>
      <c r="E25" s="14">
        <f t="shared" si="3"/>
        <v>0.83333333333333337</v>
      </c>
      <c r="F25" s="14">
        <f>1-_xlfn.BETA.DIST(VLOOKUP($A25,NB_p!$A$2:$G$25,2,FALSE),VLOOKUP($A25,NB_r!$A$2:$G$25,2,FALSE),F$20,TRUE)</f>
        <v>0.42487855582741008</v>
      </c>
      <c r="G25" s="14">
        <f t="shared" si="3"/>
        <v>0.47619047619047616</v>
      </c>
      <c r="H25" s="14">
        <f>1-_xlfn.BETA.DIST(VLOOKUP($A25,NB_p!$A$2:$G$25,2,FALSE),VLOOKUP($A25,NB_r!$A$2:$G$25,2,FALSE),H$20,TRUE)</f>
        <v>0.33532222078675988</v>
      </c>
      <c r="I25" s="14">
        <f t="shared" si="3"/>
        <v>0.23333333333333334</v>
      </c>
      <c r="J25" s="14">
        <f>1-_xlfn.BETA.DIST(VLOOKUP($A25,NB_p!$A$2:$G$25,2,FALSE),VLOOKUP($A25,NB_r!$A$2:$G$25,2,FALSE),J$20,TRUE)</f>
        <v>0.26381922314457307</v>
      </c>
      <c r="K25" s="14">
        <f t="shared" si="3"/>
        <v>0.10476190476190476</v>
      </c>
      <c r="L25" s="14">
        <f>1-_xlfn.BETA.DIST(VLOOKUP($A25,NB_p!$A$2:$G$25,2,FALSE),VLOOKUP($A25,NB_r!$A$2:$G$25,2,FALSE),L$20,TRUE)</f>
        <v>0.20707214315275047</v>
      </c>
      <c r="M25" s="14">
        <f t="shared" si="3"/>
        <v>4.2857142857142858E-2</v>
      </c>
      <c r="N25" s="14">
        <f>1-_xlfn.BETA.DIST(VLOOKUP($A25,NB_p!$A$2:$G$25,2,FALSE),VLOOKUP($A25,NB_r!$A$2:$G$25,2,FALSE),N$20,TRUE)</f>
        <v>0.16222778381952707</v>
      </c>
      <c r="O25" s="17">
        <f t="shared" si="3"/>
        <v>2.8571428571428571E-2</v>
      </c>
    </row>
    <row r="26" spans="1:25" x14ac:dyDescent="0.3">
      <c r="A26" s="12">
        <v>14</v>
      </c>
      <c r="B26" s="14">
        <f>1-_xlfn.BETA.DIST(VLOOKUP($A26,NB_p!$A$2:$G$25,2,FALSE),VLOOKUP($A26,NB_r!$A$2:$G$25,2,FALSE),B$20,TRUE)</f>
        <v>0.82616411642564869</v>
      </c>
      <c r="C26" s="14">
        <f t="shared" si="3"/>
        <v>0.93809523809523809</v>
      </c>
      <c r="D26" s="14">
        <f>1-_xlfn.BETA.DIST(VLOOKUP($A26,NB_p!$A$2:$G$25,2,FALSE),VLOOKUP($A26,NB_r!$A$2:$G$25,2,FALSE),D$20,TRUE)</f>
        <v>0.65584196266888473</v>
      </c>
      <c r="E26" s="14">
        <f t="shared" si="3"/>
        <v>0.7857142857142857</v>
      </c>
      <c r="F26" s="14">
        <f>1-_xlfn.BETA.DIST(VLOOKUP($A26,NB_p!$A$2:$G$25,2,FALSE),VLOOKUP($A26,NB_r!$A$2:$G$25,2,FALSE),F$20,TRUE)</f>
        <v>0.48830073715464728</v>
      </c>
      <c r="G26" s="14">
        <f t="shared" si="3"/>
        <v>0.53333333333333333</v>
      </c>
      <c r="H26" s="14">
        <f>1-_xlfn.BETA.DIST(VLOOKUP($A26,NB_p!$A$2:$G$25,2,FALSE),VLOOKUP($A26,NB_r!$A$2:$G$25,2,FALSE),H$20,TRUE)</f>
        <v>0.34647262039566606</v>
      </c>
      <c r="I26" s="14">
        <f t="shared" si="3"/>
        <v>0.24761904761904763</v>
      </c>
      <c r="J26" s="14">
        <f>1-_xlfn.BETA.DIST(VLOOKUP($A26,NB_p!$A$2:$G$25,2,FALSE),VLOOKUP($A26,NB_r!$A$2:$G$25,2,FALSE),J$20,TRUE)</f>
        <v>0.23692571697902332</v>
      </c>
      <c r="K26" s="14">
        <f t="shared" si="3"/>
        <v>0.10952380952380952</v>
      </c>
      <c r="L26" s="14">
        <f>1-_xlfn.BETA.DIST(VLOOKUP($A26,NB_p!$A$2:$G$25,2,FALSE),VLOOKUP($A26,NB_r!$A$2:$G$25,2,FALSE),L$20,TRUE)</f>
        <v>0.15738098915071641</v>
      </c>
      <c r="M26" s="14">
        <f t="shared" si="3"/>
        <v>5.7142857142857141E-2</v>
      </c>
      <c r="N26" s="14">
        <f>1-_xlfn.BETA.DIST(VLOOKUP($A26,NB_p!$A$2:$G$25,2,FALSE),VLOOKUP($A26,NB_r!$A$2:$G$25,2,FALSE),N$20,TRUE)</f>
        <v>0.10213319712751345</v>
      </c>
      <c r="O26" s="17">
        <f t="shared" si="3"/>
        <v>3.8095238095238099E-2</v>
      </c>
    </row>
    <row r="27" spans="1:25" x14ac:dyDescent="0.3">
      <c r="A27" s="12">
        <v>15</v>
      </c>
      <c r="B27" s="14">
        <f>1-_xlfn.BETA.DIST(VLOOKUP($A27,NB_p!$A$2:$G$25,2,FALSE),VLOOKUP($A27,NB_r!$A$2:$G$25,2,FALSE),B$20,TRUE)</f>
        <v>0.89179975732246441</v>
      </c>
      <c r="C27" s="14">
        <f t="shared" si="3"/>
        <v>0.96666666666666667</v>
      </c>
      <c r="D27" s="14">
        <f>1-_xlfn.BETA.DIST(VLOOKUP($A27,NB_p!$A$2:$G$25,2,FALSE),VLOOKUP($A27,NB_r!$A$2:$G$25,2,FALSE),D$20,TRUE)</f>
        <v>0.72734135453642246</v>
      </c>
      <c r="E27" s="14">
        <f t="shared" si="3"/>
        <v>0.8571428571428571</v>
      </c>
      <c r="F27" s="14">
        <f>1-_xlfn.BETA.DIST(VLOOKUP($A27,NB_p!$A$2:$G$25,2,FALSE),VLOOKUP($A27,NB_r!$A$2:$G$25,2,FALSE),F$20,TRUE)</f>
        <v>0.53792603162553698</v>
      </c>
      <c r="G27" s="14">
        <f t="shared" si="3"/>
        <v>0.60952380952380958</v>
      </c>
      <c r="H27" s="14">
        <f>1-_xlfn.BETA.DIST(VLOOKUP($A27,NB_p!$A$2:$G$25,2,FALSE),VLOOKUP($A27,NB_r!$A$2:$G$25,2,FALSE),H$20,TRUE)</f>
        <v>0.36708596732075049</v>
      </c>
      <c r="I27" s="14">
        <f t="shared" si="3"/>
        <v>0.28095238095238095</v>
      </c>
      <c r="J27" s="14">
        <f>1-_xlfn.BETA.DIST(VLOOKUP($A27,NB_p!$A$2:$G$25,2,FALSE),VLOOKUP($A27,NB_r!$A$2:$G$25,2,FALSE),J$20,TRUE)</f>
        <v>0.23484413051661135</v>
      </c>
      <c r="K27" s="14">
        <f t="shared" si="3"/>
        <v>0.12857142857142856</v>
      </c>
      <c r="L27" s="14">
        <f>1-_xlfn.BETA.DIST(VLOOKUP($A27,NB_p!$A$2:$G$25,2,FALSE),VLOOKUP($A27,NB_r!$A$2:$G$25,2,FALSE),L$20,TRUE)</f>
        <v>0.14263912446348148</v>
      </c>
      <c r="M27" s="14">
        <f t="shared" si="3"/>
        <v>6.1904761904761907E-2</v>
      </c>
      <c r="N27" s="14">
        <f>1-_xlfn.BETA.DIST(VLOOKUP($A27,NB_p!$A$2:$G$25,2,FALSE),VLOOKUP($A27,NB_r!$A$2:$G$25,2,FALSE),N$20,TRUE)</f>
        <v>8.305104284660958E-2</v>
      </c>
      <c r="O27" s="17">
        <f t="shared" si="3"/>
        <v>4.2857142857142858E-2</v>
      </c>
    </row>
    <row r="28" spans="1:25" x14ac:dyDescent="0.3">
      <c r="A28" s="12">
        <v>16</v>
      </c>
      <c r="B28" s="14">
        <f>1-_xlfn.BETA.DIST(VLOOKUP($A28,NB_p!$A$2:$G$25,2,FALSE),VLOOKUP($A28,NB_r!$A$2:$G$25,2,FALSE),B$20,TRUE)</f>
        <v>0.96272082521970037</v>
      </c>
      <c r="C28" s="14">
        <f t="shared" si="3"/>
        <v>0.99523809523809526</v>
      </c>
      <c r="D28" s="14">
        <f>1-_xlfn.BETA.DIST(VLOOKUP($A28,NB_p!$A$2:$G$25,2,FALSE),VLOOKUP($A28,NB_r!$A$2:$G$25,2,FALSE),D$20,TRUE)</f>
        <v>0.81756558981475203</v>
      </c>
      <c r="E28" s="14">
        <f t="shared" si="3"/>
        <v>0.85238095238095235</v>
      </c>
      <c r="F28" s="14">
        <f>1-_xlfn.BETA.DIST(VLOOKUP($A28,NB_p!$A$2:$G$25,2,FALSE),VLOOKUP($A28,NB_r!$A$2:$G$25,2,FALSE),F$20,TRUE)</f>
        <v>0.57049380050497955</v>
      </c>
      <c r="G28" s="14">
        <f t="shared" si="3"/>
        <v>0.57619047619047614</v>
      </c>
      <c r="H28" s="14">
        <f>1-_xlfn.BETA.DIST(VLOOKUP($A28,NB_p!$A$2:$G$25,2,FALSE),VLOOKUP($A28,NB_r!$A$2:$G$25,2,FALSE),H$20,TRUE)</f>
        <v>0.32454276592277775</v>
      </c>
      <c r="I28" s="14">
        <f t="shared" si="3"/>
        <v>0.30952380952380953</v>
      </c>
      <c r="J28" s="14">
        <f>1-_xlfn.BETA.DIST(VLOOKUP($A28,NB_p!$A$2:$G$25,2,FALSE),VLOOKUP($A28,NB_r!$A$2:$G$25,2,FALSE),J$20,TRUE)</f>
        <v>0.15395287691470938</v>
      </c>
      <c r="K28" s="14">
        <f t="shared" si="3"/>
        <v>0.11428571428571428</v>
      </c>
      <c r="L28" s="14">
        <f>1-_xlfn.BETA.DIST(VLOOKUP($A28,NB_p!$A$2:$G$25,2,FALSE),VLOOKUP($A28,NB_r!$A$2:$G$25,2,FALSE),L$20,TRUE)</f>
        <v>6.265609862317767E-2</v>
      </c>
      <c r="M28" s="14">
        <f t="shared" si="3"/>
        <v>4.2857142857142858E-2</v>
      </c>
      <c r="N28" s="14">
        <f>1-_xlfn.BETA.DIST(VLOOKUP($A28,NB_p!$A$2:$G$25,2,FALSE),VLOOKUP($A28,NB_r!$A$2:$G$25,2,FALSE),N$20,TRUE)</f>
        <v>2.2446388278699381E-2</v>
      </c>
      <c r="O28" s="17">
        <f t="shared" si="3"/>
        <v>1.9047619047619049E-2</v>
      </c>
    </row>
    <row r="29" spans="1:25" x14ac:dyDescent="0.3">
      <c r="A29" s="12">
        <v>17</v>
      </c>
      <c r="B29" s="14">
        <f>1-_xlfn.BETA.DIST(VLOOKUP($A29,NB_p!$A$2:$G$25,2,FALSE),VLOOKUP($A29,NB_r!$A$2:$G$25,2,FALSE),B$20,TRUE)</f>
        <v>0.92824137363572878</v>
      </c>
      <c r="C29" s="14">
        <f t="shared" si="3"/>
        <v>0.95714285714285718</v>
      </c>
      <c r="D29" s="14">
        <f>1-_xlfn.BETA.DIST(VLOOKUP($A29,NB_p!$A$2:$G$25,2,FALSE),VLOOKUP($A29,NB_r!$A$2:$G$25,2,FALSE),D$20,TRUE)</f>
        <v>0.76193732544602133</v>
      </c>
      <c r="E29" s="14">
        <f t="shared" si="3"/>
        <v>0.80476190476190479</v>
      </c>
      <c r="F29" s="14">
        <f>1-_xlfn.BETA.DIST(VLOOKUP($A29,NB_p!$A$2:$G$25,2,FALSE),VLOOKUP($A29,NB_r!$A$2:$G$25,2,FALSE),F$20,TRUE)</f>
        <v>0.53953417738103215</v>
      </c>
      <c r="G29" s="14">
        <f t="shared" si="3"/>
        <v>0.50476190476190474</v>
      </c>
      <c r="H29" s="14">
        <f>1-_xlfn.BETA.DIST(VLOOKUP($A29,NB_p!$A$2:$G$25,2,FALSE),VLOOKUP($A29,NB_r!$A$2:$G$25,2,FALSE),H$20,TRUE)</f>
        <v>0.33431998794329898</v>
      </c>
      <c r="I29" s="14">
        <f t="shared" si="3"/>
        <v>0.29523809523809524</v>
      </c>
      <c r="J29" s="14">
        <f>1-_xlfn.BETA.DIST(VLOOKUP($A29,NB_p!$A$2:$G$25,2,FALSE),VLOOKUP($A29,NB_r!$A$2:$G$25,2,FALSE),J$20,TRUE)</f>
        <v>0.18530517397452484</v>
      </c>
      <c r="K29" s="14">
        <f t="shared" si="3"/>
        <v>0.17142857142857143</v>
      </c>
      <c r="L29" s="14">
        <f>1-_xlfn.BETA.DIST(VLOOKUP($A29,NB_p!$A$2:$G$25,2,FALSE),VLOOKUP($A29,NB_r!$A$2:$G$25,2,FALSE),L$20,TRUE)</f>
        <v>9.3748425421078752E-2</v>
      </c>
      <c r="M29" s="14">
        <f t="shared" si="3"/>
        <v>8.0952380952380956E-2</v>
      </c>
      <c r="N29" s="14">
        <f>1-_xlfn.BETA.DIST(VLOOKUP($A29,NB_p!$A$2:$G$25,2,FALSE),VLOOKUP($A29,NB_r!$A$2:$G$25,2,FALSE),N$20,TRUE)</f>
        <v>4.4007485837237237E-2</v>
      </c>
      <c r="O29" s="17">
        <f t="shared" si="3"/>
        <v>4.7619047619047616E-2</v>
      </c>
    </row>
    <row r="30" spans="1:25" x14ac:dyDescent="0.3">
      <c r="A30" s="15">
        <v>18</v>
      </c>
      <c r="B30" s="16">
        <f>1-_xlfn.BETA.DIST(VLOOKUP($A30,NB_p!$A$2:$G$25,2,FALSE),VLOOKUP($A30,NB_r!$A$2:$G$25,2,FALSE),B$20,TRUE)</f>
        <v>0.93931124531143939</v>
      </c>
      <c r="C30" s="16">
        <f t="shared" si="3"/>
        <v>0.94761904761904758</v>
      </c>
      <c r="D30" s="16">
        <f>1-_xlfn.BETA.DIST(VLOOKUP($A30,NB_p!$A$2:$G$25,2,FALSE),VLOOKUP($A30,NB_r!$A$2:$G$25,2,FALSE),D$20,TRUE)</f>
        <v>0.72721763875847345</v>
      </c>
      <c r="E30" s="16">
        <f t="shared" si="3"/>
        <v>0.72857142857142854</v>
      </c>
      <c r="F30" s="16">
        <f>1-_xlfn.BETA.DIST(VLOOKUP($A30,NB_p!$A$2:$G$25,2,FALSE),VLOOKUP($A30,NB_r!$A$2:$G$25,2,FALSE),F$20,TRUE)</f>
        <v>0.42657931406335781</v>
      </c>
      <c r="G30" s="16">
        <f t="shared" si="3"/>
        <v>0.43333333333333335</v>
      </c>
      <c r="H30" s="16">
        <f>1-_xlfn.BETA.DIST(VLOOKUP($A30,NB_p!$A$2:$G$25,2,FALSE),VLOOKUP($A30,NB_r!$A$2:$G$25,2,FALSE),H$20,TRUE)</f>
        <v>0.19114185755541757</v>
      </c>
      <c r="I30" s="16">
        <f t="shared" si="3"/>
        <v>0.18095238095238095</v>
      </c>
      <c r="J30" s="16">
        <f>1-_xlfn.BETA.DIST(VLOOKUP($A30,NB_p!$A$2:$G$25,2,FALSE),VLOOKUP($A30,NB_r!$A$2:$G$25,2,FALSE),J$20,TRUE)</f>
        <v>6.809034428949412E-2</v>
      </c>
      <c r="K30" s="16">
        <f t="shared" si="3"/>
        <v>6.1904761904761907E-2</v>
      </c>
      <c r="L30" s="16">
        <f>1-_xlfn.BETA.DIST(VLOOKUP($A30,NB_p!$A$2:$G$25,2,FALSE),VLOOKUP($A30,NB_r!$A$2:$G$25,2,FALSE),L$20,TRUE)</f>
        <v>2.0088517106392478E-2</v>
      </c>
      <c r="M30" s="16">
        <f t="shared" si="3"/>
        <v>1.4285714285714285E-2</v>
      </c>
      <c r="N30" s="16">
        <f>1-_xlfn.BETA.DIST(VLOOKUP($A30,NB_p!$A$2:$G$25,2,FALSE),VLOOKUP($A30,NB_r!$A$2:$G$25,2,FALSE),N$20,TRUE)</f>
        <v>5.0782607635159183E-3</v>
      </c>
      <c r="O30" s="18">
        <f t="shared" si="3"/>
        <v>4.7619047619047623E-3</v>
      </c>
    </row>
    <row r="32" spans="1:25" x14ac:dyDescent="0.3">
      <c r="A32" s="1" t="s">
        <v>7</v>
      </c>
      <c r="B32" s="1">
        <v>0</v>
      </c>
      <c r="C32" s="1">
        <v>1</v>
      </c>
      <c r="D32" s="1">
        <v>2</v>
      </c>
      <c r="E32" s="1">
        <v>3</v>
      </c>
      <c r="F32" s="1">
        <v>4</v>
      </c>
      <c r="G32" s="1">
        <v>5</v>
      </c>
      <c r="H32" s="1">
        <v>6</v>
      </c>
      <c r="I32" s="1">
        <v>7</v>
      </c>
      <c r="J32" s="1">
        <v>8</v>
      </c>
      <c r="K32" s="1">
        <v>9</v>
      </c>
      <c r="L32" s="1">
        <v>10</v>
      </c>
      <c r="M32" s="1">
        <v>11</v>
      </c>
      <c r="N32" s="1">
        <v>12</v>
      </c>
      <c r="O32" s="1">
        <v>13</v>
      </c>
      <c r="P32" s="1">
        <v>14</v>
      </c>
      <c r="Q32" s="1">
        <v>15</v>
      </c>
      <c r="R32" s="1">
        <v>16</v>
      </c>
      <c r="S32" s="1">
        <v>17</v>
      </c>
      <c r="T32" s="1">
        <v>18</v>
      </c>
      <c r="U32" s="1">
        <v>19</v>
      </c>
      <c r="V32" s="1">
        <v>20</v>
      </c>
      <c r="W32" s="1">
        <v>21</v>
      </c>
      <c r="X32" s="1">
        <v>22</v>
      </c>
      <c r="Y32" s="1">
        <v>23</v>
      </c>
    </row>
    <row r="33" spans="1:25" x14ac:dyDescent="0.3">
      <c r="A33" s="2">
        <v>43831</v>
      </c>
      <c r="B33" s="1">
        <v>21</v>
      </c>
      <c r="C33" s="1">
        <v>13</v>
      </c>
      <c r="D33" s="1">
        <v>5</v>
      </c>
      <c r="E33" s="1">
        <v>7</v>
      </c>
      <c r="F33" s="1">
        <v>3</v>
      </c>
      <c r="G33" s="1">
        <v>11</v>
      </c>
      <c r="H33" s="1">
        <v>6</v>
      </c>
      <c r="I33" s="1">
        <v>6</v>
      </c>
      <c r="J33" s="1">
        <v>11</v>
      </c>
      <c r="K33" s="1">
        <v>16</v>
      </c>
      <c r="L33" s="1">
        <v>15</v>
      </c>
      <c r="M33" s="1">
        <v>11</v>
      </c>
      <c r="N33" s="1">
        <v>15</v>
      </c>
      <c r="O33" s="1">
        <v>20</v>
      </c>
      <c r="P33" s="1">
        <v>18</v>
      </c>
      <c r="Q33" s="1">
        <v>17</v>
      </c>
      <c r="R33" s="1">
        <v>15</v>
      </c>
      <c r="S33" s="1">
        <v>22</v>
      </c>
      <c r="T33" s="1">
        <v>15</v>
      </c>
      <c r="U33" s="1">
        <v>19</v>
      </c>
      <c r="V33" s="1">
        <v>13</v>
      </c>
      <c r="W33" s="1">
        <v>17</v>
      </c>
      <c r="X33" s="1">
        <v>10</v>
      </c>
      <c r="Y33" s="1">
        <v>7</v>
      </c>
    </row>
    <row r="34" spans="1:25" x14ac:dyDescent="0.3">
      <c r="A34" s="2">
        <v>43832</v>
      </c>
      <c r="B34" s="1">
        <v>9</v>
      </c>
      <c r="C34" s="1">
        <v>2</v>
      </c>
      <c r="D34" s="1">
        <v>5</v>
      </c>
      <c r="E34" s="1">
        <v>6</v>
      </c>
      <c r="F34" s="1">
        <v>9</v>
      </c>
      <c r="G34" s="1">
        <v>8</v>
      </c>
      <c r="H34" s="1">
        <v>7</v>
      </c>
      <c r="I34" s="1">
        <v>11</v>
      </c>
      <c r="J34" s="1">
        <v>20</v>
      </c>
      <c r="K34" s="1">
        <v>29</v>
      </c>
      <c r="L34" s="1">
        <v>23</v>
      </c>
      <c r="M34" s="1">
        <v>29</v>
      </c>
      <c r="N34" s="1">
        <v>19</v>
      </c>
      <c r="O34" s="1">
        <v>19</v>
      </c>
      <c r="P34" s="1">
        <v>23</v>
      </c>
      <c r="Q34" s="1">
        <v>24</v>
      </c>
      <c r="R34" s="1">
        <v>32</v>
      </c>
      <c r="S34" s="1">
        <v>37</v>
      </c>
      <c r="T34" s="1">
        <v>20</v>
      </c>
      <c r="U34" s="1">
        <v>21</v>
      </c>
      <c r="V34" s="1">
        <v>15</v>
      </c>
      <c r="W34" s="1">
        <v>17</v>
      </c>
      <c r="X34" s="1">
        <v>12</v>
      </c>
      <c r="Y34" s="1">
        <v>18</v>
      </c>
    </row>
    <row r="35" spans="1:25" x14ac:dyDescent="0.3">
      <c r="A35" s="2">
        <v>43833</v>
      </c>
      <c r="B35" s="1">
        <v>7</v>
      </c>
      <c r="C35" s="1">
        <v>6</v>
      </c>
      <c r="D35" s="1">
        <v>4</v>
      </c>
      <c r="E35" s="1">
        <v>3</v>
      </c>
      <c r="F35" s="1">
        <v>13</v>
      </c>
      <c r="G35" s="1">
        <v>4</v>
      </c>
      <c r="H35" s="1">
        <v>24</v>
      </c>
      <c r="I35" s="1">
        <v>23</v>
      </c>
      <c r="J35" s="1">
        <v>24</v>
      </c>
      <c r="K35" s="1">
        <v>22</v>
      </c>
      <c r="L35" s="1">
        <v>20</v>
      </c>
      <c r="M35" s="1">
        <v>24</v>
      </c>
      <c r="N35" s="1">
        <v>19</v>
      </c>
      <c r="O35" s="1">
        <v>17</v>
      </c>
      <c r="P35" s="1">
        <v>20</v>
      </c>
      <c r="Q35" s="1">
        <v>21</v>
      </c>
      <c r="R35" s="1">
        <v>21</v>
      </c>
      <c r="S35" s="1">
        <v>41</v>
      </c>
      <c r="T35" s="1">
        <v>19</v>
      </c>
      <c r="U35" s="1">
        <v>20</v>
      </c>
      <c r="V35" s="1">
        <v>10</v>
      </c>
      <c r="W35" s="1">
        <v>9</v>
      </c>
      <c r="X35" s="1">
        <v>13</v>
      </c>
      <c r="Y35" s="1">
        <v>7</v>
      </c>
    </row>
    <row r="36" spans="1:25" x14ac:dyDescent="0.3">
      <c r="A36" s="2">
        <v>43834</v>
      </c>
      <c r="B36" s="1">
        <v>10</v>
      </c>
      <c r="C36" s="1">
        <v>9</v>
      </c>
      <c r="D36" s="1">
        <v>11</v>
      </c>
      <c r="E36" s="1">
        <v>20</v>
      </c>
      <c r="F36" s="1">
        <v>15</v>
      </c>
      <c r="G36" s="1">
        <v>12</v>
      </c>
      <c r="H36" s="1">
        <v>3</v>
      </c>
      <c r="I36" s="1">
        <v>12</v>
      </c>
      <c r="J36" s="1">
        <v>16</v>
      </c>
      <c r="K36" s="1">
        <v>17</v>
      </c>
      <c r="L36" s="1">
        <v>19</v>
      </c>
      <c r="M36" s="1">
        <v>19</v>
      </c>
      <c r="N36" s="1">
        <v>24</v>
      </c>
      <c r="O36" s="1">
        <v>29</v>
      </c>
      <c r="P36" s="1">
        <v>19</v>
      </c>
      <c r="Q36" s="1">
        <v>15</v>
      </c>
      <c r="R36" s="1">
        <v>18</v>
      </c>
      <c r="S36" s="1">
        <v>26</v>
      </c>
      <c r="T36" s="1">
        <v>29</v>
      </c>
      <c r="U36" s="1">
        <v>23</v>
      </c>
      <c r="V36" s="1">
        <v>10</v>
      </c>
      <c r="W36" s="1">
        <v>21</v>
      </c>
      <c r="X36" s="1">
        <v>11</v>
      </c>
      <c r="Y36" s="1">
        <v>14</v>
      </c>
    </row>
    <row r="37" spans="1:25" x14ac:dyDescent="0.3">
      <c r="A37" s="2">
        <v>43835</v>
      </c>
      <c r="B37" s="1">
        <v>9</v>
      </c>
      <c r="C37" s="1">
        <v>10</v>
      </c>
      <c r="D37" s="1">
        <v>9</v>
      </c>
      <c r="E37" s="1">
        <v>5</v>
      </c>
      <c r="F37" s="1">
        <v>2</v>
      </c>
      <c r="G37" s="1">
        <v>6</v>
      </c>
      <c r="H37" s="1">
        <v>7</v>
      </c>
      <c r="I37" s="1">
        <v>13</v>
      </c>
      <c r="J37" s="1">
        <v>13</v>
      </c>
      <c r="K37" s="1">
        <v>16</v>
      </c>
      <c r="L37" s="1">
        <v>17</v>
      </c>
      <c r="M37" s="1">
        <v>23</v>
      </c>
      <c r="N37" s="1">
        <v>10</v>
      </c>
      <c r="O37" s="1">
        <v>24</v>
      </c>
      <c r="P37" s="1">
        <v>16</v>
      </c>
      <c r="Q37" s="1">
        <v>10</v>
      </c>
      <c r="R37" s="1">
        <v>15</v>
      </c>
      <c r="S37" s="1">
        <v>15</v>
      </c>
      <c r="T37" s="1">
        <v>14</v>
      </c>
      <c r="U37" s="1">
        <v>18</v>
      </c>
      <c r="V37" s="1">
        <v>11</v>
      </c>
      <c r="W37" s="1">
        <v>6</v>
      </c>
      <c r="X37" s="1">
        <v>11</v>
      </c>
      <c r="Y37" s="1">
        <v>9</v>
      </c>
    </row>
    <row r="38" spans="1:25" x14ac:dyDescent="0.3">
      <c r="A38" s="2">
        <v>43836</v>
      </c>
      <c r="B38" s="1">
        <v>2</v>
      </c>
      <c r="C38" s="1">
        <v>6</v>
      </c>
      <c r="D38" s="1">
        <v>2</v>
      </c>
      <c r="E38" s="1">
        <v>9</v>
      </c>
      <c r="F38" s="1">
        <v>3</v>
      </c>
      <c r="G38" s="1">
        <v>9</v>
      </c>
      <c r="H38" s="1">
        <v>13</v>
      </c>
      <c r="I38" s="1">
        <v>17</v>
      </c>
      <c r="J38" s="1">
        <v>18</v>
      </c>
      <c r="K38" s="1">
        <v>18</v>
      </c>
      <c r="L38" s="1">
        <v>18</v>
      </c>
      <c r="M38" s="1">
        <v>22</v>
      </c>
      <c r="N38" s="1">
        <v>23</v>
      </c>
      <c r="O38" s="1">
        <v>14</v>
      </c>
      <c r="P38" s="1">
        <v>21</v>
      </c>
      <c r="Q38" s="1">
        <v>24</v>
      </c>
      <c r="R38" s="1">
        <v>25</v>
      </c>
      <c r="S38" s="1">
        <v>26</v>
      </c>
      <c r="T38" s="1">
        <v>13</v>
      </c>
      <c r="U38" s="1">
        <v>14</v>
      </c>
      <c r="V38" s="1">
        <v>20</v>
      </c>
      <c r="W38" s="1">
        <v>13</v>
      </c>
      <c r="X38" s="1">
        <v>15</v>
      </c>
      <c r="Y38" s="1">
        <v>8</v>
      </c>
    </row>
    <row r="39" spans="1:25" x14ac:dyDescent="0.3">
      <c r="A39" s="2">
        <v>43837</v>
      </c>
      <c r="B39" s="1">
        <v>4</v>
      </c>
      <c r="C39" s="1">
        <v>4</v>
      </c>
      <c r="D39" s="1">
        <v>6</v>
      </c>
      <c r="E39" s="1">
        <v>3</v>
      </c>
      <c r="F39" s="1">
        <v>6</v>
      </c>
      <c r="G39" s="1">
        <v>3</v>
      </c>
      <c r="H39" s="1">
        <v>10</v>
      </c>
      <c r="I39" s="1">
        <v>21</v>
      </c>
      <c r="J39" s="1">
        <v>28</v>
      </c>
      <c r="K39" s="1">
        <v>20</v>
      </c>
      <c r="L39" s="1">
        <v>27</v>
      </c>
      <c r="M39" s="1">
        <v>28</v>
      </c>
      <c r="N39" s="1">
        <v>14</v>
      </c>
      <c r="O39" s="1">
        <v>21</v>
      </c>
      <c r="P39" s="1">
        <v>18</v>
      </c>
      <c r="Q39" s="1">
        <v>15</v>
      </c>
      <c r="R39" s="1">
        <v>27</v>
      </c>
      <c r="S39" s="1">
        <v>36</v>
      </c>
      <c r="T39" s="1">
        <v>17</v>
      </c>
      <c r="U39" s="1">
        <v>19</v>
      </c>
      <c r="V39" s="1">
        <v>19</v>
      </c>
      <c r="W39" s="1">
        <v>10</v>
      </c>
      <c r="X39" s="1">
        <v>11</v>
      </c>
      <c r="Y39" s="1">
        <v>8</v>
      </c>
    </row>
    <row r="40" spans="1:25" x14ac:dyDescent="0.3">
      <c r="A40" s="2">
        <v>43838</v>
      </c>
      <c r="B40" s="1">
        <v>4</v>
      </c>
      <c r="C40" s="1">
        <v>8</v>
      </c>
      <c r="D40" s="1">
        <v>10</v>
      </c>
      <c r="E40" s="1">
        <v>9</v>
      </c>
      <c r="F40" s="1">
        <v>10</v>
      </c>
      <c r="G40" s="1">
        <v>10</v>
      </c>
      <c r="H40" s="1">
        <v>11</v>
      </c>
      <c r="I40" s="1">
        <v>16</v>
      </c>
      <c r="J40" s="1">
        <v>24</v>
      </c>
      <c r="K40" s="1">
        <v>25</v>
      </c>
      <c r="L40" s="1">
        <v>23</v>
      </c>
      <c r="M40" s="1">
        <v>25</v>
      </c>
      <c r="N40" s="1">
        <v>21</v>
      </c>
      <c r="O40" s="1">
        <v>20</v>
      </c>
      <c r="P40" s="1">
        <v>21</v>
      </c>
      <c r="Q40" s="1">
        <v>30</v>
      </c>
      <c r="R40" s="1">
        <v>32</v>
      </c>
      <c r="S40" s="1">
        <v>31</v>
      </c>
      <c r="T40" s="1">
        <v>24</v>
      </c>
      <c r="U40" s="1">
        <v>21</v>
      </c>
      <c r="V40" s="1">
        <v>19</v>
      </c>
      <c r="W40" s="1">
        <v>7</v>
      </c>
      <c r="X40" s="1">
        <v>2</v>
      </c>
      <c r="Y40" s="1">
        <v>9</v>
      </c>
    </row>
    <row r="41" spans="1:25" x14ac:dyDescent="0.3">
      <c r="A41" s="2">
        <v>43839</v>
      </c>
      <c r="B41" s="1">
        <v>8</v>
      </c>
      <c r="C41" s="1">
        <v>4</v>
      </c>
      <c r="D41" s="1">
        <v>3</v>
      </c>
      <c r="E41" s="1">
        <v>3</v>
      </c>
      <c r="F41" s="1">
        <v>4</v>
      </c>
      <c r="G41" s="1">
        <v>5</v>
      </c>
      <c r="H41" s="1">
        <v>6</v>
      </c>
      <c r="I41" s="1">
        <v>14</v>
      </c>
      <c r="J41" s="1">
        <v>35</v>
      </c>
      <c r="K41" s="1">
        <v>18</v>
      </c>
      <c r="L41" s="1">
        <v>17</v>
      </c>
      <c r="M41" s="1">
        <v>21</v>
      </c>
      <c r="N41" s="1">
        <v>25</v>
      </c>
      <c r="O41" s="1">
        <v>11</v>
      </c>
      <c r="P41" s="1">
        <v>22</v>
      </c>
      <c r="Q41" s="1">
        <v>23</v>
      </c>
      <c r="R41" s="1">
        <v>20</v>
      </c>
      <c r="S41" s="1">
        <v>30</v>
      </c>
      <c r="T41" s="1">
        <v>13</v>
      </c>
      <c r="U41" s="1">
        <v>19</v>
      </c>
      <c r="V41" s="1">
        <v>14</v>
      </c>
      <c r="W41" s="1">
        <v>11</v>
      </c>
      <c r="X41" s="1">
        <v>15</v>
      </c>
      <c r="Y41" s="1">
        <v>12</v>
      </c>
    </row>
    <row r="42" spans="1:25" x14ac:dyDescent="0.3">
      <c r="A42" s="2">
        <v>43840</v>
      </c>
      <c r="B42" s="1">
        <v>5</v>
      </c>
      <c r="C42" s="1">
        <v>10</v>
      </c>
      <c r="D42" s="1">
        <v>16</v>
      </c>
      <c r="E42" s="1">
        <v>5</v>
      </c>
      <c r="F42" s="1">
        <v>5</v>
      </c>
      <c r="G42" s="1">
        <v>6</v>
      </c>
      <c r="H42" s="1">
        <v>14</v>
      </c>
      <c r="I42" s="1">
        <v>18</v>
      </c>
      <c r="J42" s="1">
        <v>30</v>
      </c>
      <c r="K42" s="1">
        <v>27</v>
      </c>
      <c r="L42" s="1">
        <v>18</v>
      </c>
      <c r="M42" s="1">
        <v>25</v>
      </c>
      <c r="N42" s="1">
        <v>27</v>
      </c>
      <c r="O42" s="1">
        <v>16</v>
      </c>
      <c r="P42" s="1">
        <v>11</v>
      </c>
      <c r="Q42" s="1">
        <v>33</v>
      </c>
      <c r="R42" s="1">
        <v>29</v>
      </c>
      <c r="S42" s="1">
        <v>37</v>
      </c>
      <c r="T42" s="1">
        <v>27</v>
      </c>
      <c r="U42" s="1">
        <v>21</v>
      </c>
      <c r="V42" s="1">
        <v>15</v>
      </c>
      <c r="W42" s="1">
        <v>12</v>
      </c>
      <c r="X42" s="1">
        <v>21</v>
      </c>
      <c r="Y42" s="1">
        <v>7</v>
      </c>
    </row>
    <row r="43" spans="1:25" x14ac:dyDescent="0.3">
      <c r="A43" s="2">
        <v>43841</v>
      </c>
      <c r="B43" s="1">
        <v>6</v>
      </c>
      <c r="C43" s="1">
        <v>5</v>
      </c>
      <c r="D43" s="1">
        <v>6</v>
      </c>
      <c r="E43" s="1">
        <v>8</v>
      </c>
      <c r="F43" s="1">
        <v>8</v>
      </c>
      <c r="G43" s="1">
        <v>6</v>
      </c>
      <c r="H43" s="1">
        <v>3</v>
      </c>
      <c r="I43" s="1">
        <v>7</v>
      </c>
      <c r="J43" s="1">
        <v>15</v>
      </c>
      <c r="K43" s="1">
        <v>11</v>
      </c>
      <c r="L43" s="1">
        <v>25</v>
      </c>
      <c r="M43" s="1">
        <v>25</v>
      </c>
      <c r="N43" s="1">
        <v>24</v>
      </c>
      <c r="O43" s="1">
        <v>13</v>
      </c>
      <c r="P43" s="1">
        <v>18</v>
      </c>
      <c r="Q43" s="1">
        <v>24</v>
      </c>
      <c r="R43" s="1">
        <v>23</v>
      </c>
      <c r="S43" s="1">
        <v>28</v>
      </c>
      <c r="T43" s="1">
        <v>26</v>
      </c>
      <c r="U43" s="1">
        <v>22</v>
      </c>
      <c r="V43" s="1">
        <v>14</v>
      </c>
      <c r="W43" s="1">
        <v>19</v>
      </c>
      <c r="X43" s="1">
        <v>14</v>
      </c>
      <c r="Y43" s="1">
        <v>11</v>
      </c>
    </row>
    <row r="44" spans="1:25" x14ac:dyDescent="0.3">
      <c r="A44" s="2">
        <v>43842</v>
      </c>
      <c r="B44" s="1">
        <v>12</v>
      </c>
      <c r="C44" s="1">
        <v>14</v>
      </c>
      <c r="D44" s="1">
        <v>13</v>
      </c>
      <c r="E44" s="1">
        <v>2</v>
      </c>
      <c r="F44" s="1">
        <v>10</v>
      </c>
      <c r="G44" s="1">
        <v>10</v>
      </c>
      <c r="H44" s="1">
        <v>5</v>
      </c>
      <c r="I44" s="1">
        <v>11</v>
      </c>
      <c r="J44" s="1">
        <v>19</v>
      </c>
      <c r="K44" s="1">
        <v>23</v>
      </c>
      <c r="L44" s="1">
        <v>24</v>
      </c>
      <c r="M44" s="1">
        <v>19</v>
      </c>
      <c r="N44" s="1">
        <v>15</v>
      </c>
      <c r="O44" s="1">
        <v>25</v>
      </c>
      <c r="P44" s="1">
        <v>24</v>
      </c>
      <c r="Q44" s="1">
        <v>29</v>
      </c>
      <c r="R44" s="1">
        <v>11</v>
      </c>
      <c r="S44" s="1">
        <v>19</v>
      </c>
      <c r="T44" s="1">
        <v>13</v>
      </c>
      <c r="U44" s="1">
        <v>9</v>
      </c>
      <c r="V44" s="1">
        <v>13</v>
      </c>
      <c r="W44" s="1">
        <v>2</v>
      </c>
      <c r="X44" s="1">
        <v>4</v>
      </c>
      <c r="Y44" s="1">
        <v>8</v>
      </c>
    </row>
    <row r="45" spans="1:25" x14ac:dyDescent="0.3">
      <c r="A45" s="2">
        <v>43843</v>
      </c>
      <c r="B45" s="1">
        <v>7</v>
      </c>
      <c r="C45" s="1">
        <v>6</v>
      </c>
      <c r="D45" s="1">
        <v>4</v>
      </c>
      <c r="E45" s="1">
        <v>2</v>
      </c>
      <c r="F45" s="1">
        <v>7</v>
      </c>
      <c r="G45" s="1">
        <v>6</v>
      </c>
      <c r="H45" s="1">
        <v>11</v>
      </c>
      <c r="I45" s="1">
        <v>27</v>
      </c>
      <c r="J45" s="1">
        <v>20</v>
      </c>
      <c r="K45" s="1">
        <v>15</v>
      </c>
      <c r="L45" s="1">
        <v>23</v>
      </c>
      <c r="M45" s="1">
        <v>18</v>
      </c>
      <c r="N45" s="1">
        <v>19</v>
      </c>
      <c r="O45" s="1">
        <v>23</v>
      </c>
      <c r="P45" s="1">
        <v>22</v>
      </c>
      <c r="Q45" s="1">
        <v>23</v>
      </c>
      <c r="R45" s="1">
        <v>15</v>
      </c>
      <c r="S45" s="1">
        <v>35</v>
      </c>
      <c r="T45" s="1">
        <v>16</v>
      </c>
      <c r="U45" s="1">
        <v>32</v>
      </c>
      <c r="V45" s="1">
        <v>13</v>
      </c>
      <c r="W45" s="1">
        <v>10</v>
      </c>
      <c r="X45" s="1">
        <v>10</v>
      </c>
      <c r="Y45" s="1">
        <v>3</v>
      </c>
    </row>
    <row r="46" spans="1:25" x14ac:dyDescent="0.3">
      <c r="A46" s="2">
        <v>43844</v>
      </c>
      <c r="B46" s="1">
        <v>7</v>
      </c>
      <c r="C46" s="1">
        <v>4</v>
      </c>
      <c r="D46" s="1">
        <v>11</v>
      </c>
      <c r="E46" s="1">
        <v>9</v>
      </c>
      <c r="F46" s="1">
        <v>6</v>
      </c>
      <c r="G46" s="1">
        <v>11</v>
      </c>
      <c r="H46" s="1">
        <v>24</v>
      </c>
      <c r="I46" s="1">
        <v>19</v>
      </c>
      <c r="J46" s="1">
        <v>18</v>
      </c>
      <c r="K46" s="1">
        <v>18</v>
      </c>
      <c r="L46" s="1">
        <v>18</v>
      </c>
      <c r="M46" s="1">
        <v>19</v>
      </c>
      <c r="N46" s="1">
        <v>13</v>
      </c>
      <c r="O46" s="1">
        <v>27</v>
      </c>
      <c r="P46" s="1">
        <v>18</v>
      </c>
      <c r="Q46" s="1">
        <v>33</v>
      </c>
      <c r="R46" s="1">
        <v>37</v>
      </c>
      <c r="S46" s="1">
        <v>44</v>
      </c>
      <c r="T46" s="1">
        <v>28</v>
      </c>
      <c r="U46" s="1">
        <v>21</v>
      </c>
      <c r="V46" s="1">
        <v>10</v>
      </c>
      <c r="W46" s="1">
        <v>15</v>
      </c>
      <c r="X46" s="1">
        <v>14</v>
      </c>
      <c r="Y46" s="1">
        <v>9</v>
      </c>
    </row>
    <row r="47" spans="1:25" x14ac:dyDescent="0.3">
      <c r="A47" s="2">
        <v>43845</v>
      </c>
      <c r="B47" s="1">
        <v>7</v>
      </c>
      <c r="C47" s="1">
        <v>3</v>
      </c>
      <c r="D47" s="1">
        <v>12</v>
      </c>
      <c r="E47" s="1">
        <v>3</v>
      </c>
      <c r="F47" s="1">
        <v>6</v>
      </c>
      <c r="G47" s="1">
        <v>9</v>
      </c>
      <c r="H47" s="1">
        <v>2</v>
      </c>
      <c r="I47" s="1">
        <v>8</v>
      </c>
      <c r="J47" s="1">
        <v>38</v>
      </c>
      <c r="K47" s="1">
        <v>20</v>
      </c>
      <c r="L47" s="1">
        <v>21</v>
      </c>
      <c r="M47" s="1">
        <v>34</v>
      </c>
      <c r="N47" s="1">
        <v>16</v>
      </c>
      <c r="O47" s="1">
        <v>29</v>
      </c>
      <c r="P47" s="1">
        <v>22</v>
      </c>
      <c r="Q47" s="1">
        <v>28</v>
      </c>
      <c r="R47" s="1">
        <v>28</v>
      </c>
      <c r="S47" s="1">
        <v>26</v>
      </c>
      <c r="T47" s="1">
        <v>25</v>
      </c>
      <c r="U47" s="1">
        <v>18</v>
      </c>
      <c r="V47" s="1">
        <v>19</v>
      </c>
      <c r="W47" s="1">
        <v>17</v>
      </c>
      <c r="X47" s="1">
        <v>12</v>
      </c>
      <c r="Y47" s="1">
        <v>16</v>
      </c>
    </row>
    <row r="48" spans="1:25" x14ac:dyDescent="0.3">
      <c r="A48" s="2">
        <v>43846</v>
      </c>
      <c r="B48" s="1">
        <v>9</v>
      </c>
      <c r="C48" s="1">
        <v>6</v>
      </c>
      <c r="D48" s="1">
        <v>5</v>
      </c>
      <c r="E48" s="1">
        <v>4</v>
      </c>
      <c r="F48" s="1">
        <v>9</v>
      </c>
      <c r="G48" s="1">
        <v>8</v>
      </c>
      <c r="H48" s="1">
        <v>8</v>
      </c>
      <c r="I48" s="1">
        <v>23</v>
      </c>
      <c r="J48" s="1">
        <v>20</v>
      </c>
      <c r="K48" s="1">
        <v>30</v>
      </c>
      <c r="L48" s="1">
        <v>30</v>
      </c>
      <c r="M48" s="1">
        <v>27</v>
      </c>
      <c r="N48" s="1">
        <v>29</v>
      </c>
      <c r="O48" s="1">
        <v>34</v>
      </c>
      <c r="P48" s="1">
        <v>30</v>
      </c>
      <c r="Q48" s="1">
        <v>30</v>
      </c>
      <c r="R48" s="1">
        <v>30</v>
      </c>
      <c r="S48" s="1">
        <v>22</v>
      </c>
      <c r="T48" s="1">
        <v>21</v>
      </c>
      <c r="U48" s="1">
        <v>17</v>
      </c>
      <c r="V48" s="1">
        <v>25</v>
      </c>
      <c r="W48" s="1">
        <v>20</v>
      </c>
      <c r="X48" s="1">
        <v>9</v>
      </c>
      <c r="Y48" s="1">
        <v>7</v>
      </c>
    </row>
    <row r="49" spans="1:25" x14ac:dyDescent="0.3">
      <c r="A49" s="2">
        <v>43847</v>
      </c>
      <c r="B49" s="1">
        <v>8</v>
      </c>
      <c r="C49" s="1">
        <v>5</v>
      </c>
      <c r="D49" s="1">
        <v>2</v>
      </c>
      <c r="E49" s="1">
        <v>5</v>
      </c>
      <c r="F49" s="1">
        <v>6</v>
      </c>
      <c r="G49" s="1">
        <v>5</v>
      </c>
      <c r="H49" s="1">
        <v>11</v>
      </c>
      <c r="I49" s="1">
        <v>20</v>
      </c>
      <c r="J49" s="1">
        <v>25</v>
      </c>
      <c r="K49" s="1">
        <v>15</v>
      </c>
      <c r="L49" s="1">
        <v>28</v>
      </c>
      <c r="M49" s="1">
        <v>23</v>
      </c>
      <c r="N49" s="1">
        <v>24</v>
      </c>
      <c r="O49" s="1">
        <v>23</v>
      </c>
      <c r="P49" s="1">
        <v>41</v>
      </c>
      <c r="Q49" s="1">
        <v>32</v>
      </c>
      <c r="R49" s="1">
        <v>19</v>
      </c>
      <c r="S49" s="1">
        <v>33</v>
      </c>
      <c r="T49" s="1">
        <v>24</v>
      </c>
      <c r="U49" s="1">
        <v>18</v>
      </c>
      <c r="V49" s="1">
        <v>11</v>
      </c>
      <c r="W49" s="1">
        <v>17</v>
      </c>
      <c r="X49" s="1">
        <v>17</v>
      </c>
      <c r="Y49" s="1">
        <v>17</v>
      </c>
    </row>
    <row r="50" spans="1:25" x14ac:dyDescent="0.3">
      <c r="A50" s="2">
        <v>43848</v>
      </c>
      <c r="B50" s="1">
        <v>12</v>
      </c>
      <c r="C50" s="1">
        <v>11</v>
      </c>
      <c r="D50" s="1">
        <v>6</v>
      </c>
      <c r="E50" s="1">
        <v>5</v>
      </c>
      <c r="F50" s="1">
        <v>11</v>
      </c>
      <c r="G50" s="1">
        <v>5</v>
      </c>
      <c r="H50" s="1">
        <v>5</v>
      </c>
      <c r="I50" s="1">
        <v>9</v>
      </c>
      <c r="J50" s="1">
        <v>12</v>
      </c>
      <c r="K50" s="1">
        <v>7</v>
      </c>
      <c r="L50" s="1">
        <v>84</v>
      </c>
      <c r="M50" s="1">
        <v>106</v>
      </c>
      <c r="N50" s="1">
        <v>72</v>
      </c>
      <c r="O50" s="1">
        <v>36</v>
      </c>
      <c r="P50" s="1">
        <v>67</v>
      </c>
      <c r="Q50" s="1">
        <v>60</v>
      </c>
      <c r="R50" s="1">
        <v>41</v>
      </c>
      <c r="S50" s="1">
        <v>42</v>
      </c>
      <c r="T50" s="1">
        <v>28</v>
      </c>
      <c r="U50" s="1">
        <v>26</v>
      </c>
      <c r="V50" s="1">
        <v>20</v>
      </c>
      <c r="W50" s="1">
        <v>24</v>
      </c>
      <c r="X50" s="1">
        <v>7</v>
      </c>
      <c r="Y50" s="1">
        <v>10</v>
      </c>
    </row>
    <row r="51" spans="1:25" x14ac:dyDescent="0.3">
      <c r="A51" s="2">
        <v>43849</v>
      </c>
      <c r="B51" s="1">
        <v>8</v>
      </c>
      <c r="C51" s="1">
        <v>10</v>
      </c>
      <c r="D51" s="1">
        <v>8</v>
      </c>
      <c r="E51" s="1">
        <v>2</v>
      </c>
      <c r="F51" s="1">
        <v>4</v>
      </c>
      <c r="G51" s="1">
        <v>12</v>
      </c>
      <c r="H51" s="1">
        <v>38</v>
      </c>
      <c r="I51" s="1">
        <v>49</v>
      </c>
      <c r="J51" s="1">
        <v>30</v>
      </c>
      <c r="K51" s="1">
        <v>21</v>
      </c>
      <c r="L51" s="1">
        <v>27</v>
      </c>
      <c r="M51" s="1">
        <v>20</v>
      </c>
      <c r="N51" s="1">
        <v>24</v>
      </c>
      <c r="O51" s="1">
        <v>15</v>
      </c>
      <c r="P51" s="1">
        <v>21</v>
      </c>
      <c r="Q51" s="1">
        <v>22</v>
      </c>
      <c r="R51" s="1">
        <v>17</v>
      </c>
      <c r="S51" s="1">
        <v>8</v>
      </c>
      <c r="T51" s="1">
        <v>19</v>
      </c>
      <c r="U51" s="1">
        <v>11</v>
      </c>
      <c r="V51" s="1">
        <v>9</v>
      </c>
      <c r="W51" s="1">
        <v>8</v>
      </c>
      <c r="X51" s="1">
        <v>14</v>
      </c>
      <c r="Y51" s="1">
        <v>9</v>
      </c>
    </row>
    <row r="52" spans="1:25" x14ac:dyDescent="0.3">
      <c r="A52" s="2">
        <v>43850</v>
      </c>
      <c r="B52" s="1">
        <v>6</v>
      </c>
      <c r="C52" s="1">
        <v>5</v>
      </c>
      <c r="D52" s="1">
        <v>8</v>
      </c>
      <c r="E52" s="1">
        <v>4</v>
      </c>
      <c r="F52" s="1">
        <v>7</v>
      </c>
      <c r="G52" s="1">
        <v>5</v>
      </c>
      <c r="H52" s="1">
        <v>9</v>
      </c>
      <c r="I52" s="1">
        <v>13</v>
      </c>
      <c r="J52" s="1">
        <v>22</v>
      </c>
      <c r="K52" s="1">
        <v>17</v>
      </c>
      <c r="L52" s="1">
        <v>34</v>
      </c>
      <c r="M52" s="1">
        <v>23</v>
      </c>
      <c r="N52" s="1">
        <v>21</v>
      </c>
      <c r="O52" s="1">
        <v>31</v>
      </c>
      <c r="P52" s="1">
        <v>21</v>
      </c>
      <c r="Q52" s="1">
        <v>23</v>
      </c>
      <c r="R52" s="1">
        <v>35</v>
      </c>
      <c r="S52" s="1">
        <v>19</v>
      </c>
      <c r="T52" s="1">
        <v>35</v>
      </c>
      <c r="U52" s="1">
        <v>22</v>
      </c>
      <c r="V52" s="1">
        <v>10</v>
      </c>
      <c r="W52" s="1">
        <v>12</v>
      </c>
      <c r="X52" s="1">
        <v>16</v>
      </c>
      <c r="Y52" s="1">
        <v>2</v>
      </c>
    </row>
    <row r="53" spans="1:25" x14ac:dyDescent="0.3">
      <c r="A53" s="2">
        <v>43851</v>
      </c>
      <c r="B53" s="1">
        <v>8</v>
      </c>
      <c r="C53" s="1">
        <v>6</v>
      </c>
      <c r="D53" s="1">
        <v>4</v>
      </c>
      <c r="E53" s="1">
        <v>7</v>
      </c>
      <c r="F53" s="1">
        <v>5</v>
      </c>
      <c r="G53" s="1">
        <v>5</v>
      </c>
      <c r="H53" s="1">
        <v>13</v>
      </c>
      <c r="I53" s="1">
        <v>23</v>
      </c>
      <c r="J53" s="1">
        <v>27</v>
      </c>
      <c r="K53" s="1">
        <v>18</v>
      </c>
      <c r="L53" s="1">
        <v>19</v>
      </c>
      <c r="M53" s="1">
        <v>22</v>
      </c>
      <c r="N53" s="1">
        <v>16</v>
      </c>
      <c r="O53" s="1">
        <v>23</v>
      </c>
      <c r="P53" s="1">
        <v>33</v>
      </c>
      <c r="Q53" s="1">
        <v>19</v>
      </c>
      <c r="R53" s="1">
        <v>26</v>
      </c>
      <c r="S53" s="1">
        <v>25</v>
      </c>
      <c r="T53" s="1">
        <v>23</v>
      </c>
      <c r="U53" s="1">
        <v>21</v>
      </c>
      <c r="V53" s="1">
        <v>14</v>
      </c>
      <c r="W53" s="1">
        <v>10</v>
      </c>
      <c r="X53" s="1">
        <v>8</v>
      </c>
      <c r="Y53" s="1">
        <v>9</v>
      </c>
    </row>
    <row r="54" spans="1:25" x14ac:dyDescent="0.3">
      <c r="A54" s="2">
        <v>43852</v>
      </c>
      <c r="B54" s="1">
        <v>3</v>
      </c>
      <c r="C54" s="1">
        <v>3</v>
      </c>
      <c r="D54" s="1">
        <v>5</v>
      </c>
      <c r="E54" s="1">
        <v>5</v>
      </c>
      <c r="F54" s="1">
        <v>1</v>
      </c>
      <c r="G54" s="1">
        <v>2</v>
      </c>
      <c r="H54" s="1">
        <v>17</v>
      </c>
      <c r="I54" s="1">
        <v>18</v>
      </c>
      <c r="J54" s="1">
        <v>20</v>
      </c>
      <c r="K54" s="1">
        <v>29</v>
      </c>
      <c r="L54" s="1">
        <v>26</v>
      </c>
      <c r="M54" s="1">
        <v>21</v>
      </c>
      <c r="N54" s="1">
        <v>24</v>
      </c>
      <c r="O54" s="1">
        <v>22</v>
      </c>
      <c r="P54" s="1">
        <v>34</v>
      </c>
      <c r="Q54" s="1">
        <v>23</v>
      </c>
      <c r="R54" s="1">
        <v>21</v>
      </c>
      <c r="S54" s="1">
        <v>23</v>
      </c>
      <c r="T54" s="1">
        <v>30</v>
      </c>
      <c r="U54" s="1">
        <v>22</v>
      </c>
      <c r="V54" s="1">
        <v>12</v>
      </c>
      <c r="W54" s="1">
        <v>12</v>
      </c>
      <c r="X54" s="1">
        <v>12</v>
      </c>
      <c r="Y54" s="1">
        <v>4</v>
      </c>
    </row>
    <row r="55" spans="1:25" x14ac:dyDescent="0.3">
      <c r="A55" s="2">
        <v>43853</v>
      </c>
      <c r="B55" s="1">
        <v>13</v>
      </c>
      <c r="C55" s="1">
        <v>4</v>
      </c>
      <c r="D55" s="1">
        <v>3</v>
      </c>
      <c r="E55" s="1">
        <v>7</v>
      </c>
      <c r="F55" s="1">
        <v>4</v>
      </c>
      <c r="G55" s="1">
        <v>7</v>
      </c>
      <c r="H55" s="1">
        <v>8</v>
      </c>
      <c r="I55" s="1">
        <v>20</v>
      </c>
      <c r="J55" s="1">
        <v>20</v>
      </c>
      <c r="K55" s="1">
        <v>19</v>
      </c>
      <c r="L55" s="1">
        <v>34</v>
      </c>
      <c r="M55" s="1">
        <v>15</v>
      </c>
      <c r="N55" s="1">
        <v>18</v>
      </c>
      <c r="O55" s="1">
        <v>20</v>
      </c>
      <c r="P55" s="1">
        <v>25</v>
      </c>
      <c r="Q55" s="1">
        <v>27</v>
      </c>
      <c r="R55" s="1">
        <v>18</v>
      </c>
      <c r="S55" s="1">
        <v>42</v>
      </c>
      <c r="T55" s="1">
        <v>18</v>
      </c>
      <c r="U55" s="1">
        <v>17</v>
      </c>
      <c r="V55" s="1">
        <v>14</v>
      </c>
      <c r="W55" s="1">
        <v>9</v>
      </c>
      <c r="X55" s="1">
        <v>17</v>
      </c>
      <c r="Y55" s="1">
        <v>9</v>
      </c>
    </row>
    <row r="56" spans="1:25" x14ac:dyDescent="0.3">
      <c r="A56" s="2">
        <v>43854</v>
      </c>
      <c r="B56" s="1">
        <v>9</v>
      </c>
      <c r="C56" s="1">
        <v>4</v>
      </c>
      <c r="D56" s="1">
        <v>2</v>
      </c>
      <c r="E56" s="1">
        <v>3</v>
      </c>
      <c r="F56" s="1">
        <v>9</v>
      </c>
      <c r="G56" s="1">
        <v>5</v>
      </c>
      <c r="H56" s="1">
        <v>10</v>
      </c>
      <c r="I56" s="1">
        <v>21</v>
      </c>
      <c r="J56" s="1">
        <v>23</v>
      </c>
      <c r="K56" s="1">
        <v>24</v>
      </c>
      <c r="L56" s="1">
        <v>18</v>
      </c>
      <c r="M56" s="1">
        <v>24</v>
      </c>
      <c r="N56" s="1">
        <v>24</v>
      </c>
      <c r="O56" s="1">
        <v>25</v>
      </c>
      <c r="P56" s="1">
        <v>22</v>
      </c>
      <c r="Q56" s="1">
        <v>28</v>
      </c>
      <c r="R56" s="1">
        <v>23</v>
      </c>
      <c r="S56" s="1">
        <v>31</v>
      </c>
      <c r="T56" s="1">
        <v>29</v>
      </c>
      <c r="U56" s="1">
        <v>9</v>
      </c>
      <c r="V56" s="1">
        <v>11</v>
      </c>
      <c r="W56" s="1">
        <v>16</v>
      </c>
      <c r="X56" s="1">
        <v>14</v>
      </c>
      <c r="Y56" s="1">
        <v>12</v>
      </c>
    </row>
    <row r="57" spans="1:25" x14ac:dyDescent="0.3">
      <c r="A57" s="2">
        <v>43855</v>
      </c>
      <c r="B57" s="1">
        <v>12</v>
      </c>
      <c r="C57" s="1">
        <v>11</v>
      </c>
      <c r="D57" s="1">
        <v>5</v>
      </c>
      <c r="E57" s="1">
        <v>7</v>
      </c>
      <c r="F57" s="1">
        <v>4</v>
      </c>
      <c r="G57" s="1">
        <v>5</v>
      </c>
      <c r="H57" s="1">
        <v>9</v>
      </c>
      <c r="I57" s="1">
        <v>10</v>
      </c>
      <c r="J57" s="1">
        <v>23</v>
      </c>
      <c r="K57" s="1">
        <v>21</v>
      </c>
      <c r="L57" s="1">
        <v>33</v>
      </c>
      <c r="M57" s="1">
        <v>57</v>
      </c>
      <c r="N57" s="1">
        <v>52</v>
      </c>
      <c r="O57" s="1">
        <v>23</v>
      </c>
      <c r="P57" s="1">
        <v>19</v>
      </c>
      <c r="Q57" s="1">
        <v>25</v>
      </c>
      <c r="R57" s="1">
        <v>23</v>
      </c>
      <c r="S57" s="1">
        <v>27</v>
      </c>
      <c r="T57" s="1">
        <v>20</v>
      </c>
      <c r="U57" s="1">
        <v>22</v>
      </c>
      <c r="V57" s="1">
        <v>11</v>
      </c>
      <c r="W57" s="1">
        <v>14</v>
      </c>
      <c r="X57" s="1">
        <v>8</v>
      </c>
      <c r="Y57" s="1">
        <v>21</v>
      </c>
    </row>
    <row r="58" spans="1:25" x14ac:dyDescent="0.3">
      <c r="A58" s="2">
        <v>43856</v>
      </c>
      <c r="B58" s="1">
        <v>10</v>
      </c>
      <c r="C58" s="1">
        <v>8</v>
      </c>
      <c r="D58" s="1">
        <v>12</v>
      </c>
      <c r="E58" s="1">
        <v>2</v>
      </c>
      <c r="F58" s="1">
        <v>4</v>
      </c>
      <c r="G58" s="1">
        <v>8</v>
      </c>
      <c r="H58" s="1">
        <v>10</v>
      </c>
      <c r="I58" s="1">
        <v>11</v>
      </c>
      <c r="J58" s="1">
        <v>21</v>
      </c>
      <c r="K58" s="1">
        <v>16</v>
      </c>
      <c r="L58" s="1">
        <v>18</v>
      </c>
      <c r="M58" s="1">
        <v>11</v>
      </c>
      <c r="N58" s="1">
        <v>19</v>
      </c>
      <c r="O58" s="1">
        <v>12</v>
      </c>
      <c r="P58" s="1">
        <v>15</v>
      </c>
      <c r="Q58" s="1">
        <v>16</v>
      </c>
      <c r="R58" s="1">
        <v>20</v>
      </c>
      <c r="S58" s="1">
        <v>20</v>
      </c>
      <c r="T58" s="1">
        <v>18</v>
      </c>
      <c r="U58" s="1">
        <v>14</v>
      </c>
      <c r="V58" s="1">
        <v>12</v>
      </c>
      <c r="W58" s="1">
        <v>17</v>
      </c>
      <c r="X58" s="1">
        <v>9</v>
      </c>
      <c r="Y58" s="1">
        <v>10</v>
      </c>
    </row>
    <row r="59" spans="1:25" x14ac:dyDescent="0.3">
      <c r="A59" s="2">
        <v>43857</v>
      </c>
      <c r="B59" s="1">
        <v>6</v>
      </c>
      <c r="C59" s="1">
        <v>4</v>
      </c>
      <c r="D59" s="1">
        <v>7</v>
      </c>
      <c r="E59" s="1">
        <v>3</v>
      </c>
      <c r="F59" s="1">
        <v>5</v>
      </c>
      <c r="G59" s="1">
        <v>5</v>
      </c>
      <c r="H59" s="1">
        <v>15</v>
      </c>
      <c r="I59" s="1">
        <v>10</v>
      </c>
      <c r="J59" s="1">
        <v>25</v>
      </c>
      <c r="K59" s="1">
        <v>25</v>
      </c>
      <c r="L59" s="1">
        <v>22</v>
      </c>
      <c r="M59" s="1">
        <v>26</v>
      </c>
      <c r="N59" s="1">
        <v>35</v>
      </c>
      <c r="O59" s="1">
        <v>16</v>
      </c>
      <c r="P59" s="1">
        <v>18</v>
      </c>
      <c r="Q59" s="1">
        <v>11</v>
      </c>
      <c r="R59" s="1">
        <v>24</v>
      </c>
      <c r="S59" s="1">
        <v>28</v>
      </c>
      <c r="T59" s="1">
        <v>15</v>
      </c>
      <c r="U59" s="1">
        <v>17</v>
      </c>
      <c r="V59" s="1">
        <v>17</v>
      </c>
      <c r="W59" s="1">
        <v>7</v>
      </c>
      <c r="X59" s="1">
        <v>9</v>
      </c>
      <c r="Y59" s="1">
        <v>9</v>
      </c>
    </row>
    <row r="60" spans="1:25" x14ac:dyDescent="0.3">
      <c r="A60" s="2">
        <v>43858</v>
      </c>
      <c r="B60" s="1">
        <v>4</v>
      </c>
      <c r="C60" s="1">
        <v>5</v>
      </c>
      <c r="D60" s="1">
        <v>4</v>
      </c>
      <c r="E60" s="1">
        <v>2</v>
      </c>
      <c r="F60" s="1">
        <v>5</v>
      </c>
      <c r="G60" s="1">
        <v>6</v>
      </c>
      <c r="H60" s="1">
        <v>19</v>
      </c>
      <c r="I60" s="1">
        <v>18</v>
      </c>
      <c r="J60" s="1">
        <v>30</v>
      </c>
      <c r="K60" s="1">
        <v>13</v>
      </c>
      <c r="L60" s="1">
        <v>21</v>
      </c>
      <c r="M60" s="1">
        <v>31</v>
      </c>
      <c r="N60" s="1">
        <v>20</v>
      </c>
      <c r="O60" s="1">
        <v>18</v>
      </c>
      <c r="P60" s="1">
        <v>13</v>
      </c>
      <c r="Q60" s="1">
        <v>21</v>
      </c>
      <c r="R60" s="1">
        <v>28</v>
      </c>
      <c r="S60" s="1">
        <v>22</v>
      </c>
      <c r="T60" s="1">
        <v>24</v>
      </c>
      <c r="U60" s="1">
        <v>16</v>
      </c>
      <c r="V60" s="1">
        <v>5</v>
      </c>
      <c r="W60" s="1">
        <v>6</v>
      </c>
      <c r="X60" s="1">
        <v>6</v>
      </c>
      <c r="Y60" s="1">
        <v>17</v>
      </c>
    </row>
    <row r="61" spans="1:25" x14ac:dyDescent="0.3">
      <c r="A61" s="2">
        <v>43859</v>
      </c>
      <c r="B61" s="1">
        <v>14</v>
      </c>
      <c r="C61" s="1">
        <v>5</v>
      </c>
      <c r="D61" s="1">
        <v>6</v>
      </c>
      <c r="E61" s="1">
        <v>3</v>
      </c>
      <c r="F61" s="1">
        <v>5</v>
      </c>
      <c r="G61" s="1">
        <v>5</v>
      </c>
      <c r="H61" s="1">
        <v>10</v>
      </c>
      <c r="I61" s="1">
        <v>13</v>
      </c>
      <c r="J61" s="1">
        <v>22</v>
      </c>
      <c r="K61" s="1">
        <v>13</v>
      </c>
      <c r="L61" s="1">
        <v>16</v>
      </c>
      <c r="M61" s="1">
        <v>19</v>
      </c>
      <c r="N61" s="1">
        <v>16</v>
      </c>
      <c r="O61" s="1">
        <v>17</v>
      </c>
      <c r="P61" s="1">
        <v>16</v>
      </c>
      <c r="Q61" s="1">
        <v>31</v>
      </c>
      <c r="R61" s="1">
        <v>21</v>
      </c>
      <c r="S61" s="1">
        <v>21</v>
      </c>
      <c r="T61" s="1">
        <v>26</v>
      </c>
      <c r="U61" s="1">
        <v>18</v>
      </c>
      <c r="V61" s="1">
        <v>8</v>
      </c>
      <c r="W61" s="1">
        <v>22</v>
      </c>
      <c r="X61" s="1">
        <v>11</v>
      </c>
      <c r="Y61" s="1">
        <v>13</v>
      </c>
    </row>
    <row r="62" spans="1:25" x14ac:dyDescent="0.3">
      <c r="A62" s="2">
        <v>43860</v>
      </c>
      <c r="B62" s="1">
        <v>5</v>
      </c>
      <c r="C62" s="1">
        <v>4</v>
      </c>
      <c r="D62" s="1">
        <v>6</v>
      </c>
      <c r="E62" s="1">
        <v>6</v>
      </c>
      <c r="F62" s="1">
        <v>8</v>
      </c>
      <c r="G62" s="1">
        <v>5</v>
      </c>
      <c r="H62" s="1">
        <v>20</v>
      </c>
      <c r="I62" s="1">
        <v>19</v>
      </c>
      <c r="J62" s="1">
        <v>24</v>
      </c>
      <c r="K62" s="1">
        <v>16</v>
      </c>
      <c r="L62" s="1">
        <v>15</v>
      </c>
      <c r="M62" s="1">
        <v>30</v>
      </c>
      <c r="N62" s="1">
        <v>14</v>
      </c>
      <c r="O62" s="1">
        <v>22</v>
      </c>
      <c r="P62" s="1">
        <v>23</v>
      </c>
      <c r="Q62" s="1">
        <v>26</v>
      </c>
      <c r="R62" s="1">
        <v>34</v>
      </c>
      <c r="S62" s="1">
        <v>30</v>
      </c>
      <c r="T62" s="1">
        <v>26</v>
      </c>
      <c r="U62" s="1">
        <v>13</v>
      </c>
      <c r="V62" s="1">
        <v>13</v>
      </c>
      <c r="W62" s="1">
        <v>17</v>
      </c>
      <c r="X62" s="1">
        <v>11</v>
      </c>
      <c r="Y62" s="1">
        <v>2</v>
      </c>
    </row>
    <row r="63" spans="1:25" x14ac:dyDescent="0.3">
      <c r="A63" s="2">
        <v>43861</v>
      </c>
      <c r="B63" s="1">
        <v>4</v>
      </c>
      <c r="C63" s="1">
        <v>4</v>
      </c>
      <c r="D63" s="1">
        <v>4</v>
      </c>
      <c r="E63" s="1">
        <v>2</v>
      </c>
      <c r="F63" s="1">
        <v>1</v>
      </c>
      <c r="G63" s="1">
        <v>7</v>
      </c>
      <c r="H63" s="1">
        <v>17</v>
      </c>
      <c r="I63" s="1">
        <v>13</v>
      </c>
      <c r="J63" s="1">
        <v>25</v>
      </c>
      <c r="K63" s="1">
        <v>19</v>
      </c>
      <c r="L63" s="1">
        <v>20</v>
      </c>
      <c r="M63" s="1">
        <v>23</v>
      </c>
      <c r="N63" s="1">
        <v>16</v>
      </c>
      <c r="O63" s="1">
        <v>11</v>
      </c>
      <c r="P63" s="1">
        <v>22</v>
      </c>
      <c r="Q63" s="1">
        <v>27</v>
      </c>
      <c r="R63" s="1">
        <v>25</v>
      </c>
      <c r="S63" s="1">
        <v>30</v>
      </c>
      <c r="T63" s="1">
        <v>21</v>
      </c>
      <c r="U63" s="1">
        <v>17</v>
      </c>
      <c r="V63" s="1">
        <v>24</v>
      </c>
      <c r="W63" s="1">
        <v>22</v>
      </c>
      <c r="X63" s="1">
        <v>13</v>
      </c>
      <c r="Y63" s="1">
        <v>10</v>
      </c>
    </row>
    <row r="64" spans="1:25" x14ac:dyDescent="0.3">
      <c r="A64" s="2">
        <v>43862</v>
      </c>
      <c r="B64" s="1">
        <v>7</v>
      </c>
      <c r="C64" s="1">
        <v>15</v>
      </c>
      <c r="D64" s="1">
        <v>12</v>
      </c>
      <c r="E64" s="1">
        <v>7</v>
      </c>
      <c r="F64" s="1">
        <v>6</v>
      </c>
      <c r="G64" s="1">
        <v>10</v>
      </c>
      <c r="H64" s="1">
        <v>4</v>
      </c>
      <c r="I64" s="1">
        <v>8</v>
      </c>
      <c r="J64" s="1">
        <v>15</v>
      </c>
      <c r="K64" s="1">
        <v>19</v>
      </c>
      <c r="L64" s="1">
        <v>22</v>
      </c>
      <c r="M64" s="1">
        <v>16</v>
      </c>
      <c r="N64" s="1">
        <v>25</v>
      </c>
      <c r="O64" s="1">
        <v>17</v>
      </c>
      <c r="P64" s="1">
        <v>17</v>
      </c>
      <c r="Q64" s="1">
        <v>20</v>
      </c>
      <c r="R64" s="1">
        <v>24</v>
      </c>
      <c r="S64" s="1">
        <v>28</v>
      </c>
      <c r="T64" s="1">
        <v>30</v>
      </c>
      <c r="U64" s="1">
        <v>20</v>
      </c>
      <c r="V64" s="1">
        <v>6</v>
      </c>
      <c r="W64" s="1">
        <v>9</v>
      </c>
      <c r="X64" s="1">
        <v>13</v>
      </c>
      <c r="Y64" s="1">
        <v>6</v>
      </c>
    </row>
    <row r="65" spans="1:25" x14ac:dyDescent="0.3">
      <c r="A65" s="2">
        <v>43863</v>
      </c>
      <c r="B65" s="1">
        <v>7</v>
      </c>
      <c r="C65" s="1">
        <v>16</v>
      </c>
      <c r="D65" s="1">
        <v>9</v>
      </c>
      <c r="E65" s="1">
        <v>11</v>
      </c>
      <c r="F65" s="1">
        <v>6</v>
      </c>
      <c r="G65" s="1">
        <v>1</v>
      </c>
      <c r="H65" s="1">
        <v>6</v>
      </c>
      <c r="I65" s="1">
        <v>8</v>
      </c>
      <c r="J65" s="1">
        <v>17</v>
      </c>
      <c r="K65" s="1">
        <v>12</v>
      </c>
      <c r="L65" s="1">
        <v>20</v>
      </c>
      <c r="M65" s="1">
        <v>18</v>
      </c>
      <c r="N65" s="1">
        <v>23</v>
      </c>
      <c r="O65" s="1">
        <v>20</v>
      </c>
      <c r="P65" s="1">
        <v>14</v>
      </c>
      <c r="Q65" s="1">
        <v>24</v>
      </c>
      <c r="R65" s="1">
        <v>15</v>
      </c>
      <c r="S65" s="1">
        <v>28</v>
      </c>
      <c r="T65" s="1">
        <v>16</v>
      </c>
      <c r="U65" s="1">
        <v>14</v>
      </c>
      <c r="V65" s="1">
        <v>12</v>
      </c>
      <c r="W65" s="1">
        <v>9</v>
      </c>
      <c r="X65" s="1">
        <v>11</v>
      </c>
      <c r="Y65" s="1">
        <v>6</v>
      </c>
    </row>
    <row r="66" spans="1:25" x14ac:dyDescent="0.3">
      <c r="A66" s="2">
        <v>43864</v>
      </c>
      <c r="B66" s="1">
        <v>10</v>
      </c>
      <c r="C66" s="1">
        <v>7</v>
      </c>
      <c r="D66" s="1">
        <v>5</v>
      </c>
      <c r="E66" s="1">
        <v>2</v>
      </c>
      <c r="F66" s="1">
        <v>5</v>
      </c>
      <c r="G66" s="1">
        <v>14</v>
      </c>
      <c r="H66" s="1">
        <v>15</v>
      </c>
      <c r="I66" s="1">
        <v>41</v>
      </c>
      <c r="J66" s="1">
        <v>19</v>
      </c>
      <c r="K66" s="1">
        <v>32</v>
      </c>
      <c r="L66" s="1">
        <v>26</v>
      </c>
      <c r="M66" s="1">
        <v>20</v>
      </c>
      <c r="N66" s="1">
        <v>18</v>
      </c>
      <c r="O66" s="1">
        <v>26</v>
      </c>
      <c r="P66" s="1">
        <v>27</v>
      </c>
      <c r="Q66" s="1">
        <v>24</v>
      </c>
      <c r="R66" s="1">
        <v>28</v>
      </c>
      <c r="S66" s="1">
        <v>24</v>
      </c>
      <c r="T66" s="1">
        <v>34</v>
      </c>
      <c r="U66" s="1">
        <v>19</v>
      </c>
      <c r="V66" s="1">
        <v>12</v>
      </c>
      <c r="W66" s="1">
        <v>10</v>
      </c>
      <c r="X66" s="1">
        <v>18</v>
      </c>
      <c r="Y66" s="1">
        <v>5</v>
      </c>
    </row>
    <row r="67" spans="1:25" x14ac:dyDescent="0.3">
      <c r="A67" s="2">
        <v>43865</v>
      </c>
      <c r="B67" s="1">
        <v>4</v>
      </c>
      <c r="C67" s="1">
        <v>8</v>
      </c>
      <c r="D67" s="1">
        <v>1</v>
      </c>
      <c r="E67" s="1">
        <v>4</v>
      </c>
      <c r="F67" s="1">
        <v>4</v>
      </c>
      <c r="G67" s="1">
        <v>6</v>
      </c>
      <c r="H67" s="1">
        <v>9</v>
      </c>
      <c r="I67" s="1">
        <v>15</v>
      </c>
      <c r="J67" s="1">
        <v>25</v>
      </c>
      <c r="K67" s="1">
        <v>22</v>
      </c>
      <c r="L67" s="1">
        <v>29</v>
      </c>
      <c r="M67" s="1">
        <v>20</v>
      </c>
      <c r="N67" s="1">
        <v>23</v>
      </c>
      <c r="O67" s="1">
        <v>22</v>
      </c>
      <c r="P67" s="1">
        <v>26</v>
      </c>
      <c r="Q67" s="1">
        <v>26</v>
      </c>
      <c r="R67" s="1">
        <v>19</v>
      </c>
      <c r="S67" s="1">
        <v>29</v>
      </c>
      <c r="T67" s="1">
        <v>17</v>
      </c>
      <c r="U67" s="1">
        <v>16</v>
      </c>
      <c r="V67" s="1">
        <v>26</v>
      </c>
      <c r="W67" s="1">
        <v>9</v>
      </c>
      <c r="X67" s="1">
        <v>13</v>
      </c>
      <c r="Y67" s="1">
        <v>8</v>
      </c>
    </row>
    <row r="68" spans="1:25" x14ac:dyDescent="0.3">
      <c r="A68" s="2">
        <v>43866</v>
      </c>
      <c r="B68" s="1">
        <v>5</v>
      </c>
      <c r="C68" s="1">
        <v>3</v>
      </c>
      <c r="D68" s="1">
        <v>2</v>
      </c>
      <c r="E68" s="1">
        <v>2</v>
      </c>
      <c r="F68" s="1">
        <v>7</v>
      </c>
      <c r="G68" s="1">
        <v>3</v>
      </c>
      <c r="H68" s="1">
        <v>8</v>
      </c>
      <c r="I68" s="1">
        <v>19</v>
      </c>
      <c r="J68" s="1">
        <v>22</v>
      </c>
      <c r="K68" s="1">
        <v>27</v>
      </c>
      <c r="L68" s="1">
        <v>22</v>
      </c>
      <c r="M68" s="1">
        <v>17</v>
      </c>
      <c r="N68" s="1">
        <v>16</v>
      </c>
      <c r="O68" s="1">
        <v>18</v>
      </c>
      <c r="P68" s="1">
        <v>18</v>
      </c>
      <c r="Q68" s="1">
        <v>22</v>
      </c>
      <c r="R68" s="1">
        <v>20</v>
      </c>
      <c r="S68" s="1">
        <v>35</v>
      </c>
      <c r="T68" s="1">
        <v>13</v>
      </c>
      <c r="U68" s="1">
        <v>21</v>
      </c>
      <c r="V68" s="1">
        <v>15</v>
      </c>
      <c r="W68" s="1">
        <v>14</v>
      </c>
      <c r="X68" s="1">
        <v>12</v>
      </c>
      <c r="Y68" s="1">
        <v>5</v>
      </c>
    </row>
    <row r="69" spans="1:25" x14ac:dyDescent="0.3">
      <c r="A69" s="2">
        <v>43867</v>
      </c>
      <c r="B69" s="1">
        <v>8</v>
      </c>
      <c r="C69" s="1">
        <v>10</v>
      </c>
      <c r="D69" s="1">
        <v>9</v>
      </c>
      <c r="E69" s="1">
        <v>9</v>
      </c>
      <c r="F69" s="1">
        <v>4</v>
      </c>
      <c r="G69" s="1">
        <v>6</v>
      </c>
      <c r="H69" s="1">
        <v>15</v>
      </c>
      <c r="I69" s="1">
        <v>22</v>
      </c>
      <c r="J69" s="1">
        <v>28</v>
      </c>
      <c r="K69" s="1">
        <v>19</v>
      </c>
      <c r="L69" s="1">
        <v>16</v>
      </c>
      <c r="M69" s="1">
        <v>24</v>
      </c>
      <c r="N69" s="1">
        <v>25</v>
      </c>
      <c r="O69" s="1">
        <v>11</v>
      </c>
      <c r="P69" s="1">
        <v>25</v>
      </c>
      <c r="Q69" s="1">
        <v>23</v>
      </c>
      <c r="R69" s="1">
        <v>22</v>
      </c>
      <c r="S69" s="1">
        <v>26</v>
      </c>
      <c r="T69" s="1">
        <v>21</v>
      </c>
      <c r="U69" s="1">
        <v>24</v>
      </c>
      <c r="V69" s="1">
        <v>11</v>
      </c>
      <c r="W69" s="1">
        <v>11</v>
      </c>
      <c r="X69" s="1">
        <v>16</v>
      </c>
      <c r="Y69" s="1">
        <v>11</v>
      </c>
    </row>
    <row r="70" spans="1:25" x14ac:dyDescent="0.3">
      <c r="A70" s="2">
        <v>43868</v>
      </c>
      <c r="B70" s="1">
        <v>6</v>
      </c>
      <c r="C70" s="1">
        <v>8</v>
      </c>
      <c r="D70" s="1">
        <v>4</v>
      </c>
      <c r="E70" s="1">
        <v>2</v>
      </c>
      <c r="F70" s="1">
        <v>3</v>
      </c>
      <c r="G70" s="1">
        <v>7</v>
      </c>
      <c r="H70" s="1">
        <v>20</v>
      </c>
      <c r="I70" s="1">
        <v>22</v>
      </c>
      <c r="J70" s="1">
        <v>33</v>
      </c>
      <c r="K70" s="1">
        <v>37</v>
      </c>
      <c r="L70" s="1">
        <v>39</v>
      </c>
      <c r="M70" s="1">
        <v>31</v>
      </c>
      <c r="N70" s="1">
        <v>40</v>
      </c>
      <c r="O70" s="1">
        <v>34</v>
      </c>
      <c r="P70" s="1">
        <v>39</v>
      </c>
      <c r="Q70" s="1">
        <v>28</v>
      </c>
      <c r="R70" s="1">
        <v>32</v>
      </c>
      <c r="S70" s="1">
        <v>24</v>
      </c>
      <c r="T70" s="1">
        <v>20</v>
      </c>
      <c r="U70" s="1">
        <v>25</v>
      </c>
      <c r="V70" s="1">
        <v>10</v>
      </c>
      <c r="W70" s="1">
        <v>9</v>
      </c>
      <c r="X70" s="1">
        <v>15</v>
      </c>
      <c r="Y70" s="1">
        <v>14</v>
      </c>
    </row>
    <row r="71" spans="1:25" x14ac:dyDescent="0.3">
      <c r="A71" s="2">
        <v>43869</v>
      </c>
      <c r="B71" s="1">
        <v>9</v>
      </c>
      <c r="C71" s="1">
        <v>9</v>
      </c>
      <c r="D71" s="1">
        <v>11</v>
      </c>
      <c r="E71" s="1">
        <v>8</v>
      </c>
      <c r="F71" s="1">
        <v>5</v>
      </c>
      <c r="G71" s="1">
        <v>5</v>
      </c>
      <c r="H71" s="1">
        <v>7</v>
      </c>
      <c r="I71" s="1">
        <v>8</v>
      </c>
      <c r="J71" s="1">
        <v>15</v>
      </c>
      <c r="K71" s="1">
        <v>16</v>
      </c>
      <c r="L71" s="1">
        <v>24</v>
      </c>
      <c r="M71" s="1">
        <v>22</v>
      </c>
      <c r="N71" s="1">
        <v>19</v>
      </c>
      <c r="O71" s="1">
        <v>15</v>
      </c>
      <c r="P71" s="1">
        <v>8</v>
      </c>
      <c r="Q71" s="1">
        <v>18</v>
      </c>
      <c r="R71" s="1">
        <v>15</v>
      </c>
      <c r="S71" s="1">
        <v>22</v>
      </c>
      <c r="T71" s="1">
        <v>12</v>
      </c>
      <c r="U71" s="1">
        <v>24</v>
      </c>
      <c r="V71" s="1">
        <v>16</v>
      </c>
      <c r="W71" s="1">
        <v>16</v>
      </c>
      <c r="X71" s="1">
        <v>16</v>
      </c>
      <c r="Y71" s="1">
        <v>15</v>
      </c>
    </row>
    <row r="72" spans="1:25" x14ac:dyDescent="0.3">
      <c r="A72" s="2">
        <v>43870</v>
      </c>
      <c r="B72" s="1">
        <v>14</v>
      </c>
      <c r="C72" s="1">
        <v>5</v>
      </c>
      <c r="D72" s="1">
        <v>9</v>
      </c>
      <c r="E72" s="1">
        <v>9</v>
      </c>
      <c r="F72" s="1">
        <v>4</v>
      </c>
      <c r="G72" s="1">
        <v>10</v>
      </c>
      <c r="H72" s="1">
        <v>7</v>
      </c>
      <c r="I72" s="1">
        <v>6</v>
      </c>
      <c r="J72" s="1">
        <v>9</v>
      </c>
      <c r="K72" s="1">
        <v>11</v>
      </c>
      <c r="L72" s="1">
        <v>20</v>
      </c>
      <c r="M72" s="1">
        <v>11</v>
      </c>
      <c r="N72" s="1">
        <v>16</v>
      </c>
      <c r="O72" s="1">
        <v>23</v>
      </c>
      <c r="P72" s="1">
        <v>27</v>
      </c>
      <c r="Q72" s="1">
        <v>18</v>
      </c>
      <c r="R72" s="1">
        <v>16</v>
      </c>
      <c r="S72" s="1">
        <v>16</v>
      </c>
      <c r="T72" s="1">
        <v>28</v>
      </c>
      <c r="U72" s="1">
        <v>18</v>
      </c>
      <c r="V72" s="1">
        <v>15</v>
      </c>
      <c r="W72" s="1">
        <v>8</v>
      </c>
      <c r="X72" s="1">
        <v>9</v>
      </c>
      <c r="Y72" s="1">
        <v>13</v>
      </c>
    </row>
    <row r="73" spans="1:25" x14ac:dyDescent="0.3">
      <c r="A73" s="2">
        <v>43871</v>
      </c>
      <c r="B73" s="1">
        <v>9</v>
      </c>
      <c r="C73" s="1">
        <v>11</v>
      </c>
      <c r="D73" s="1">
        <v>7</v>
      </c>
      <c r="E73" s="1">
        <v>4</v>
      </c>
      <c r="F73" s="1">
        <v>10</v>
      </c>
      <c r="G73" s="1">
        <v>5</v>
      </c>
      <c r="H73" s="1">
        <v>12</v>
      </c>
      <c r="I73" s="1">
        <v>22</v>
      </c>
      <c r="J73" s="1">
        <v>23</v>
      </c>
      <c r="K73" s="1">
        <v>23</v>
      </c>
      <c r="L73" s="1">
        <v>29</v>
      </c>
      <c r="M73" s="1">
        <v>17</v>
      </c>
      <c r="N73" s="1">
        <v>23</v>
      </c>
      <c r="O73" s="1">
        <v>14</v>
      </c>
      <c r="P73" s="1">
        <v>31</v>
      </c>
      <c r="Q73" s="1">
        <v>27</v>
      </c>
      <c r="R73" s="1">
        <v>31</v>
      </c>
      <c r="S73" s="1">
        <v>38</v>
      </c>
      <c r="T73" s="1">
        <v>24</v>
      </c>
      <c r="U73" s="1">
        <v>22</v>
      </c>
      <c r="V73" s="1">
        <v>7</v>
      </c>
      <c r="W73" s="1">
        <v>17</v>
      </c>
      <c r="X73" s="1">
        <v>10</v>
      </c>
      <c r="Y73" s="1">
        <v>11</v>
      </c>
    </row>
    <row r="74" spans="1:25" x14ac:dyDescent="0.3">
      <c r="A74" s="2">
        <v>43872</v>
      </c>
      <c r="B74" s="1">
        <v>7</v>
      </c>
      <c r="C74" s="1">
        <v>12</v>
      </c>
      <c r="D74" s="1">
        <v>2</v>
      </c>
      <c r="E74" s="1">
        <v>4</v>
      </c>
      <c r="F74" s="1">
        <v>3</v>
      </c>
      <c r="G74" s="1">
        <v>13</v>
      </c>
      <c r="H74" s="1">
        <v>13</v>
      </c>
      <c r="I74" s="1">
        <v>30</v>
      </c>
      <c r="J74" s="1">
        <v>23</v>
      </c>
      <c r="K74" s="1">
        <v>15</v>
      </c>
      <c r="L74" s="1">
        <v>25</v>
      </c>
      <c r="M74" s="1">
        <v>19</v>
      </c>
      <c r="N74" s="1">
        <v>27</v>
      </c>
      <c r="O74" s="1">
        <v>13</v>
      </c>
      <c r="P74" s="1">
        <v>19</v>
      </c>
      <c r="Q74" s="1">
        <v>26</v>
      </c>
      <c r="R74" s="1">
        <v>32</v>
      </c>
      <c r="S74" s="1">
        <v>32</v>
      </c>
      <c r="T74" s="1">
        <v>18</v>
      </c>
      <c r="U74" s="1">
        <v>13</v>
      </c>
      <c r="V74" s="1">
        <v>17</v>
      </c>
      <c r="W74" s="1">
        <v>15</v>
      </c>
      <c r="X74" s="1">
        <v>10</v>
      </c>
      <c r="Y74" s="1">
        <v>7</v>
      </c>
    </row>
    <row r="75" spans="1:25" x14ac:dyDescent="0.3">
      <c r="A75" s="2">
        <v>43873</v>
      </c>
      <c r="B75" s="1">
        <v>8</v>
      </c>
      <c r="C75" s="1">
        <v>7</v>
      </c>
      <c r="D75" s="1">
        <v>8</v>
      </c>
      <c r="E75" s="1">
        <v>5</v>
      </c>
      <c r="F75" s="1">
        <v>4</v>
      </c>
      <c r="G75" s="1">
        <v>13</v>
      </c>
      <c r="H75" s="1">
        <v>14</v>
      </c>
      <c r="I75" s="1">
        <v>16</v>
      </c>
      <c r="J75" s="1">
        <v>25</v>
      </c>
      <c r="K75" s="1">
        <v>23</v>
      </c>
      <c r="L75" s="1">
        <v>32</v>
      </c>
      <c r="M75" s="1">
        <v>23</v>
      </c>
      <c r="N75" s="1">
        <v>37</v>
      </c>
      <c r="O75" s="1">
        <v>17</v>
      </c>
      <c r="P75" s="1">
        <v>25</v>
      </c>
      <c r="Q75" s="1">
        <v>23</v>
      </c>
      <c r="R75" s="1">
        <v>25</v>
      </c>
      <c r="S75" s="1">
        <v>25</v>
      </c>
      <c r="T75" s="1">
        <v>28</v>
      </c>
      <c r="U75" s="1">
        <v>26</v>
      </c>
      <c r="V75" s="1">
        <v>10</v>
      </c>
      <c r="W75" s="1">
        <v>19</v>
      </c>
      <c r="X75" s="1">
        <v>9</v>
      </c>
      <c r="Y75" s="1">
        <v>8</v>
      </c>
    </row>
    <row r="76" spans="1:25" x14ac:dyDescent="0.3">
      <c r="A76" s="2">
        <v>43874</v>
      </c>
      <c r="B76" s="1">
        <v>5</v>
      </c>
      <c r="C76" s="1">
        <v>10</v>
      </c>
      <c r="D76" s="1">
        <v>8</v>
      </c>
      <c r="E76" s="1">
        <v>2</v>
      </c>
      <c r="F76" s="1">
        <v>7</v>
      </c>
      <c r="G76" s="1">
        <v>8</v>
      </c>
      <c r="H76" s="1">
        <v>11</v>
      </c>
      <c r="I76" s="1">
        <v>25</v>
      </c>
      <c r="J76" s="1">
        <v>17</v>
      </c>
      <c r="K76" s="1">
        <v>13</v>
      </c>
      <c r="L76" s="1">
        <v>22</v>
      </c>
      <c r="M76" s="1">
        <v>30</v>
      </c>
      <c r="N76" s="1">
        <v>26</v>
      </c>
      <c r="O76" s="1">
        <v>33</v>
      </c>
      <c r="P76" s="1">
        <v>26</v>
      </c>
      <c r="Q76" s="1">
        <v>47</v>
      </c>
      <c r="R76" s="1">
        <v>44</v>
      </c>
      <c r="S76" s="1">
        <v>26</v>
      </c>
      <c r="T76" s="1">
        <v>32</v>
      </c>
      <c r="U76" s="1">
        <v>17</v>
      </c>
      <c r="V76" s="1">
        <v>17</v>
      </c>
      <c r="W76" s="1">
        <v>16</v>
      </c>
      <c r="X76" s="1">
        <v>13</v>
      </c>
      <c r="Y76" s="1">
        <v>11</v>
      </c>
    </row>
    <row r="77" spans="1:25" x14ac:dyDescent="0.3">
      <c r="A77" s="2">
        <v>43875</v>
      </c>
      <c r="B77" s="1">
        <v>5</v>
      </c>
      <c r="C77" s="1">
        <v>3</v>
      </c>
      <c r="D77" s="1">
        <v>5</v>
      </c>
      <c r="E77" s="1">
        <v>5</v>
      </c>
      <c r="F77" s="1">
        <v>7</v>
      </c>
      <c r="G77" s="1">
        <v>8</v>
      </c>
      <c r="H77" s="1">
        <v>10</v>
      </c>
      <c r="I77" s="1">
        <v>19</v>
      </c>
      <c r="J77" s="1">
        <v>37</v>
      </c>
      <c r="K77" s="1">
        <v>22</v>
      </c>
      <c r="L77" s="1">
        <v>16</v>
      </c>
      <c r="M77" s="1">
        <v>22</v>
      </c>
      <c r="N77" s="1">
        <v>20</v>
      </c>
      <c r="O77" s="1">
        <v>29</v>
      </c>
      <c r="P77" s="1">
        <v>22</v>
      </c>
      <c r="Q77" s="1">
        <v>15</v>
      </c>
      <c r="R77" s="1">
        <v>27</v>
      </c>
      <c r="S77" s="1">
        <v>28</v>
      </c>
      <c r="T77" s="1">
        <v>15</v>
      </c>
      <c r="U77" s="1">
        <v>20</v>
      </c>
      <c r="V77" s="1">
        <v>14</v>
      </c>
      <c r="W77" s="1">
        <v>11</v>
      </c>
      <c r="X77" s="1">
        <v>14</v>
      </c>
      <c r="Y77" s="1">
        <v>9</v>
      </c>
    </row>
    <row r="78" spans="1:25" x14ac:dyDescent="0.3">
      <c r="A78" s="2">
        <v>43876</v>
      </c>
      <c r="B78" s="1">
        <v>5</v>
      </c>
      <c r="C78" s="1">
        <v>8</v>
      </c>
      <c r="D78" s="1">
        <v>11</v>
      </c>
      <c r="E78" s="1">
        <v>10</v>
      </c>
      <c r="F78" s="1">
        <v>8</v>
      </c>
      <c r="G78" s="1">
        <v>7</v>
      </c>
      <c r="H78" s="1">
        <v>7</v>
      </c>
      <c r="I78" s="1">
        <v>11</v>
      </c>
      <c r="J78" s="1">
        <v>17</v>
      </c>
      <c r="K78" s="1">
        <v>9</v>
      </c>
      <c r="L78" s="1">
        <v>19</v>
      </c>
      <c r="M78" s="1">
        <v>9</v>
      </c>
      <c r="N78" s="1">
        <v>16</v>
      </c>
      <c r="O78" s="1">
        <v>16</v>
      </c>
      <c r="P78" s="1">
        <v>25</v>
      </c>
      <c r="Q78" s="1">
        <v>28</v>
      </c>
      <c r="R78" s="1">
        <v>23</v>
      </c>
      <c r="S78" s="1">
        <v>17</v>
      </c>
      <c r="T78" s="1">
        <v>21</v>
      </c>
      <c r="U78" s="1">
        <v>17</v>
      </c>
      <c r="V78" s="1">
        <v>7</v>
      </c>
      <c r="W78" s="1">
        <v>18</v>
      </c>
      <c r="X78" s="1">
        <v>13</v>
      </c>
      <c r="Y78" s="1">
        <v>9</v>
      </c>
    </row>
    <row r="79" spans="1:25" x14ac:dyDescent="0.3">
      <c r="A79" s="2">
        <v>43877</v>
      </c>
      <c r="B79" s="1">
        <v>9</v>
      </c>
      <c r="C79" s="1">
        <v>10</v>
      </c>
      <c r="D79" s="1">
        <v>10</v>
      </c>
      <c r="E79" s="1">
        <v>7</v>
      </c>
      <c r="F79" s="1">
        <v>5</v>
      </c>
      <c r="G79" s="1">
        <v>2</v>
      </c>
      <c r="H79" s="1">
        <v>4</v>
      </c>
      <c r="I79" s="1">
        <v>9</v>
      </c>
      <c r="J79" s="1">
        <v>7</v>
      </c>
      <c r="K79" s="1">
        <v>19</v>
      </c>
      <c r="L79" s="1">
        <v>18</v>
      </c>
      <c r="M79" s="1">
        <v>13</v>
      </c>
      <c r="N79" s="1">
        <v>28</v>
      </c>
      <c r="O79" s="1">
        <v>14</v>
      </c>
      <c r="P79" s="1">
        <v>24</v>
      </c>
      <c r="Q79" s="1">
        <v>15</v>
      </c>
      <c r="R79" s="1">
        <v>24</v>
      </c>
      <c r="S79" s="1">
        <v>17</v>
      </c>
      <c r="T79" s="1">
        <v>28</v>
      </c>
      <c r="U79" s="1">
        <v>17</v>
      </c>
      <c r="V79" s="1">
        <v>17</v>
      </c>
      <c r="W79" s="1">
        <v>18</v>
      </c>
      <c r="X79" s="1">
        <v>15</v>
      </c>
      <c r="Y79" s="1">
        <v>6</v>
      </c>
    </row>
    <row r="80" spans="1:25" x14ac:dyDescent="0.3">
      <c r="A80" s="2">
        <v>43878</v>
      </c>
      <c r="B80" s="1">
        <v>7</v>
      </c>
      <c r="C80" s="1">
        <v>4</v>
      </c>
      <c r="D80" s="1">
        <v>6</v>
      </c>
      <c r="E80" s="1">
        <v>2</v>
      </c>
      <c r="F80" s="1">
        <v>5</v>
      </c>
      <c r="G80" s="1">
        <v>5</v>
      </c>
      <c r="H80" s="1">
        <v>11</v>
      </c>
      <c r="I80" s="1">
        <v>10</v>
      </c>
      <c r="J80" s="1">
        <v>13</v>
      </c>
      <c r="K80" s="1">
        <v>18</v>
      </c>
      <c r="L80" s="1">
        <v>20</v>
      </c>
      <c r="M80" s="1">
        <v>21</v>
      </c>
      <c r="N80" s="1">
        <v>29</v>
      </c>
      <c r="O80" s="1">
        <v>25</v>
      </c>
      <c r="P80" s="1">
        <v>23</v>
      </c>
      <c r="Q80" s="1">
        <v>24</v>
      </c>
      <c r="R80" s="1">
        <v>29</v>
      </c>
      <c r="S80" s="1">
        <v>16</v>
      </c>
      <c r="T80" s="1">
        <v>21</v>
      </c>
      <c r="U80" s="1">
        <v>13</v>
      </c>
      <c r="V80" s="1">
        <v>16</v>
      </c>
      <c r="W80" s="1">
        <v>13</v>
      </c>
      <c r="X80" s="1">
        <v>3</v>
      </c>
      <c r="Y80" s="1">
        <v>9</v>
      </c>
    </row>
    <row r="81" spans="1:25" x14ac:dyDescent="0.3">
      <c r="A81" s="2">
        <v>43879</v>
      </c>
      <c r="B81" s="1">
        <v>10</v>
      </c>
      <c r="C81" s="1">
        <v>2</v>
      </c>
      <c r="D81" s="1">
        <v>6</v>
      </c>
      <c r="E81" s="1">
        <v>4</v>
      </c>
      <c r="F81" s="1">
        <v>5</v>
      </c>
      <c r="G81" s="1">
        <v>5</v>
      </c>
      <c r="H81" s="1">
        <v>15</v>
      </c>
      <c r="I81" s="1">
        <v>10</v>
      </c>
      <c r="J81" s="1">
        <v>15</v>
      </c>
      <c r="K81" s="1">
        <v>22</v>
      </c>
      <c r="L81" s="1">
        <v>18</v>
      </c>
      <c r="M81" s="1">
        <v>22</v>
      </c>
      <c r="N81" s="1">
        <v>24</v>
      </c>
      <c r="O81" s="1">
        <v>18</v>
      </c>
      <c r="P81" s="1">
        <v>27</v>
      </c>
      <c r="Q81" s="1">
        <v>27</v>
      </c>
      <c r="R81" s="1">
        <v>17</v>
      </c>
      <c r="S81" s="1">
        <v>29</v>
      </c>
      <c r="T81" s="1">
        <v>30</v>
      </c>
      <c r="U81" s="1">
        <v>20</v>
      </c>
      <c r="V81" s="1">
        <v>12</v>
      </c>
      <c r="W81" s="1">
        <v>20</v>
      </c>
      <c r="X81" s="1">
        <v>5</v>
      </c>
      <c r="Y81" s="1">
        <v>11</v>
      </c>
    </row>
    <row r="82" spans="1:25" x14ac:dyDescent="0.3">
      <c r="A82" s="2">
        <v>43880</v>
      </c>
      <c r="B82" s="1">
        <v>7</v>
      </c>
      <c r="C82" s="1">
        <v>3</v>
      </c>
      <c r="D82" s="1">
        <v>6</v>
      </c>
      <c r="E82" s="1">
        <v>2</v>
      </c>
      <c r="F82" s="1">
        <v>5</v>
      </c>
      <c r="G82" s="1">
        <v>6</v>
      </c>
      <c r="H82" s="1">
        <v>6</v>
      </c>
      <c r="I82" s="1">
        <v>24</v>
      </c>
      <c r="J82" s="1">
        <v>13</v>
      </c>
      <c r="K82" s="1">
        <v>16</v>
      </c>
      <c r="L82" s="1">
        <v>13</v>
      </c>
      <c r="M82" s="1">
        <v>22</v>
      </c>
      <c r="N82" s="1">
        <v>19</v>
      </c>
      <c r="O82" s="1">
        <v>25</v>
      </c>
      <c r="P82" s="1">
        <v>20</v>
      </c>
      <c r="Q82" s="1">
        <v>29</v>
      </c>
      <c r="R82" s="1">
        <v>27</v>
      </c>
      <c r="S82" s="1">
        <v>24</v>
      </c>
      <c r="T82" s="1">
        <v>20</v>
      </c>
      <c r="U82" s="1">
        <v>16</v>
      </c>
      <c r="V82" s="1">
        <v>17</v>
      </c>
      <c r="W82" s="1">
        <v>13</v>
      </c>
      <c r="X82" s="1">
        <v>9</v>
      </c>
      <c r="Y82" s="1">
        <v>15</v>
      </c>
    </row>
    <row r="83" spans="1:25" x14ac:dyDescent="0.3">
      <c r="A83" s="2">
        <v>43881</v>
      </c>
      <c r="B83" s="1">
        <v>2</v>
      </c>
      <c r="C83" s="1">
        <v>8</v>
      </c>
      <c r="D83" s="1">
        <v>5</v>
      </c>
      <c r="E83" s="1">
        <v>5</v>
      </c>
      <c r="F83" s="1">
        <v>5</v>
      </c>
      <c r="G83" s="1">
        <v>7</v>
      </c>
      <c r="H83" s="1">
        <v>6</v>
      </c>
      <c r="I83" s="1">
        <v>18</v>
      </c>
      <c r="J83" s="1">
        <v>21</v>
      </c>
      <c r="K83" s="1">
        <v>35</v>
      </c>
      <c r="L83" s="1">
        <v>22</v>
      </c>
      <c r="M83" s="1">
        <v>27</v>
      </c>
      <c r="N83" s="1">
        <v>18</v>
      </c>
      <c r="O83" s="1">
        <v>19</v>
      </c>
      <c r="P83" s="1">
        <v>28</v>
      </c>
      <c r="Q83" s="1">
        <v>27</v>
      </c>
      <c r="R83" s="1">
        <v>21</v>
      </c>
      <c r="S83" s="1">
        <v>14</v>
      </c>
      <c r="T83" s="1">
        <v>27</v>
      </c>
      <c r="U83" s="1">
        <v>24</v>
      </c>
      <c r="V83" s="1">
        <v>24</v>
      </c>
      <c r="W83" s="1">
        <v>12</v>
      </c>
      <c r="X83" s="1">
        <v>11</v>
      </c>
      <c r="Y83" s="1">
        <v>13</v>
      </c>
    </row>
    <row r="84" spans="1:25" x14ac:dyDescent="0.3">
      <c r="A84" s="2">
        <v>43882</v>
      </c>
      <c r="B84" s="1">
        <v>9</v>
      </c>
      <c r="C84" s="1">
        <v>6</v>
      </c>
      <c r="D84" s="1">
        <v>4</v>
      </c>
      <c r="E84" s="1">
        <v>5</v>
      </c>
      <c r="F84" s="1">
        <v>2</v>
      </c>
      <c r="G84" s="1">
        <v>2</v>
      </c>
      <c r="H84" s="1">
        <v>11</v>
      </c>
      <c r="I84" s="1">
        <v>14</v>
      </c>
      <c r="J84" s="1">
        <v>37</v>
      </c>
      <c r="K84" s="1">
        <v>23</v>
      </c>
      <c r="L84" s="1">
        <v>21</v>
      </c>
      <c r="M84" s="1">
        <v>21</v>
      </c>
      <c r="N84" s="1">
        <v>22</v>
      </c>
      <c r="O84" s="1">
        <v>10</v>
      </c>
      <c r="P84" s="1">
        <v>24</v>
      </c>
      <c r="Q84" s="1">
        <v>27</v>
      </c>
      <c r="R84" s="1">
        <v>35</v>
      </c>
      <c r="S84" s="1">
        <v>35</v>
      </c>
      <c r="T84" s="1">
        <v>18</v>
      </c>
      <c r="U84" s="1">
        <v>20</v>
      </c>
      <c r="V84" s="1">
        <v>19</v>
      </c>
      <c r="W84" s="1">
        <v>18</v>
      </c>
      <c r="X84" s="1">
        <v>13</v>
      </c>
      <c r="Y84" s="1">
        <v>13</v>
      </c>
    </row>
    <row r="85" spans="1:25" x14ac:dyDescent="0.3">
      <c r="A85" s="2">
        <v>43883</v>
      </c>
      <c r="B85" s="1">
        <v>15</v>
      </c>
      <c r="C85" s="1">
        <v>5</v>
      </c>
      <c r="D85" s="1">
        <v>9</v>
      </c>
      <c r="E85" s="1">
        <v>6</v>
      </c>
      <c r="F85" s="1">
        <v>5</v>
      </c>
      <c r="G85" s="1">
        <v>7</v>
      </c>
      <c r="H85" s="1">
        <v>9</v>
      </c>
      <c r="I85" s="1">
        <v>14</v>
      </c>
      <c r="J85" s="1">
        <v>16</v>
      </c>
      <c r="K85" s="1">
        <v>15</v>
      </c>
      <c r="L85" s="1">
        <v>24</v>
      </c>
      <c r="M85" s="1">
        <v>22</v>
      </c>
      <c r="N85" s="1">
        <v>23</v>
      </c>
      <c r="O85" s="1">
        <v>26</v>
      </c>
      <c r="P85" s="1">
        <v>25</v>
      </c>
      <c r="Q85" s="1">
        <v>21</v>
      </c>
      <c r="R85" s="1">
        <v>19</v>
      </c>
      <c r="S85" s="1">
        <v>19</v>
      </c>
      <c r="T85" s="1">
        <v>30</v>
      </c>
      <c r="U85" s="1">
        <v>21</v>
      </c>
      <c r="V85" s="1">
        <v>15</v>
      </c>
      <c r="W85" s="1">
        <v>15</v>
      </c>
      <c r="X85" s="1">
        <v>11</v>
      </c>
      <c r="Y85" s="1">
        <v>6</v>
      </c>
    </row>
    <row r="86" spans="1:25" x14ac:dyDescent="0.3">
      <c r="A86" s="2">
        <v>43884</v>
      </c>
      <c r="B86" s="1">
        <v>10</v>
      </c>
      <c r="C86" s="1">
        <v>9</v>
      </c>
      <c r="D86" s="1">
        <v>8</v>
      </c>
      <c r="E86" s="1">
        <v>8</v>
      </c>
      <c r="F86" s="1">
        <v>4</v>
      </c>
      <c r="G86" s="1">
        <v>6</v>
      </c>
      <c r="H86" s="1">
        <v>8</v>
      </c>
      <c r="I86" s="1">
        <v>16</v>
      </c>
      <c r="J86" s="1">
        <v>21</v>
      </c>
      <c r="K86" s="1">
        <v>13</v>
      </c>
      <c r="L86" s="1">
        <v>19</v>
      </c>
      <c r="M86" s="1">
        <v>26</v>
      </c>
      <c r="N86" s="1">
        <v>17</v>
      </c>
      <c r="O86" s="1">
        <v>20</v>
      </c>
      <c r="P86" s="1">
        <v>19</v>
      </c>
      <c r="Q86" s="1">
        <v>25</v>
      </c>
      <c r="R86" s="1">
        <v>22</v>
      </c>
      <c r="S86" s="1">
        <v>15</v>
      </c>
      <c r="T86" s="1">
        <v>20</v>
      </c>
      <c r="U86" s="1">
        <v>20</v>
      </c>
      <c r="V86" s="1">
        <v>15</v>
      </c>
      <c r="W86" s="1">
        <v>8</v>
      </c>
      <c r="X86" s="1">
        <v>13</v>
      </c>
      <c r="Y86" s="1">
        <v>10</v>
      </c>
    </row>
    <row r="87" spans="1:25" x14ac:dyDescent="0.3">
      <c r="A87" s="2">
        <v>43885</v>
      </c>
      <c r="B87" s="1">
        <v>12</v>
      </c>
      <c r="C87" s="1">
        <v>4</v>
      </c>
      <c r="D87" s="1">
        <v>2</v>
      </c>
      <c r="E87" s="1">
        <v>4</v>
      </c>
      <c r="F87" s="1">
        <v>3</v>
      </c>
      <c r="G87" s="1">
        <v>8</v>
      </c>
      <c r="H87" s="1">
        <v>9</v>
      </c>
      <c r="I87" s="1">
        <v>29</v>
      </c>
      <c r="J87" s="1">
        <v>29</v>
      </c>
      <c r="K87" s="1">
        <v>29</v>
      </c>
      <c r="L87" s="1">
        <v>14</v>
      </c>
      <c r="M87" s="1">
        <v>33</v>
      </c>
      <c r="N87" s="1">
        <v>23</v>
      </c>
      <c r="O87" s="1">
        <v>19</v>
      </c>
      <c r="P87" s="1">
        <v>22</v>
      </c>
      <c r="Q87" s="1">
        <v>29</v>
      </c>
      <c r="R87" s="1">
        <v>24</v>
      </c>
      <c r="S87" s="1">
        <v>22</v>
      </c>
      <c r="T87" s="1">
        <v>18</v>
      </c>
      <c r="U87" s="1">
        <v>17</v>
      </c>
      <c r="V87" s="1">
        <v>13</v>
      </c>
      <c r="W87" s="1">
        <v>10</v>
      </c>
      <c r="X87" s="1">
        <v>11</v>
      </c>
      <c r="Y87" s="1">
        <v>9</v>
      </c>
    </row>
    <row r="88" spans="1:25" x14ac:dyDescent="0.3">
      <c r="A88" s="2">
        <v>43886</v>
      </c>
      <c r="B88" s="1">
        <v>2</v>
      </c>
      <c r="C88" s="1">
        <v>3</v>
      </c>
      <c r="D88" s="1">
        <v>5</v>
      </c>
      <c r="E88" s="1">
        <v>3</v>
      </c>
      <c r="F88" s="1">
        <v>9</v>
      </c>
      <c r="G88" s="1">
        <v>9</v>
      </c>
      <c r="H88" s="1">
        <v>8</v>
      </c>
      <c r="I88" s="1">
        <v>22</v>
      </c>
      <c r="J88" s="1">
        <v>24</v>
      </c>
      <c r="K88" s="1">
        <v>20</v>
      </c>
      <c r="L88" s="1">
        <v>16</v>
      </c>
      <c r="M88" s="1">
        <v>26</v>
      </c>
      <c r="N88" s="1">
        <v>33</v>
      </c>
      <c r="O88" s="1">
        <v>32</v>
      </c>
      <c r="P88" s="1">
        <v>27</v>
      </c>
      <c r="Q88" s="1">
        <v>24</v>
      </c>
      <c r="R88" s="1">
        <v>29</v>
      </c>
      <c r="S88" s="1">
        <v>23</v>
      </c>
      <c r="T88" s="1">
        <v>30</v>
      </c>
      <c r="U88" s="1">
        <v>26</v>
      </c>
      <c r="V88" s="1">
        <v>15</v>
      </c>
      <c r="W88" s="1">
        <v>14</v>
      </c>
      <c r="X88" s="1">
        <v>11</v>
      </c>
      <c r="Y88" s="1">
        <v>7</v>
      </c>
    </row>
    <row r="89" spans="1:25" x14ac:dyDescent="0.3">
      <c r="A89" s="2">
        <v>43887</v>
      </c>
      <c r="B89" s="1">
        <v>6</v>
      </c>
      <c r="C89" s="1">
        <v>2</v>
      </c>
      <c r="D89" s="1">
        <v>6</v>
      </c>
      <c r="E89" s="1">
        <v>2</v>
      </c>
      <c r="F89" s="1">
        <v>4</v>
      </c>
      <c r="G89" s="1">
        <v>3</v>
      </c>
      <c r="H89" s="1">
        <v>14</v>
      </c>
      <c r="I89" s="1">
        <v>17</v>
      </c>
      <c r="J89" s="1">
        <v>11</v>
      </c>
      <c r="K89" s="1">
        <v>16</v>
      </c>
      <c r="L89" s="1">
        <v>16</v>
      </c>
      <c r="M89" s="1">
        <v>22</v>
      </c>
      <c r="N89" s="1">
        <v>12</v>
      </c>
      <c r="O89" s="1">
        <v>19</v>
      </c>
      <c r="P89" s="1">
        <v>18</v>
      </c>
      <c r="Q89" s="1">
        <v>24</v>
      </c>
      <c r="R89" s="1">
        <v>23</v>
      </c>
      <c r="S89" s="1">
        <v>15</v>
      </c>
      <c r="T89" s="1">
        <v>21</v>
      </c>
      <c r="U89" s="1">
        <v>18</v>
      </c>
      <c r="V89" s="1">
        <v>25</v>
      </c>
      <c r="W89" s="1">
        <v>18</v>
      </c>
      <c r="X89" s="1">
        <v>8</v>
      </c>
      <c r="Y89" s="1">
        <v>10</v>
      </c>
    </row>
    <row r="90" spans="1:25" x14ac:dyDescent="0.3">
      <c r="A90" s="2">
        <v>43888</v>
      </c>
      <c r="B90" s="1">
        <v>8</v>
      </c>
      <c r="C90" s="1">
        <v>2</v>
      </c>
      <c r="D90" s="1">
        <v>9</v>
      </c>
      <c r="E90" s="1">
        <v>8</v>
      </c>
      <c r="F90" s="1">
        <v>9</v>
      </c>
      <c r="G90" s="1">
        <v>12</v>
      </c>
      <c r="H90" s="1">
        <v>10</v>
      </c>
      <c r="I90" s="1">
        <v>13</v>
      </c>
      <c r="J90" s="1">
        <v>26</v>
      </c>
      <c r="K90" s="1">
        <v>16</v>
      </c>
      <c r="L90" s="1">
        <v>18</v>
      </c>
      <c r="M90" s="1">
        <v>15</v>
      </c>
      <c r="N90" s="1">
        <v>24</v>
      </c>
      <c r="O90" s="1">
        <v>17</v>
      </c>
      <c r="P90" s="1">
        <v>22</v>
      </c>
      <c r="Q90" s="1">
        <v>31</v>
      </c>
      <c r="R90" s="1">
        <v>27</v>
      </c>
      <c r="S90" s="1">
        <v>24</v>
      </c>
      <c r="T90" s="1">
        <v>22</v>
      </c>
      <c r="U90" s="1">
        <v>24</v>
      </c>
      <c r="V90" s="1">
        <v>18</v>
      </c>
      <c r="W90" s="1">
        <v>12</v>
      </c>
      <c r="X90" s="1">
        <v>12</v>
      </c>
      <c r="Y90" s="1">
        <v>9</v>
      </c>
    </row>
    <row r="91" spans="1:25" x14ac:dyDescent="0.3">
      <c r="A91" s="2">
        <v>43889</v>
      </c>
      <c r="B91" s="1">
        <v>6</v>
      </c>
      <c r="C91" s="1">
        <v>4</v>
      </c>
      <c r="D91" s="1">
        <v>5</v>
      </c>
      <c r="E91" s="1">
        <v>4</v>
      </c>
      <c r="F91" s="1">
        <v>7</v>
      </c>
      <c r="G91" s="1">
        <v>4</v>
      </c>
      <c r="H91" s="1">
        <v>5</v>
      </c>
      <c r="I91" s="1">
        <v>14</v>
      </c>
      <c r="J91" s="1">
        <v>25</v>
      </c>
      <c r="K91" s="1">
        <v>35</v>
      </c>
      <c r="L91" s="1">
        <v>27</v>
      </c>
      <c r="M91" s="1">
        <v>27</v>
      </c>
      <c r="N91" s="1">
        <v>22</v>
      </c>
      <c r="O91" s="1">
        <v>15</v>
      </c>
      <c r="P91" s="1">
        <v>29</v>
      </c>
      <c r="Q91" s="1">
        <v>44</v>
      </c>
      <c r="R91" s="1">
        <v>16</v>
      </c>
      <c r="S91" s="1">
        <v>21</v>
      </c>
      <c r="T91" s="1">
        <v>24</v>
      </c>
      <c r="U91" s="1">
        <v>19</v>
      </c>
      <c r="V91" s="1">
        <v>19</v>
      </c>
      <c r="W91" s="1">
        <v>13</v>
      </c>
      <c r="X91" s="1">
        <v>17</v>
      </c>
      <c r="Y91" s="1">
        <v>7</v>
      </c>
    </row>
    <row r="92" spans="1:25" x14ac:dyDescent="0.3">
      <c r="A92" s="2">
        <v>43890</v>
      </c>
      <c r="B92" s="1">
        <v>11</v>
      </c>
      <c r="C92" s="1">
        <v>9</v>
      </c>
      <c r="D92" s="1">
        <v>3</v>
      </c>
      <c r="E92" s="1">
        <v>6</v>
      </c>
      <c r="F92" s="1">
        <v>3</v>
      </c>
      <c r="G92" s="1">
        <v>6</v>
      </c>
      <c r="H92" s="1">
        <v>8</v>
      </c>
      <c r="I92" s="1">
        <v>12</v>
      </c>
      <c r="J92" s="1">
        <v>19</v>
      </c>
      <c r="K92" s="1">
        <v>16</v>
      </c>
      <c r="L92" s="1">
        <v>19</v>
      </c>
      <c r="M92" s="1">
        <v>17</v>
      </c>
      <c r="N92" s="1">
        <v>19</v>
      </c>
      <c r="O92" s="1">
        <v>18</v>
      </c>
      <c r="P92" s="1">
        <v>12</v>
      </c>
      <c r="Q92" s="1">
        <v>16</v>
      </c>
      <c r="R92" s="1">
        <v>23</v>
      </c>
      <c r="S92" s="1">
        <v>11</v>
      </c>
      <c r="T92" s="1">
        <v>21</v>
      </c>
      <c r="U92" s="1">
        <v>16</v>
      </c>
      <c r="V92" s="1">
        <v>22</v>
      </c>
      <c r="W92" s="1">
        <v>21</v>
      </c>
      <c r="X92" s="1">
        <v>9</v>
      </c>
      <c r="Y92" s="1">
        <v>6</v>
      </c>
    </row>
    <row r="93" spans="1:25" x14ac:dyDescent="0.3">
      <c r="A93" s="2">
        <v>43891</v>
      </c>
      <c r="B93" s="1">
        <v>12</v>
      </c>
      <c r="C93" s="1">
        <v>18</v>
      </c>
      <c r="D93" s="1">
        <v>3</v>
      </c>
      <c r="E93" s="1">
        <v>7</v>
      </c>
      <c r="F93" s="1">
        <v>9</v>
      </c>
      <c r="G93" s="1">
        <v>6</v>
      </c>
      <c r="H93" s="1">
        <v>5</v>
      </c>
      <c r="I93" s="1">
        <v>5</v>
      </c>
      <c r="J93" s="1">
        <v>9</v>
      </c>
      <c r="K93" s="1">
        <v>15</v>
      </c>
      <c r="L93" s="1">
        <v>22</v>
      </c>
      <c r="M93" s="1">
        <v>14</v>
      </c>
      <c r="N93" s="1">
        <v>26</v>
      </c>
      <c r="O93" s="1">
        <v>18</v>
      </c>
      <c r="P93" s="1">
        <v>14</v>
      </c>
      <c r="Q93" s="1">
        <v>21</v>
      </c>
      <c r="R93" s="1">
        <v>24</v>
      </c>
      <c r="S93" s="1">
        <v>18</v>
      </c>
      <c r="T93" s="1">
        <v>24</v>
      </c>
      <c r="U93" s="1">
        <v>25</v>
      </c>
      <c r="V93" s="1">
        <v>19</v>
      </c>
      <c r="W93" s="1">
        <v>14</v>
      </c>
      <c r="X93" s="1">
        <v>11</v>
      </c>
      <c r="Y93" s="1">
        <v>8</v>
      </c>
    </row>
    <row r="94" spans="1:25" x14ac:dyDescent="0.3">
      <c r="A94" s="2">
        <v>43892</v>
      </c>
      <c r="B94" s="1">
        <v>7</v>
      </c>
      <c r="C94" s="1">
        <v>4</v>
      </c>
      <c r="D94" s="1">
        <v>4</v>
      </c>
      <c r="E94" s="1">
        <v>3</v>
      </c>
      <c r="F94" s="1">
        <v>2</v>
      </c>
      <c r="G94" s="1">
        <v>6</v>
      </c>
      <c r="H94" s="1">
        <v>12</v>
      </c>
      <c r="I94" s="1">
        <v>19</v>
      </c>
      <c r="J94" s="1">
        <v>20</v>
      </c>
      <c r="K94" s="1">
        <v>22</v>
      </c>
      <c r="L94" s="1">
        <v>41</v>
      </c>
      <c r="M94" s="1">
        <v>27</v>
      </c>
      <c r="N94" s="1">
        <v>33</v>
      </c>
      <c r="O94" s="1">
        <v>25</v>
      </c>
      <c r="P94" s="1">
        <v>32</v>
      </c>
      <c r="Q94" s="1">
        <v>28</v>
      </c>
      <c r="R94" s="1">
        <v>16</v>
      </c>
      <c r="S94" s="1">
        <v>24</v>
      </c>
      <c r="T94" s="1">
        <v>22</v>
      </c>
      <c r="U94" s="1">
        <v>23</v>
      </c>
      <c r="V94" s="1">
        <v>20</v>
      </c>
      <c r="W94" s="1">
        <v>14</v>
      </c>
      <c r="X94" s="1">
        <v>10</v>
      </c>
      <c r="Y94" s="1">
        <v>7</v>
      </c>
    </row>
    <row r="95" spans="1:25" x14ac:dyDescent="0.3">
      <c r="A95" s="2">
        <v>43893</v>
      </c>
      <c r="B95" s="1">
        <v>3</v>
      </c>
      <c r="C95" s="1">
        <v>9</v>
      </c>
      <c r="D95" s="1">
        <v>5</v>
      </c>
      <c r="E95" s="1">
        <v>3</v>
      </c>
      <c r="F95" s="1">
        <v>1</v>
      </c>
      <c r="G95" s="1">
        <v>7</v>
      </c>
      <c r="H95" s="1">
        <v>10</v>
      </c>
      <c r="I95" s="1">
        <v>12</v>
      </c>
      <c r="J95" s="1">
        <v>23</v>
      </c>
      <c r="K95" s="1">
        <v>18</v>
      </c>
      <c r="L95" s="1">
        <v>19</v>
      </c>
      <c r="M95" s="1">
        <v>27</v>
      </c>
      <c r="N95" s="1">
        <v>23</v>
      </c>
      <c r="O95" s="1">
        <v>30</v>
      </c>
      <c r="P95" s="1">
        <v>23</v>
      </c>
      <c r="Q95" s="1">
        <v>24</v>
      </c>
      <c r="R95" s="1">
        <v>16</v>
      </c>
      <c r="S95" s="1">
        <v>41</v>
      </c>
      <c r="T95" s="1">
        <v>21</v>
      </c>
      <c r="U95" s="1">
        <v>23</v>
      </c>
      <c r="V95" s="1">
        <v>15</v>
      </c>
      <c r="W95" s="1">
        <v>65</v>
      </c>
      <c r="X95" s="1">
        <v>31</v>
      </c>
      <c r="Y95" s="1">
        <v>8</v>
      </c>
    </row>
    <row r="96" spans="1:25" x14ac:dyDescent="0.3">
      <c r="A96" s="2">
        <v>43894</v>
      </c>
      <c r="B96" s="1">
        <v>5</v>
      </c>
      <c r="C96" s="1">
        <v>7</v>
      </c>
      <c r="D96" s="1">
        <v>8</v>
      </c>
      <c r="E96" s="1">
        <v>7</v>
      </c>
      <c r="F96" s="1">
        <v>9</v>
      </c>
      <c r="G96" s="1">
        <v>9</v>
      </c>
      <c r="H96" s="1">
        <v>15</v>
      </c>
      <c r="I96" s="1">
        <v>14</v>
      </c>
      <c r="J96" s="1">
        <v>29</v>
      </c>
      <c r="K96" s="1">
        <v>18</v>
      </c>
      <c r="L96" s="1">
        <v>20</v>
      </c>
      <c r="M96" s="1">
        <v>22</v>
      </c>
      <c r="N96" s="1">
        <v>35</v>
      </c>
      <c r="O96" s="1">
        <v>21</v>
      </c>
      <c r="P96" s="1">
        <v>21</v>
      </c>
      <c r="Q96" s="1">
        <v>24</v>
      </c>
      <c r="R96" s="1">
        <v>25</v>
      </c>
      <c r="S96" s="1">
        <v>22</v>
      </c>
      <c r="T96" s="1">
        <v>16</v>
      </c>
      <c r="U96" s="1">
        <v>27</v>
      </c>
      <c r="V96" s="1">
        <v>12</v>
      </c>
      <c r="W96" s="1">
        <v>16</v>
      </c>
      <c r="X96" s="1">
        <v>8</v>
      </c>
      <c r="Y96" s="1">
        <v>13</v>
      </c>
    </row>
    <row r="97" spans="1:25" x14ac:dyDescent="0.3">
      <c r="A97" s="2">
        <v>43895</v>
      </c>
      <c r="B97" s="1">
        <v>5</v>
      </c>
      <c r="C97" s="1">
        <v>6</v>
      </c>
      <c r="D97" s="1">
        <v>6</v>
      </c>
      <c r="E97" s="1">
        <v>7</v>
      </c>
      <c r="F97" s="1">
        <v>10</v>
      </c>
      <c r="G97" s="1">
        <v>4</v>
      </c>
      <c r="H97" s="1">
        <v>8</v>
      </c>
      <c r="I97" s="1">
        <v>16</v>
      </c>
      <c r="J97" s="1">
        <v>24</v>
      </c>
      <c r="K97" s="1">
        <v>17</v>
      </c>
      <c r="L97" s="1">
        <v>28</v>
      </c>
      <c r="M97" s="1">
        <v>20</v>
      </c>
      <c r="N97" s="1">
        <v>23</v>
      </c>
      <c r="O97" s="1">
        <v>22</v>
      </c>
      <c r="P97" s="1">
        <v>16</v>
      </c>
      <c r="Q97" s="1">
        <v>24</v>
      </c>
      <c r="R97" s="1">
        <v>24</v>
      </c>
      <c r="S97" s="1">
        <v>34</v>
      </c>
      <c r="T97" s="1">
        <v>14</v>
      </c>
      <c r="U97" s="1">
        <v>19</v>
      </c>
      <c r="V97" s="1">
        <v>12</v>
      </c>
      <c r="W97" s="1">
        <v>11</v>
      </c>
      <c r="X97" s="1">
        <v>9</v>
      </c>
      <c r="Y97" s="1">
        <v>8</v>
      </c>
    </row>
    <row r="98" spans="1:25" x14ac:dyDescent="0.3">
      <c r="A98" s="2">
        <v>43896</v>
      </c>
      <c r="B98" s="1">
        <v>7</v>
      </c>
      <c r="C98" s="1">
        <v>5</v>
      </c>
      <c r="D98" s="1">
        <v>4</v>
      </c>
      <c r="E98" s="1">
        <v>4</v>
      </c>
      <c r="F98" s="1">
        <v>9</v>
      </c>
      <c r="G98" s="1">
        <v>10</v>
      </c>
      <c r="H98" s="1">
        <v>8</v>
      </c>
      <c r="I98" s="1">
        <v>16</v>
      </c>
      <c r="J98" s="1">
        <v>25</v>
      </c>
      <c r="K98" s="1">
        <v>28</v>
      </c>
      <c r="L98" s="1">
        <v>30</v>
      </c>
      <c r="M98" s="1">
        <v>26</v>
      </c>
      <c r="N98" s="1">
        <v>22</v>
      </c>
      <c r="O98" s="1">
        <v>22</v>
      </c>
      <c r="P98" s="1">
        <v>40</v>
      </c>
      <c r="Q98" s="1">
        <v>32</v>
      </c>
      <c r="R98" s="1">
        <v>45</v>
      </c>
      <c r="S98" s="1">
        <v>40</v>
      </c>
      <c r="T98" s="1">
        <v>17</v>
      </c>
      <c r="U98" s="1">
        <v>27</v>
      </c>
      <c r="V98" s="1">
        <v>16</v>
      </c>
      <c r="W98" s="1">
        <v>29</v>
      </c>
      <c r="X98" s="1">
        <v>18</v>
      </c>
      <c r="Y98" s="1">
        <v>12</v>
      </c>
    </row>
    <row r="99" spans="1:25" x14ac:dyDescent="0.3">
      <c r="A99" s="2">
        <v>43897</v>
      </c>
      <c r="B99" s="1">
        <v>14</v>
      </c>
      <c r="C99" s="1">
        <v>7</v>
      </c>
      <c r="D99" s="1">
        <v>10</v>
      </c>
      <c r="E99" s="1">
        <v>10</v>
      </c>
      <c r="F99" s="1">
        <v>9</v>
      </c>
      <c r="G99" s="1">
        <v>10</v>
      </c>
      <c r="H99" s="1">
        <v>4</v>
      </c>
      <c r="I99" s="1">
        <v>10</v>
      </c>
      <c r="J99" s="1">
        <v>11</v>
      </c>
      <c r="K99" s="1">
        <v>31</v>
      </c>
      <c r="L99" s="1">
        <v>21</v>
      </c>
      <c r="M99" s="1">
        <v>26</v>
      </c>
      <c r="N99" s="1">
        <v>27</v>
      </c>
      <c r="O99" s="1">
        <v>23</v>
      </c>
      <c r="P99" s="1">
        <v>11</v>
      </c>
      <c r="Q99" s="1">
        <v>16</v>
      </c>
      <c r="R99" s="1">
        <v>32</v>
      </c>
      <c r="S99" s="1">
        <v>25</v>
      </c>
      <c r="T99" s="1">
        <v>23</v>
      </c>
      <c r="U99" s="1">
        <v>17</v>
      </c>
      <c r="V99" s="1">
        <v>29</v>
      </c>
      <c r="W99" s="1">
        <v>16</v>
      </c>
      <c r="X99" s="1">
        <v>10</v>
      </c>
      <c r="Y99" s="1">
        <v>9</v>
      </c>
    </row>
    <row r="100" spans="1:25" x14ac:dyDescent="0.3">
      <c r="A100" s="2">
        <v>43898</v>
      </c>
      <c r="B100" s="1">
        <v>10</v>
      </c>
      <c r="C100" s="1">
        <v>9</v>
      </c>
      <c r="D100" s="1">
        <v>0</v>
      </c>
      <c r="E100" s="1">
        <v>9</v>
      </c>
      <c r="F100" s="1">
        <v>3</v>
      </c>
      <c r="G100" s="1">
        <v>5</v>
      </c>
      <c r="H100" s="1">
        <v>3</v>
      </c>
      <c r="I100" s="1">
        <v>12</v>
      </c>
      <c r="J100" s="1">
        <v>8</v>
      </c>
      <c r="K100" s="1">
        <v>9</v>
      </c>
      <c r="L100" s="1">
        <v>14</v>
      </c>
      <c r="M100" s="1">
        <v>18</v>
      </c>
      <c r="N100" s="1">
        <v>22</v>
      </c>
      <c r="O100" s="1">
        <v>29</v>
      </c>
      <c r="P100" s="1">
        <v>19</v>
      </c>
      <c r="Q100" s="1">
        <v>27</v>
      </c>
      <c r="R100" s="1">
        <v>22</v>
      </c>
      <c r="S100" s="1">
        <v>33</v>
      </c>
      <c r="T100" s="1">
        <v>24</v>
      </c>
      <c r="U100" s="1">
        <v>15</v>
      </c>
      <c r="V100" s="1">
        <v>10</v>
      </c>
      <c r="W100" s="1">
        <v>7</v>
      </c>
      <c r="X100" s="1">
        <v>12</v>
      </c>
      <c r="Y100" s="1">
        <v>9</v>
      </c>
    </row>
    <row r="101" spans="1:25" x14ac:dyDescent="0.3">
      <c r="A101" s="2">
        <v>43899</v>
      </c>
      <c r="B101" s="1">
        <v>8</v>
      </c>
      <c r="C101" s="1">
        <v>2</v>
      </c>
      <c r="D101" s="1">
        <v>5</v>
      </c>
      <c r="E101" s="1">
        <v>3</v>
      </c>
      <c r="F101" s="1">
        <v>6</v>
      </c>
      <c r="G101" s="1">
        <v>5</v>
      </c>
      <c r="H101" s="1">
        <v>13</v>
      </c>
      <c r="I101" s="1">
        <v>27</v>
      </c>
      <c r="J101" s="1">
        <v>18</v>
      </c>
      <c r="K101" s="1">
        <v>29</v>
      </c>
      <c r="L101" s="1">
        <v>29</v>
      </c>
      <c r="M101" s="1">
        <v>27</v>
      </c>
      <c r="N101" s="1">
        <v>26</v>
      </c>
      <c r="O101" s="1">
        <v>32</v>
      </c>
      <c r="P101" s="1">
        <v>34</v>
      </c>
      <c r="Q101" s="1">
        <v>41</v>
      </c>
      <c r="R101" s="1">
        <v>37</v>
      </c>
      <c r="S101" s="1">
        <v>34</v>
      </c>
      <c r="T101" s="1">
        <v>19</v>
      </c>
      <c r="U101" s="1">
        <v>21</v>
      </c>
      <c r="V101" s="1">
        <v>19</v>
      </c>
      <c r="W101" s="1">
        <v>15</v>
      </c>
      <c r="X101" s="1">
        <v>10</v>
      </c>
      <c r="Y101" s="1">
        <v>12</v>
      </c>
    </row>
    <row r="102" spans="1:25" x14ac:dyDescent="0.3">
      <c r="A102" s="2">
        <v>43900</v>
      </c>
      <c r="B102" s="1">
        <v>6</v>
      </c>
      <c r="C102" s="1">
        <v>6</v>
      </c>
      <c r="D102" s="1">
        <v>2</v>
      </c>
      <c r="E102" s="1">
        <v>2</v>
      </c>
      <c r="F102" s="1">
        <v>6</v>
      </c>
      <c r="G102" s="1">
        <v>14</v>
      </c>
      <c r="H102" s="1">
        <v>8</v>
      </c>
      <c r="I102" s="1">
        <v>19</v>
      </c>
      <c r="J102" s="1">
        <v>17</v>
      </c>
      <c r="K102" s="1">
        <v>23</v>
      </c>
      <c r="L102" s="1">
        <v>20</v>
      </c>
      <c r="M102" s="1">
        <v>18</v>
      </c>
      <c r="N102" s="1">
        <v>19</v>
      </c>
      <c r="O102" s="1">
        <v>20</v>
      </c>
      <c r="P102" s="1">
        <v>22</v>
      </c>
      <c r="Q102" s="1">
        <v>24</v>
      </c>
      <c r="R102" s="1">
        <v>29</v>
      </c>
      <c r="S102" s="1">
        <v>31</v>
      </c>
      <c r="T102" s="1">
        <v>25</v>
      </c>
      <c r="U102" s="1">
        <v>17</v>
      </c>
      <c r="V102" s="1">
        <v>21</v>
      </c>
      <c r="W102" s="1">
        <v>24</v>
      </c>
      <c r="X102" s="1">
        <v>16</v>
      </c>
      <c r="Y102" s="1">
        <v>12</v>
      </c>
    </row>
    <row r="103" spans="1:25" x14ac:dyDescent="0.3">
      <c r="A103" s="2">
        <v>43901</v>
      </c>
      <c r="B103" s="1">
        <v>14</v>
      </c>
      <c r="C103" s="1">
        <v>3</v>
      </c>
      <c r="D103" s="1">
        <v>3</v>
      </c>
      <c r="E103" s="1">
        <v>1</v>
      </c>
      <c r="F103" s="1">
        <v>6</v>
      </c>
      <c r="G103" s="1">
        <v>4</v>
      </c>
      <c r="H103" s="1">
        <v>15</v>
      </c>
      <c r="I103" s="1">
        <v>20</v>
      </c>
      <c r="J103" s="1">
        <v>19</v>
      </c>
      <c r="K103" s="1">
        <v>22</v>
      </c>
      <c r="L103" s="1">
        <v>16</v>
      </c>
      <c r="M103" s="1">
        <v>19</v>
      </c>
      <c r="N103" s="1">
        <v>20</v>
      </c>
      <c r="O103" s="1">
        <v>21</v>
      </c>
      <c r="P103" s="1">
        <v>17</v>
      </c>
      <c r="Q103" s="1">
        <v>24</v>
      </c>
      <c r="R103" s="1">
        <v>27</v>
      </c>
      <c r="S103" s="1">
        <v>32</v>
      </c>
      <c r="T103" s="1">
        <v>24</v>
      </c>
      <c r="U103" s="1">
        <v>11</v>
      </c>
      <c r="V103" s="1">
        <v>14</v>
      </c>
      <c r="W103" s="1">
        <v>20</v>
      </c>
      <c r="X103" s="1">
        <v>9</v>
      </c>
      <c r="Y103" s="1">
        <v>10</v>
      </c>
    </row>
    <row r="104" spans="1:25" x14ac:dyDescent="0.3">
      <c r="A104" s="2">
        <v>43902</v>
      </c>
      <c r="B104" s="1">
        <v>11</v>
      </c>
      <c r="C104" s="1">
        <v>5</v>
      </c>
      <c r="D104" s="1">
        <v>7</v>
      </c>
      <c r="E104" s="1">
        <v>6</v>
      </c>
      <c r="F104" s="1">
        <v>7</v>
      </c>
      <c r="G104" s="1">
        <v>12</v>
      </c>
      <c r="H104" s="1">
        <v>17</v>
      </c>
      <c r="I104" s="1">
        <v>8</v>
      </c>
      <c r="J104" s="1">
        <v>25</v>
      </c>
      <c r="K104" s="1">
        <v>19</v>
      </c>
      <c r="L104" s="1">
        <v>22</v>
      </c>
      <c r="M104" s="1">
        <v>24</v>
      </c>
      <c r="N104" s="1">
        <v>21</v>
      </c>
      <c r="O104" s="1">
        <v>15</v>
      </c>
      <c r="P104" s="1">
        <v>32</v>
      </c>
      <c r="Q104" s="1">
        <v>32</v>
      </c>
      <c r="R104" s="1">
        <v>24</v>
      </c>
      <c r="S104" s="1">
        <v>29</v>
      </c>
      <c r="T104" s="1">
        <v>9</v>
      </c>
      <c r="U104" s="1">
        <v>21</v>
      </c>
      <c r="V104" s="1">
        <v>24</v>
      </c>
      <c r="W104" s="1">
        <v>13</v>
      </c>
      <c r="X104" s="1">
        <v>8</v>
      </c>
      <c r="Y104" s="1">
        <v>10</v>
      </c>
    </row>
    <row r="105" spans="1:25" x14ac:dyDescent="0.3">
      <c r="A105" s="2">
        <v>43903</v>
      </c>
      <c r="B105" s="1">
        <v>1</v>
      </c>
      <c r="C105" s="1">
        <v>3</v>
      </c>
      <c r="D105" s="1">
        <v>3</v>
      </c>
      <c r="E105" s="1">
        <v>3</v>
      </c>
      <c r="F105" s="1">
        <v>6</v>
      </c>
      <c r="G105" s="1">
        <v>4</v>
      </c>
      <c r="H105" s="1">
        <v>16</v>
      </c>
      <c r="I105" s="1">
        <v>19</v>
      </c>
      <c r="J105" s="1">
        <v>17</v>
      </c>
      <c r="K105" s="1">
        <v>16</v>
      </c>
      <c r="L105" s="1">
        <v>39</v>
      </c>
      <c r="M105" s="1">
        <v>29</v>
      </c>
      <c r="N105" s="1">
        <v>18</v>
      </c>
      <c r="O105" s="1">
        <v>20</v>
      </c>
      <c r="P105" s="1">
        <v>39</v>
      </c>
      <c r="Q105" s="1">
        <v>17</v>
      </c>
      <c r="R105" s="1">
        <v>26</v>
      </c>
      <c r="S105" s="1">
        <v>25</v>
      </c>
      <c r="T105" s="1">
        <v>19</v>
      </c>
      <c r="U105" s="1">
        <v>13</v>
      </c>
      <c r="V105" s="1">
        <v>12</v>
      </c>
      <c r="W105" s="1">
        <v>6</v>
      </c>
      <c r="X105" s="1">
        <v>19</v>
      </c>
      <c r="Y105" s="1">
        <v>9</v>
      </c>
    </row>
    <row r="106" spans="1:25" x14ac:dyDescent="0.3">
      <c r="A106" s="2">
        <v>43904</v>
      </c>
      <c r="B106" s="1">
        <v>7</v>
      </c>
      <c r="C106" s="1">
        <v>9</v>
      </c>
      <c r="D106" s="1">
        <v>9</v>
      </c>
      <c r="E106" s="1">
        <v>10</v>
      </c>
      <c r="F106" s="1">
        <v>4</v>
      </c>
      <c r="G106" s="1">
        <v>4</v>
      </c>
      <c r="H106" s="1">
        <v>3</v>
      </c>
      <c r="I106" s="1">
        <v>8</v>
      </c>
      <c r="J106" s="1">
        <v>14</v>
      </c>
      <c r="K106" s="1">
        <v>24</v>
      </c>
      <c r="L106" s="1">
        <v>20</v>
      </c>
      <c r="M106" s="1">
        <v>21</v>
      </c>
      <c r="N106" s="1">
        <v>18</v>
      </c>
      <c r="O106" s="1">
        <v>11</v>
      </c>
      <c r="P106" s="1">
        <v>20</v>
      </c>
      <c r="Q106" s="1">
        <v>21</v>
      </c>
      <c r="R106" s="1">
        <v>20</v>
      </c>
      <c r="S106" s="1">
        <v>17</v>
      </c>
      <c r="T106" s="1">
        <v>24</v>
      </c>
      <c r="U106" s="1">
        <v>16</v>
      </c>
      <c r="V106" s="1">
        <v>10</v>
      </c>
      <c r="W106" s="1">
        <v>17</v>
      </c>
      <c r="X106" s="1">
        <v>3</v>
      </c>
      <c r="Y106" s="1">
        <v>14</v>
      </c>
    </row>
    <row r="107" spans="1:25" x14ac:dyDescent="0.3">
      <c r="A107" s="2">
        <v>43905</v>
      </c>
      <c r="B107" s="1">
        <v>14</v>
      </c>
      <c r="C107" s="1">
        <v>10</v>
      </c>
      <c r="D107" s="1">
        <v>7</v>
      </c>
      <c r="E107" s="1">
        <v>7</v>
      </c>
      <c r="F107" s="1">
        <v>3</v>
      </c>
      <c r="G107" s="1">
        <v>6</v>
      </c>
      <c r="H107" s="1">
        <v>3</v>
      </c>
      <c r="I107" s="1">
        <v>5</v>
      </c>
      <c r="J107" s="1">
        <v>12</v>
      </c>
      <c r="K107" s="1">
        <v>14</v>
      </c>
      <c r="L107" s="1">
        <v>13</v>
      </c>
      <c r="M107" s="1">
        <v>12</v>
      </c>
      <c r="N107" s="1">
        <v>17</v>
      </c>
      <c r="O107" s="1">
        <v>10</v>
      </c>
      <c r="P107" s="1">
        <v>14</v>
      </c>
      <c r="Q107" s="1">
        <v>10</v>
      </c>
      <c r="R107" s="1">
        <v>18</v>
      </c>
      <c r="S107" s="1">
        <v>17</v>
      </c>
      <c r="T107" s="1">
        <v>22</v>
      </c>
      <c r="U107" s="1">
        <v>15</v>
      </c>
      <c r="V107" s="1">
        <v>19</v>
      </c>
      <c r="W107" s="1">
        <v>11</v>
      </c>
      <c r="X107" s="1">
        <v>9</v>
      </c>
      <c r="Y107" s="1">
        <v>8</v>
      </c>
    </row>
    <row r="108" spans="1:25" x14ac:dyDescent="0.3">
      <c r="A108" s="2">
        <v>43906</v>
      </c>
      <c r="B108" s="1">
        <v>4</v>
      </c>
      <c r="C108" s="1">
        <v>4</v>
      </c>
      <c r="D108" s="1">
        <v>5</v>
      </c>
      <c r="E108" s="1">
        <v>6</v>
      </c>
      <c r="F108" s="1">
        <v>5</v>
      </c>
      <c r="G108" s="1">
        <v>20</v>
      </c>
      <c r="H108" s="1">
        <v>10</v>
      </c>
      <c r="I108" s="1">
        <v>15</v>
      </c>
      <c r="J108" s="1">
        <v>14</v>
      </c>
      <c r="K108" s="1">
        <v>13</v>
      </c>
      <c r="L108" s="1">
        <v>24</v>
      </c>
      <c r="M108" s="1">
        <v>16</v>
      </c>
      <c r="N108" s="1">
        <v>22</v>
      </c>
      <c r="O108" s="1">
        <v>18</v>
      </c>
      <c r="P108" s="1">
        <v>14</v>
      </c>
      <c r="Q108" s="1">
        <v>20</v>
      </c>
      <c r="R108" s="1">
        <v>10</v>
      </c>
      <c r="S108" s="1">
        <v>11</v>
      </c>
      <c r="T108" s="1">
        <v>10</v>
      </c>
      <c r="U108" s="1">
        <v>21</v>
      </c>
      <c r="V108" s="1">
        <v>14</v>
      </c>
      <c r="W108" s="1">
        <v>10</v>
      </c>
      <c r="X108" s="1">
        <v>8</v>
      </c>
      <c r="Y108" s="1">
        <v>2</v>
      </c>
    </row>
    <row r="109" spans="1:25" x14ac:dyDescent="0.3">
      <c r="A109" s="2">
        <v>43907</v>
      </c>
      <c r="B109" s="1">
        <v>4</v>
      </c>
      <c r="C109" s="1">
        <v>13</v>
      </c>
      <c r="D109" s="1">
        <v>3</v>
      </c>
      <c r="E109" s="1">
        <v>8</v>
      </c>
      <c r="F109" s="1">
        <v>3</v>
      </c>
      <c r="G109" s="1">
        <v>5</v>
      </c>
      <c r="H109" s="1">
        <v>14</v>
      </c>
      <c r="I109" s="1">
        <v>9</v>
      </c>
      <c r="J109" s="1">
        <v>20</v>
      </c>
      <c r="K109" s="1">
        <v>19</v>
      </c>
      <c r="L109" s="1">
        <v>21</v>
      </c>
      <c r="M109" s="1">
        <v>17</v>
      </c>
      <c r="N109" s="1">
        <v>13</v>
      </c>
      <c r="O109" s="1">
        <v>15</v>
      </c>
      <c r="P109" s="1">
        <v>14</v>
      </c>
      <c r="Q109" s="1">
        <v>14</v>
      </c>
      <c r="R109" s="1">
        <v>12</v>
      </c>
      <c r="S109" s="1">
        <v>20</v>
      </c>
      <c r="T109" s="1">
        <v>16</v>
      </c>
      <c r="U109" s="1">
        <v>23</v>
      </c>
      <c r="V109" s="1">
        <v>7</v>
      </c>
      <c r="W109" s="1">
        <v>11</v>
      </c>
      <c r="X109" s="1">
        <v>6</v>
      </c>
      <c r="Y109" s="1">
        <v>12</v>
      </c>
    </row>
    <row r="110" spans="1:25" x14ac:dyDescent="0.3">
      <c r="A110" s="2">
        <v>43908</v>
      </c>
      <c r="B110" s="1">
        <v>3</v>
      </c>
      <c r="C110" s="1">
        <v>8</v>
      </c>
      <c r="D110" s="1">
        <v>3</v>
      </c>
      <c r="E110" s="1">
        <v>4</v>
      </c>
      <c r="F110" s="1">
        <v>6</v>
      </c>
      <c r="G110" s="1">
        <v>4</v>
      </c>
      <c r="H110" s="1">
        <v>6</v>
      </c>
      <c r="I110" s="1">
        <v>7</v>
      </c>
      <c r="J110" s="1">
        <v>11</v>
      </c>
      <c r="K110" s="1">
        <v>13</v>
      </c>
      <c r="L110" s="1">
        <v>22</v>
      </c>
      <c r="M110" s="1">
        <v>16</v>
      </c>
      <c r="N110" s="1">
        <v>21</v>
      </c>
      <c r="O110" s="1">
        <v>12</v>
      </c>
      <c r="P110" s="1">
        <v>7</v>
      </c>
      <c r="Q110" s="1">
        <v>20</v>
      </c>
      <c r="R110" s="1">
        <v>20</v>
      </c>
      <c r="S110" s="1">
        <v>16</v>
      </c>
      <c r="T110" s="1">
        <v>19</v>
      </c>
      <c r="U110" s="1">
        <v>21</v>
      </c>
      <c r="V110" s="1">
        <v>9</v>
      </c>
      <c r="W110" s="1">
        <v>20</v>
      </c>
      <c r="X110" s="1">
        <v>20</v>
      </c>
      <c r="Y110" s="1">
        <v>4</v>
      </c>
    </row>
    <row r="111" spans="1:25" x14ac:dyDescent="0.3">
      <c r="A111" s="2">
        <v>43909</v>
      </c>
      <c r="B111" s="1">
        <v>7</v>
      </c>
      <c r="C111" s="1">
        <v>4</v>
      </c>
      <c r="D111" s="1">
        <v>8</v>
      </c>
      <c r="E111" s="1">
        <v>9</v>
      </c>
      <c r="F111" s="1">
        <v>3</v>
      </c>
      <c r="G111" s="1">
        <v>8</v>
      </c>
      <c r="H111" s="1">
        <v>7</v>
      </c>
      <c r="I111" s="1">
        <v>14</v>
      </c>
      <c r="J111" s="1">
        <v>15</v>
      </c>
      <c r="K111" s="1">
        <v>8</v>
      </c>
      <c r="L111" s="1">
        <v>19</v>
      </c>
      <c r="M111" s="1">
        <v>13</v>
      </c>
      <c r="N111" s="1">
        <v>19</v>
      </c>
      <c r="O111" s="1">
        <v>11</v>
      </c>
      <c r="P111" s="1">
        <v>9</v>
      </c>
      <c r="Q111" s="1">
        <v>20</v>
      </c>
      <c r="R111" s="1">
        <v>15</v>
      </c>
      <c r="S111" s="1">
        <v>11</v>
      </c>
      <c r="T111" s="1">
        <v>17</v>
      </c>
      <c r="U111" s="1">
        <v>14</v>
      </c>
      <c r="V111" s="1">
        <v>8</v>
      </c>
      <c r="W111" s="1">
        <v>9</v>
      </c>
      <c r="X111" s="1">
        <v>6</v>
      </c>
      <c r="Y111" s="1">
        <v>2</v>
      </c>
    </row>
    <row r="112" spans="1:25" x14ac:dyDescent="0.3">
      <c r="A112" s="2">
        <v>43910</v>
      </c>
      <c r="B112" s="1">
        <v>6</v>
      </c>
      <c r="C112" s="1">
        <v>5</v>
      </c>
      <c r="D112" s="1">
        <v>1</v>
      </c>
      <c r="E112" s="1">
        <v>6</v>
      </c>
      <c r="F112" s="1">
        <v>8</v>
      </c>
      <c r="G112" s="1">
        <v>10</v>
      </c>
      <c r="H112" s="1">
        <v>5</v>
      </c>
      <c r="I112" s="1">
        <v>9</v>
      </c>
      <c r="J112" s="1">
        <v>9</v>
      </c>
      <c r="K112" s="1">
        <v>15</v>
      </c>
      <c r="L112" s="1">
        <v>12</v>
      </c>
      <c r="M112" s="1">
        <v>25</v>
      </c>
      <c r="N112" s="1">
        <v>13</v>
      </c>
      <c r="O112" s="1">
        <v>15</v>
      </c>
      <c r="P112" s="1">
        <v>12</v>
      </c>
      <c r="Q112" s="1">
        <v>20</v>
      </c>
      <c r="R112" s="1">
        <v>21</v>
      </c>
      <c r="S112" s="1">
        <v>18</v>
      </c>
      <c r="T112" s="1">
        <v>19</v>
      </c>
      <c r="U112" s="1">
        <v>23</v>
      </c>
      <c r="V112" s="1">
        <v>24</v>
      </c>
      <c r="W112" s="1">
        <v>7</v>
      </c>
      <c r="X112" s="1">
        <v>9</v>
      </c>
      <c r="Y112" s="1">
        <v>3</v>
      </c>
    </row>
    <row r="113" spans="1:25" x14ac:dyDescent="0.3">
      <c r="A113" s="2">
        <v>43911</v>
      </c>
      <c r="B113" s="1">
        <v>8</v>
      </c>
      <c r="C113" s="1">
        <v>8</v>
      </c>
      <c r="D113" s="1">
        <v>4</v>
      </c>
      <c r="E113" s="1">
        <v>10</v>
      </c>
      <c r="F113" s="1">
        <v>7</v>
      </c>
      <c r="G113" s="1">
        <v>4</v>
      </c>
      <c r="H113" s="1">
        <v>11</v>
      </c>
      <c r="I113" s="1">
        <v>13</v>
      </c>
      <c r="J113" s="1">
        <v>13</v>
      </c>
      <c r="K113" s="1">
        <v>12</v>
      </c>
      <c r="L113" s="1">
        <v>18</v>
      </c>
      <c r="M113" s="1">
        <v>13</v>
      </c>
      <c r="N113" s="1">
        <v>15</v>
      </c>
      <c r="O113" s="1">
        <v>11</v>
      </c>
      <c r="P113" s="1">
        <v>9</v>
      </c>
      <c r="Q113" s="1">
        <v>20</v>
      </c>
      <c r="R113" s="1">
        <v>13</v>
      </c>
      <c r="S113" s="1">
        <v>20</v>
      </c>
      <c r="T113" s="1">
        <v>12</v>
      </c>
      <c r="U113" s="1">
        <v>14</v>
      </c>
      <c r="V113" s="1">
        <v>11</v>
      </c>
      <c r="W113" s="1">
        <v>10</v>
      </c>
      <c r="X113" s="1">
        <v>11</v>
      </c>
      <c r="Y113" s="1">
        <v>6</v>
      </c>
    </row>
    <row r="114" spans="1:25" x14ac:dyDescent="0.3">
      <c r="A114" s="2">
        <v>43912</v>
      </c>
      <c r="B114" s="1">
        <v>8</v>
      </c>
      <c r="C114" s="1">
        <v>6</v>
      </c>
      <c r="D114" s="1">
        <v>7</v>
      </c>
      <c r="E114" s="1">
        <v>3</v>
      </c>
      <c r="F114" s="1">
        <v>4</v>
      </c>
      <c r="G114" s="1">
        <v>5</v>
      </c>
      <c r="H114" s="1">
        <v>3</v>
      </c>
      <c r="I114" s="1">
        <v>3</v>
      </c>
      <c r="J114" s="1">
        <v>9</v>
      </c>
      <c r="K114" s="1">
        <v>16</v>
      </c>
      <c r="L114" s="1">
        <v>14</v>
      </c>
      <c r="M114" s="1">
        <v>17</v>
      </c>
      <c r="N114" s="1">
        <v>15</v>
      </c>
      <c r="O114" s="1">
        <v>6</v>
      </c>
      <c r="P114" s="1">
        <v>17</v>
      </c>
      <c r="Q114" s="1">
        <v>9</v>
      </c>
      <c r="R114" s="1">
        <v>15</v>
      </c>
      <c r="S114" s="1">
        <v>18</v>
      </c>
      <c r="T114" s="1">
        <v>10</v>
      </c>
      <c r="U114" s="1">
        <v>18</v>
      </c>
      <c r="V114" s="1">
        <v>10</v>
      </c>
      <c r="W114" s="1">
        <v>6</v>
      </c>
      <c r="X114" s="1">
        <v>12</v>
      </c>
      <c r="Y114" s="1">
        <v>4</v>
      </c>
    </row>
    <row r="115" spans="1:25" x14ac:dyDescent="0.3">
      <c r="A115" s="2">
        <v>43913</v>
      </c>
      <c r="B115" s="1">
        <v>7</v>
      </c>
      <c r="C115" s="1">
        <v>4</v>
      </c>
      <c r="D115" s="1">
        <v>2</v>
      </c>
      <c r="E115" s="1">
        <v>3</v>
      </c>
      <c r="F115" s="1">
        <v>2</v>
      </c>
      <c r="G115" s="1">
        <v>9</v>
      </c>
      <c r="H115" s="1">
        <v>6</v>
      </c>
      <c r="I115" s="1">
        <v>9</v>
      </c>
      <c r="J115" s="1">
        <v>9</v>
      </c>
      <c r="K115" s="1">
        <v>15</v>
      </c>
      <c r="L115" s="1">
        <v>15</v>
      </c>
      <c r="M115" s="1">
        <v>17</v>
      </c>
      <c r="N115" s="1">
        <v>12</v>
      </c>
      <c r="O115" s="1">
        <v>21</v>
      </c>
      <c r="P115" s="1">
        <v>25</v>
      </c>
      <c r="Q115" s="1">
        <v>22</v>
      </c>
      <c r="R115" s="1">
        <v>20</v>
      </c>
      <c r="S115" s="1">
        <v>18</v>
      </c>
      <c r="T115" s="1">
        <v>14</v>
      </c>
      <c r="U115" s="1">
        <v>7</v>
      </c>
      <c r="V115" s="1">
        <v>13</v>
      </c>
      <c r="W115" s="1">
        <v>9</v>
      </c>
      <c r="X115" s="1">
        <v>6</v>
      </c>
      <c r="Y115" s="1">
        <v>9</v>
      </c>
    </row>
    <row r="116" spans="1:25" x14ac:dyDescent="0.3">
      <c r="A116" s="2">
        <v>43914</v>
      </c>
      <c r="B116" s="1">
        <v>7</v>
      </c>
      <c r="C116" s="1">
        <v>7</v>
      </c>
      <c r="D116" s="1">
        <v>4</v>
      </c>
      <c r="E116" s="1">
        <v>7</v>
      </c>
      <c r="F116" s="1">
        <v>4</v>
      </c>
      <c r="G116" s="1">
        <v>5</v>
      </c>
      <c r="H116" s="1">
        <v>4</v>
      </c>
      <c r="I116" s="1">
        <v>5</v>
      </c>
      <c r="J116" s="1">
        <v>19</v>
      </c>
      <c r="K116" s="1">
        <v>7</v>
      </c>
      <c r="L116" s="1">
        <v>17</v>
      </c>
      <c r="M116" s="1">
        <v>9</v>
      </c>
      <c r="N116" s="1">
        <v>13</v>
      </c>
      <c r="O116" s="1">
        <v>13</v>
      </c>
      <c r="P116" s="1">
        <v>14</v>
      </c>
      <c r="Q116" s="1">
        <v>15</v>
      </c>
      <c r="R116" s="1">
        <v>15</v>
      </c>
      <c r="S116" s="1">
        <v>13</v>
      </c>
      <c r="T116" s="1">
        <v>10</v>
      </c>
      <c r="U116" s="1">
        <v>10</v>
      </c>
      <c r="V116" s="1">
        <v>13</v>
      </c>
      <c r="W116" s="1">
        <v>8</v>
      </c>
      <c r="X116" s="1">
        <v>10</v>
      </c>
      <c r="Y116" s="1">
        <v>5</v>
      </c>
    </row>
    <row r="117" spans="1:25" x14ac:dyDescent="0.3">
      <c r="A117" s="2">
        <v>43915</v>
      </c>
      <c r="B117" s="1">
        <v>6</v>
      </c>
      <c r="C117" s="1">
        <v>5</v>
      </c>
      <c r="D117" s="1">
        <v>2</v>
      </c>
      <c r="E117" s="1">
        <v>6</v>
      </c>
      <c r="F117" s="1">
        <v>2</v>
      </c>
      <c r="G117" s="1">
        <v>6</v>
      </c>
      <c r="H117" s="1">
        <v>5</v>
      </c>
      <c r="I117" s="1">
        <v>8</v>
      </c>
      <c r="J117" s="1">
        <v>10</v>
      </c>
      <c r="K117" s="1">
        <v>15</v>
      </c>
      <c r="L117" s="1">
        <v>12</v>
      </c>
      <c r="M117" s="1">
        <v>13</v>
      </c>
      <c r="N117" s="1">
        <v>19</v>
      </c>
      <c r="O117" s="1">
        <v>13</v>
      </c>
      <c r="P117" s="1">
        <v>10</v>
      </c>
      <c r="Q117" s="1">
        <v>11</v>
      </c>
      <c r="R117" s="1">
        <v>16</v>
      </c>
      <c r="S117" s="1">
        <v>6</v>
      </c>
      <c r="T117" s="1">
        <v>8</v>
      </c>
      <c r="U117" s="1">
        <v>12</v>
      </c>
      <c r="V117" s="1">
        <v>9</v>
      </c>
      <c r="W117" s="1">
        <v>12</v>
      </c>
      <c r="X117" s="1">
        <v>9</v>
      </c>
      <c r="Y117" s="1">
        <v>8</v>
      </c>
    </row>
    <row r="118" spans="1:25" x14ac:dyDescent="0.3">
      <c r="A118" s="2">
        <v>43916</v>
      </c>
      <c r="B118" s="1">
        <v>7</v>
      </c>
      <c r="C118" s="1">
        <v>9</v>
      </c>
      <c r="D118" s="1">
        <v>8</v>
      </c>
      <c r="E118" s="1">
        <v>5</v>
      </c>
      <c r="F118" s="1">
        <v>1</v>
      </c>
      <c r="G118" s="1">
        <v>1</v>
      </c>
      <c r="H118" s="1">
        <v>8</v>
      </c>
      <c r="I118" s="1">
        <v>6</v>
      </c>
      <c r="J118" s="1">
        <v>9</v>
      </c>
      <c r="K118" s="1">
        <v>8</v>
      </c>
      <c r="L118" s="1">
        <v>13</v>
      </c>
      <c r="M118" s="1">
        <v>19</v>
      </c>
      <c r="N118" s="1">
        <v>12</v>
      </c>
      <c r="O118" s="1">
        <v>18</v>
      </c>
      <c r="P118" s="1">
        <v>19</v>
      </c>
      <c r="Q118" s="1">
        <v>18</v>
      </c>
      <c r="R118" s="1">
        <v>17</v>
      </c>
      <c r="S118" s="1">
        <v>18</v>
      </c>
      <c r="T118" s="1">
        <v>8</v>
      </c>
      <c r="U118" s="1">
        <v>17</v>
      </c>
      <c r="V118" s="1">
        <v>15</v>
      </c>
      <c r="W118" s="1">
        <v>8</v>
      </c>
      <c r="X118" s="1">
        <v>9</v>
      </c>
      <c r="Y118" s="1">
        <v>2</v>
      </c>
    </row>
    <row r="119" spans="1:25" x14ac:dyDescent="0.3">
      <c r="A119" s="2">
        <v>43917</v>
      </c>
      <c r="B119" s="1">
        <v>6</v>
      </c>
      <c r="C119" s="1">
        <v>10</v>
      </c>
      <c r="D119" s="1">
        <v>3</v>
      </c>
      <c r="E119" s="1">
        <v>4</v>
      </c>
      <c r="F119" s="1">
        <v>4</v>
      </c>
      <c r="G119" s="1">
        <v>5</v>
      </c>
      <c r="H119" s="1">
        <v>13</v>
      </c>
      <c r="I119" s="1">
        <v>4</v>
      </c>
      <c r="J119" s="1">
        <v>8</v>
      </c>
      <c r="K119" s="1">
        <v>9</v>
      </c>
      <c r="L119" s="1">
        <v>13</v>
      </c>
      <c r="M119" s="1">
        <v>12</v>
      </c>
      <c r="N119" s="1">
        <v>16</v>
      </c>
      <c r="O119" s="1">
        <v>18</v>
      </c>
      <c r="P119" s="1">
        <v>13</v>
      </c>
      <c r="Q119" s="1">
        <v>15</v>
      </c>
      <c r="R119" s="1">
        <v>22</v>
      </c>
      <c r="S119" s="1">
        <v>13</v>
      </c>
      <c r="T119" s="1">
        <v>10</v>
      </c>
      <c r="U119" s="1">
        <v>12</v>
      </c>
      <c r="V119" s="1">
        <v>11</v>
      </c>
      <c r="W119" s="1">
        <v>20</v>
      </c>
      <c r="X119" s="1">
        <v>13</v>
      </c>
      <c r="Y119" s="1">
        <v>6</v>
      </c>
    </row>
    <row r="120" spans="1:25" x14ac:dyDescent="0.3">
      <c r="A120" s="2">
        <v>43918</v>
      </c>
      <c r="B120" s="1">
        <v>9</v>
      </c>
      <c r="C120" s="1">
        <v>1</v>
      </c>
      <c r="D120" s="1">
        <v>5</v>
      </c>
      <c r="E120" s="1">
        <v>3</v>
      </c>
      <c r="F120" s="1">
        <v>2</v>
      </c>
      <c r="G120" s="1">
        <v>7</v>
      </c>
      <c r="H120" s="1">
        <v>3</v>
      </c>
      <c r="I120" s="1">
        <v>1</v>
      </c>
      <c r="J120" s="1">
        <v>6</v>
      </c>
      <c r="K120" s="1">
        <v>9</v>
      </c>
      <c r="L120" s="1">
        <v>21</v>
      </c>
      <c r="M120" s="1">
        <v>12</v>
      </c>
      <c r="N120" s="1">
        <v>10</v>
      </c>
      <c r="O120" s="1">
        <v>14</v>
      </c>
      <c r="P120" s="1">
        <v>7</v>
      </c>
      <c r="Q120" s="1">
        <v>7</v>
      </c>
      <c r="R120" s="1">
        <v>11</v>
      </c>
      <c r="S120" s="1">
        <v>7</v>
      </c>
      <c r="T120" s="1">
        <v>4</v>
      </c>
      <c r="U120" s="1">
        <v>12</v>
      </c>
      <c r="V120" s="1">
        <v>12</v>
      </c>
      <c r="W120" s="1">
        <v>7</v>
      </c>
      <c r="X120" s="1">
        <v>8</v>
      </c>
      <c r="Y120" s="1">
        <v>6</v>
      </c>
    </row>
    <row r="121" spans="1:25" x14ac:dyDescent="0.3">
      <c r="A121" s="2">
        <v>43919</v>
      </c>
      <c r="B121" s="1">
        <v>4</v>
      </c>
      <c r="C121" s="1">
        <v>9</v>
      </c>
      <c r="D121" s="1">
        <v>2</v>
      </c>
      <c r="E121" s="1">
        <v>6</v>
      </c>
      <c r="F121" s="1">
        <v>2</v>
      </c>
      <c r="G121" s="1">
        <v>5</v>
      </c>
      <c r="H121" s="1">
        <v>7</v>
      </c>
      <c r="I121" s="1">
        <v>14</v>
      </c>
      <c r="J121" s="1">
        <v>8</v>
      </c>
      <c r="K121" s="1">
        <v>10</v>
      </c>
      <c r="L121" s="1">
        <v>8</v>
      </c>
      <c r="M121" s="1">
        <v>9</v>
      </c>
      <c r="N121" s="1">
        <v>10</v>
      </c>
      <c r="O121" s="1">
        <v>12</v>
      </c>
      <c r="P121" s="1">
        <v>9</v>
      </c>
      <c r="Q121" s="1">
        <v>10</v>
      </c>
      <c r="R121" s="1">
        <v>17</v>
      </c>
      <c r="S121" s="1">
        <v>6</v>
      </c>
      <c r="T121" s="1">
        <v>14</v>
      </c>
      <c r="U121" s="1">
        <v>7</v>
      </c>
      <c r="V121" s="1">
        <v>12</v>
      </c>
      <c r="W121" s="1">
        <v>11</v>
      </c>
      <c r="X121" s="1">
        <v>9</v>
      </c>
      <c r="Y121" s="1">
        <v>3</v>
      </c>
    </row>
    <row r="122" spans="1:25" x14ac:dyDescent="0.3">
      <c r="A122" s="2">
        <v>43920</v>
      </c>
      <c r="B122" s="1">
        <v>1</v>
      </c>
      <c r="C122" s="1">
        <v>5</v>
      </c>
      <c r="D122" s="1">
        <v>7</v>
      </c>
      <c r="E122" s="1">
        <v>6</v>
      </c>
      <c r="F122" s="1">
        <v>9</v>
      </c>
      <c r="G122" s="1">
        <v>7</v>
      </c>
      <c r="H122" s="1">
        <v>5</v>
      </c>
      <c r="I122" s="1">
        <v>8</v>
      </c>
      <c r="J122" s="1">
        <v>14</v>
      </c>
      <c r="K122" s="1">
        <v>16</v>
      </c>
      <c r="L122" s="1">
        <v>15</v>
      </c>
      <c r="M122" s="1">
        <v>16</v>
      </c>
      <c r="N122" s="1">
        <v>23</v>
      </c>
      <c r="O122" s="1">
        <v>17</v>
      </c>
      <c r="P122" s="1">
        <v>13</v>
      </c>
      <c r="Q122" s="1">
        <v>15</v>
      </c>
      <c r="R122" s="1">
        <v>9</v>
      </c>
      <c r="S122" s="1">
        <v>15</v>
      </c>
      <c r="T122" s="1">
        <v>17</v>
      </c>
      <c r="U122" s="1">
        <v>10</v>
      </c>
      <c r="V122" s="1">
        <v>8</v>
      </c>
      <c r="W122" s="1">
        <v>8</v>
      </c>
      <c r="X122" s="1">
        <v>4</v>
      </c>
      <c r="Y122" s="1">
        <v>8</v>
      </c>
    </row>
    <row r="123" spans="1:25" x14ac:dyDescent="0.3">
      <c r="A123" s="2">
        <v>43921</v>
      </c>
      <c r="B123" s="1">
        <v>8</v>
      </c>
      <c r="C123" s="1">
        <v>2</v>
      </c>
      <c r="D123" s="1">
        <v>7</v>
      </c>
      <c r="E123" s="1">
        <v>3</v>
      </c>
      <c r="F123" s="1">
        <v>2</v>
      </c>
      <c r="G123" s="1">
        <v>5</v>
      </c>
      <c r="H123" s="1">
        <v>7</v>
      </c>
      <c r="I123" s="1">
        <v>8</v>
      </c>
      <c r="J123" s="1">
        <v>5</v>
      </c>
      <c r="K123" s="1">
        <v>11</v>
      </c>
      <c r="L123" s="1">
        <v>10</v>
      </c>
      <c r="M123" s="1">
        <v>14</v>
      </c>
      <c r="N123" s="1">
        <v>15</v>
      </c>
      <c r="O123" s="1">
        <v>11</v>
      </c>
      <c r="P123" s="1">
        <v>18</v>
      </c>
      <c r="Q123" s="1">
        <v>15</v>
      </c>
      <c r="R123" s="1">
        <v>18</v>
      </c>
      <c r="S123" s="1">
        <v>16</v>
      </c>
      <c r="T123" s="1">
        <v>9</v>
      </c>
      <c r="U123" s="1">
        <v>12</v>
      </c>
      <c r="V123" s="1">
        <v>12</v>
      </c>
      <c r="W123" s="1">
        <v>12</v>
      </c>
      <c r="X123" s="1">
        <v>12</v>
      </c>
      <c r="Y123" s="1">
        <v>11</v>
      </c>
    </row>
    <row r="124" spans="1:25" x14ac:dyDescent="0.3">
      <c r="A124" s="2">
        <v>43922</v>
      </c>
      <c r="B124" s="1">
        <v>5</v>
      </c>
      <c r="C124" s="1">
        <v>4</v>
      </c>
      <c r="D124" s="1">
        <v>2</v>
      </c>
      <c r="E124" s="1">
        <v>2</v>
      </c>
      <c r="F124" s="1">
        <v>4</v>
      </c>
      <c r="G124" s="1">
        <v>1</v>
      </c>
      <c r="H124" s="1">
        <v>7</v>
      </c>
      <c r="I124" s="1">
        <v>12</v>
      </c>
      <c r="J124" s="1">
        <v>14</v>
      </c>
      <c r="K124" s="1">
        <v>22</v>
      </c>
      <c r="L124" s="1">
        <v>13</v>
      </c>
      <c r="M124" s="1">
        <v>17</v>
      </c>
      <c r="N124" s="1">
        <v>12</v>
      </c>
      <c r="O124" s="1">
        <v>15</v>
      </c>
      <c r="P124" s="1">
        <v>14</v>
      </c>
      <c r="Q124" s="1">
        <v>10</v>
      </c>
      <c r="R124" s="1">
        <v>12</v>
      </c>
      <c r="S124" s="1">
        <v>8</v>
      </c>
      <c r="T124" s="1">
        <v>17</v>
      </c>
      <c r="U124" s="1">
        <v>11</v>
      </c>
      <c r="V124" s="1">
        <v>10</v>
      </c>
      <c r="W124" s="1">
        <v>9</v>
      </c>
      <c r="X124" s="1">
        <v>10</v>
      </c>
      <c r="Y124" s="1">
        <v>6</v>
      </c>
    </row>
    <row r="125" spans="1:25" x14ac:dyDescent="0.3">
      <c r="A125" s="2">
        <v>43923</v>
      </c>
      <c r="B125" s="1">
        <v>5</v>
      </c>
      <c r="C125" s="1">
        <v>4</v>
      </c>
      <c r="D125" s="1">
        <v>5</v>
      </c>
      <c r="E125" s="1">
        <v>2</v>
      </c>
      <c r="F125" s="1">
        <v>9</v>
      </c>
      <c r="G125" s="1">
        <v>6</v>
      </c>
      <c r="H125" s="1">
        <v>5</v>
      </c>
      <c r="I125" s="1">
        <v>4</v>
      </c>
      <c r="J125" s="1">
        <v>12</v>
      </c>
      <c r="K125" s="1">
        <v>8</v>
      </c>
      <c r="L125" s="1">
        <v>14</v>
      </c>
      <c r="M125" s="1">
        <v>13</v>
      </c>
      <c r="N125" s="1">
        <v>16</v>
      </c>
      <c r="O125" s="1">
        <v>24</v>
      </c>
      <c r="P125" s="1">
        <v>20</v>
      </c>
      <c r="Q125" s="1">
        <v>13</v>
      </c>
      <c r="R125" s="1">
        <v>28</v>
      </c>
      <c r="S125" s="1">
        <v>21</v>
      </c>
      <c r="T125" s="1">
        <v>13</v>
      </c>
      <c r="U125" s="1">
        <v>10</v>
      </c>
      <c r="V125" s="1">
        <v>13</v>
      </c>
      <c r="W125" s="1">
        <v>10</v>
      </c>
      <c r="X125" s="1">
        <v>13</v>
      </c>
      <c r="Y125" s="1">
        <v>12</v>
      </c>
    </row>
    <row r="126" spans="1:25" x14ac:dyDescent="0.3">
      <c r="A126" s="2">
        <v>43924</v>
      </c>
      <c r="B126" s="1">
        <v>5</v>
      </c>
      <c r="C126" s="1">
        <v>4</v>
      </c>
      <c r="D126" s="1">
        <v>5</v>
      </c>
      <c r="E126" s="1">
        <v>3</v>
      </c>
      <c r="F126" s="1">
        <v>3</v>
      </c>
      <c r="G126" s="1">
        <v>3</v>
      </c>
      <c r="H126" s="1">
        <v>5</v>
      </c>
      <c r="I126" s="1">
        <v>10</v>
      </c>
      <c r="J126" s="1">
        <v>14</v>
      </c>
      <c r="K126" s="1">
        <v>9</v>
      </c>
      <c r="L126" s="1">
        <v>17</v>
      </c>
      <c r="M126" s="1">
        <v>15</v>
      </c>
      <c r="N126" s="1">
        <v>12</v>
      </c>
      <c r="O126" s="1">
        <v>16</v>
      </c>
      <c r="P126" s="1">
        <v>9</v>
      </c>
      <c r="Q126" s="1">
        <v>17</v>
      </c>
      <c r="R126" s="1">
        <v>20</v>
      </c>
      <c r="S126" s="1">
        <v>22</v>
      </c>
      <c r="T126" s="1">
        <v>15</v>
      </c>
      <c r="U126" s="1">
        <v>7</v>
      </c>
      <c r="V126" s="1">
        <v>18</v>
      </c>
      <c r="W126" s="1">
        <v>12</v>
      </c>
      <c r="X126" s="1">
        <v>5</v>
      </c>
      <c r="Y126" s="1">
        <v>12</v>
      </c>
    </row>
    <row r="127" spans="1:25" x14ac:dyDescent="0.3">
      <c r="A127" s="2">
        <v>43925</v>
      </c>
      <c r="B127" s="1">
        <v>7</v>
      </c>
      <c r="C127" s="1">
        <v>8</v>
      </c>
      <c r="D127" s="1">
        <v>7</v>
      </c>
      <c r="E127" s="1">
        <v>3</v>
      </c>
      <c r="F127" s="1">
        <v>5</v>
      </c>
      <c r="G127" s="1">
        <v>5</v>
      </c>
      <c r="H127" s="1">
        <v>6</v>
      </c>
      <c r="I127" s="1">
        <v>2</v>
      </c>
      <c r="J127" s="1">
        <v>9</v>
      </c>
      <c r="K127" s="1">
        <v>15</v>
      </c>
      <c r="L127" s="1">
        <v>11</v>
      </c>
      <c r="M127" s="1">
        <v>16</v>
      </c>
      <c r="N127" s="1">
        <v>13</v>
      </c>
      <c r="O127" s="1">
        <v>17</v>
      </c>
      <c r="P127" s="1">
        <v>11</v>
      </c>
      <c r="Q127" s="1">
        <v>17</v>
      </c>
      <c r="R127" s="1">
        <v>14</v>
      </c>
      <c r="S127" s="1">
        <v>19</v>
      </c>
      <c r="T127" s="1">
        <v>16</v>
      </c>
      <c r="U127" s="1">
        <v>10</v>
      </c>
      <c r="V127" s="1">
        <v>12</v>
      </c>
      <c r="W127" s="1">
        <v>17</v>
      </c>
      <c r="X127" s="1">
        <v>7</v>
      </c>
      <c r="Y127" s="1">
        <v>11</v>
      </c>
    </row>
    <row r="128" spans="1:25" x14ac:dyDescent="0.3">
      <c r="A128" s="2">
        <v>43926</v>
      </c>
      <c r="B128" s="1">
        <v>10</v>
      </c>
      <c r="C128" s="1">
        <v>10</v>
      </c>
      <c r="D128" s="1">
        <v>6</v>
      </c>
      <c r="E128" s="1">
        <v>1</v>
      </c>
      <c r="F128" s="1">
        <v>2</v>
      </c>
      <c r="G128" s="1">
        <v>7</v>
      </c>
      <c r="H128" s="1">
        <v>4</v>
      </c>
      <c r="I128" s="1">
        <v>7</v>
      </c>
      <c r="J128" s="1">
        <v>16</v>
      </c>
      <c r="K128" s="1">
        <v>8</v>
      </c>
      <c r="L128" s="1">
        <v>12</v>
      </c>
      <c r="M128" s="1">
        <v>20</v>
      </c>
      <c r="N128" s="1">
        <v>17</v>
      </c>
      <c r="O128" s="1">
        <v>19</v>
      </c>
      <c r="P128" s="1">
        <v>21</v>
      </c>
      <c r="Q128" s="1">
        <v>10</v>
      </c>
      <c r="R128" s="1">
        <v>14</v>
      </c>
      <c r="S128" s="1">
        <v>14</v>
      </c>
      <c r="T128" s="1">
        <v>16</v>
      </c>
      <c r="U128" s="1">
        <v>12</v>
      </c>
      <c r="V128" s="1">
        <v>13</v>
      </c>
      <c r="W128" s="1">
        <v>8</v>
      </c>
      <c r="X128" s="1">
        <v>8</v>
      </c>
      <c r="Y128" s="1">
        <v>8</v>
      </c>
    </row>
    <row r="129" spans="1:25" x14ac:dyDescent="0.3">
      <c r="A129" s="2">
        <v>43927</v>
      </c>
      <c r="B129" s="1">
        <v>5</v>
      </c>
      <c r="C129" s="1">
        <v>5</v>
      </c>
      <c r="D129" s="1">
        <v>4</v>
      </c>
      <c r="E129" s="1">
        <v>6</v>
      </c>
      <c r="F129" s="1">
        <v>1</v>
      </c>
      <c r="G129" s="1">
        <v>4</v>
      </c>
      <c r="H129" s="1">
        <v>2</v>
      </c>
      <c r="I129" s="1">
        <v>9</v>
      </c>
      <c r="J129" s="1">
        <v>13</v>
      </c>
      <c r="K129" s="1">
        <v>6</v>
      </c>
      <c r="L129" s="1">
        <v>16</v>
      </c>
      <c r="M129" s="1">
        <v>18</v>
      </c>
      <c r="N129" s="1">
        <v>24</v>
      </c>
      <c r="O129" s="1">
        <v>17</v>
      </c>
      <c r="P129" s="1">
        <v>21</v>
      </c>
      <c r="Q129" s="1">
        <v>15</v>
      </c>
      <c r="R129" s="1">
        <v>20</v>
      </c>
      <c r="S129" s="1">
        <v>18</v>
      </c>
      <c r="T129" s="1">
        <v>16</v>
      </c>
      <c r="U129" s="1">
        <v>18</v>
      </c>
      <c r="V129" s="1">
        <v>16</v>
      </c>
      <c r="W129" s="1">
        <v>11</v>
      </c>
      <c r="X129" s="1">
        <v>17</v>
      </c>
      <c r="Y129" s="1">
        <v>13</v>
      </c>
    </row>
    <row r="130" spans="1:25" x14ac:dyDescent="0.3">
      <c r="A130" s="2">
        <v>43928</v>
      </c>
      <c r="B130" s="1">
        <v>1</v>
      </c>
      <c r="C130" s="1">
        <v>2</v>
      </c>
      <c r="D130" s="1">
        <v>7</v>
      </c>
      <c r="E130" s="1">
        <v>3</v>
      </c>
      <c r="F130" s="1">
        <v>11</v>
      </c>
      <c r="G130" s="1">
        <v>5</v>
      </c>
      <c r="H130" s="1">
        <v>7</v>
      </c>
      <c r="I130" s="1">
        <v>10</v>
      </c>
      <c r="J130" s="1">
        <v>11</v>
      </c>
      <c r="K130" s="1">
        <v>16</v>
      </c>
      <c r="L130" s="1">
        <v>18</v>
      </c>
      <c r="M130" s="1">
        <v>6</v>
      </c>
      <c r="N130" s="1">
        <v>19</v>
      </c>
      <c r="O130" s="1">
        <v>21</v>
      </c>
      <c r="P130" s="1">
        <v>7</v>
      </c>
      <c r="Q130" s="1">
        <v>18</v>
      </c>
      <c r="R130" s="1">
        <v>11</v>
      </c>
      <c r="S130" s="1">
        <v>18</v>
      </c>
      <c r="T130" s="1">
        <v>21</v>
      </c>
      <c r="U130" s="1">
        <v>14</v>
      </c>
      <c r="V130" s="1">
        <v>13</v>
      </c>
      <c r="W130" s="1">
        <v>9</v>
      </c>
      <c r="X130" s="1">
        <v>5</v>
      </c>
      <c r="Y130" s="1">
        <v>9</v>
      </c>
    </row>
    <row r="131" spans="1:25" x14ac:dyDescent="0.3">
      <c r="A131" s="2">
        <v>43929</v>
      </c>
      <c r="B131" s="1">
        <v>5</v>
      </c>
      <c r="C131" s="1">
        <v>6</v>
      </c>
      <c r="D131" s="1">
        <v>5</v>
      </c>
      <c r="E131" s="1">
        <v>4</v>
      </c>
      <c r="F131" s="1">
        <v>6</v>
      </c>
      <c r="G131" s="1">
        <v>9</v>
      </c>
      <c r="H131" s="1">
        <v>2</v>
      </c>
      <c r="I131" s="1">
        <v>7</v>
      </c>
      <c r="J131" s="1">
        <v>18</v>
      </c>
      <c r="K131" s="1">
        <v>15</v>
      </c>
      <c r="L131" s="1">
        <v>16</v>
      </c>
      <c r="M131" s="1">
        <v>17</v>
      </c>
      <c r="N131" s="1">
        <v>11</v>
      </c>
      <c r="O131" s="1">
        <v>18</v>
      </c>
      <c r="P131" s="1">
        <v>19</v>
      </c>
      <c r="Q131" s="1">
        <v>16</v>
      </c>
      <c r="R131" s="1">
        <v>19</v>
      </c>
      <c r="S131" s="1">
        <v>33</v>
      </c>
      <c r="T131" s="1">
        <v>24</v>
      </c>
      <c r="U131" s="1">
        <v>15</v>
      </c>
      <c r="V131" s="1">
        <v>14</v>
      </c>
      <c r="W131" s="1">
        <v>8</v>
      </c>
      <c r="X131" s="1">
        <v>7</v>
      </c>
      <c r="Y131" s="1">
        <v>9</v>
      </c>
    </row>
    <row r="132" spans="1:25" x14ac:dyDescent="0.3">
      <c r="A132" s="2">
        <v>43930</v>
      </c>
      <c r="B132" s="1">
        <v>3</v>
      </c>
      <c r="C132" s="1">
        <v>2</v>
      </c>
      <c r="D132" s="1">
        <v>2</v>
      </c>
      <c r="E132" s="1">
        <v>4</v>
      </c>
      <c r="F132" s="1">
        <v>3</v>
      </c>
      <c r="G132" s="1">
        <v>5</v>
      </c>
      <c r="H132" s="1">
        <v>2</v>
      </c>
      <c r="I132" s="1">
        <v>6</v>
      </c>
      <c r="J132" s="1">
        <v>8</v>
      </c>
      <c r="K132" s="1">
        <v>14</v>
      </c>
      <c r="L132" s="1">
        <v>8</v>
      </c>
      <c r="M132" s="1">
        <v>27</v>
      </c>
      <c r="N132" s="1">
        <v>34</v>
      </c>
      <c r="O132" s="1">
        <v>91</v>
      </c>
      <c r="P132" s="1">
        <v>61</v>
      </c>
      <c r="Q132" s="1">
        <v>32</v>
      </c>
      <c r="R132" s="1">
        <v>27</v>
      </c>
      <c r="S132" s="1">
        <v>22</v>
      </c>
      <c r="T132" s="1">
        <v>16</v>
      </c>
      <c r="U132" s="1">
        <v>15</v>
      </c>
      <c r="V132" s="1">
        <v>15</v>
      </c>
      <c r="W132" s="1">
        <v>8</v>
      </c>
      <c r="X132" s="1">
        <v>9</v>
      </c>
      <c r="Y132" s="1">
        <v>6</v>
      </c>
    </row>
    <row r="133" spans="1:25" x14ac:dyDescent="0.3">
      <c r="A133" s="2">
        <v>43931</v>
      </c>
      <c r="B133" s="1">
        <v>6</v>
      </c>
      <c r="C133" s="1">
        <v>5</v>
      </c>
      <c r="D133" s="1">
        <v>1</v>
      </c>
      <c r="E133" s="1">
        <v>3</v>
      </c>
      <c r="F133" s="1">
        <v>6</v>
      </c>
      <c r="G133" s="1">
        <v>8</v>
      </c>
      <c r="H133" s="1">
        <v>7</v>
      </c>
      <c r="I133" s="1">
        <v>4</v>
      </c>
      <c r="J133" s="1">
        <v>7</v>
      </c>
      <c r="K133" s="1">
        <v>12</v>
      </c>
      <c r="L133" s="1">
        <v>19</v>
      </c>
      <c r="M133" s="1">
        <v>22</v>
      </c>
      <c r="N133" s="1">
        <v>16</v>
      </c>
      <c r="O133" s="1">
        <v>23</v>
      </c>
      <c r="P133" s="1">
        <v>16</v>
      </c>
      <c r="Q133" s="1">
        <v>22</v>
      </c>
      <c r="R133" s="1">
        <v>26</v>
      </c>
      <c r="S133" s="1">
        <v>19</v>
      </c>
      <c r="T133" s="1">
        <v>19</v>
      </c>
      <c r="U133" s="1">
        <v>12</v>
      </c>
      <c r="V133" s="1">
        <v>12</v>
      </c>
      <c r="W133" s="1">
        <v>14</v>
      </c>
      <c r="X133" s="1">
        <v>10</v>
      </c>
      <c r="Y133" s="1">
        <v>10</v>
      </c>
    </row>
    <row r="134" spans="1:25" x14ac:dyDescent="0.3">
      <c r="A134" s="2">
        <v>43932</v>
      </c>
      <c r="B134" s="1">
        <v>4</v>
      </c>
      <c r="C134" s="1">
        <v>3</v>
      </c>
      <c r="D134" s="1">
        <v>1</v>
      </c>
      <c r="E134" s="1">
        <v>6</v>
      </c>
      <c r="F134" s="1">
        <v>1</v>
      </c>
      <c r="G134" s="1">
        <v>2</v>
      </c>
      <c r="H134" s="1">
        <v>9</v>
      </c>
      <c r="I134" s="1">
        <v>1</v>
      </c>
      <c r="J134" s="1">
        <v>5</v>
      </c>
      <c r="K134" s="1">
        <v>11</v>
      </c>
      <c r="L134" s="1">
        <v>9</v>
      </c>
      <c r="M134" s="1">
        <v>19</v>
      </c>
      <c r="N134" s="1">
        <v>17</v>
      </c>
      <c r="O134" s="1">
        <v>17</v>
      </c>
      <c r="P134" s="1">
        <v>17</v>
      </c>
      <c r="Q134" s="1">
        <v>21</v>
      </c>
      <c r="R134" s="1">
        <v>17</v>
      </c>
      <c r="S134" s="1">
        <v>12</v>
      </c>
      <c r="T134" s="1">
        <v>18</v>
      </c>
      <c r="U134" s="1">
        <v>16</v>
      </c>
      <c r="V134" s="1">
        <v>11</v>
      </c>
      <c r="W134" s="1">
        <v>13</v>
      </c>
      <c r="X134" s="1">
        <v>7</v>
      </c>
      <c r="Y134" s="1">
        <v>2</v>
      </c>
    </row>
    <row r="135" spans="1:25" x14ac:dyDescent="0.3">
      <c r="A135" s="2">
        <v>43933</v>
      </c>
      <c r="B135" s="1">
        <v>8</v>
      </c>
      <c r="C135" s="1">
        <v>8</v>
      </c>
      <c r="D135" s="1">
        <v>7</v>
      </c>
      <c r="E135" s="1">
        <v>2</v>
      </c>
      <c r="F135" s="1">
        <v>4</v>
      </c>
      <c r="G135" s="1">
        <v>5</v>
      </c>
      <c r="H135" s="1">
        <v>2</v>
      </c>
      <c r="I135" s="1">
        <v>5</v>
      </c>
      <c r="J135" s="1">
        <v>2</v>
      </c>
      <c r="K135" s="1">
        <v>9</v>
      </c>
      <c r="L135" s="1">
        <v>19</v>
      </c>
      <c r="M135" s="1">
        <v>16</v>
      </c>
      <c r="N135" s="1">
        <v>10</v>
      </c>
      <c r="O135" s="1">
        <v>9</v>
      </c>
      <c r="P135" s="1">
        <v>22</v>
      </c>
      <c r="Q135" s="1">
        <v>17</v>
      </c>
      <c r="R135" s="1">
        <v>17</v>
      </c>
      <c r="S135" s="1">
        <v>12</v>
      </c>
      <c r="T135" s="1">
        <v>14</v>
      </c>
      <c r="U135" s="1">
        <v>14</v>
      </c>
      <c r="V135" s="1">
        <v>12</v>
      </c>
      <c r="W135" s="1">
        <v>11</v>
      </c>
      <c r="X135" s="1">
        <v>7</v>
      </c>
      <c r="Y135" s="1">
        <v>11</v>
      </c>
    </row>
    <row r="136" spans="1:25" x14ac:dyDescent="0.3">
      <c r="A136" s="2">
        <v>43934</v>
      </c>
      <c r="B136" s="1">
        <v>4</v>
      </c>
      <c r="C136" s="1">
        <v>4</v>
      </c>
      <c r="D136" s="1">
        <v>7</v>
      </c>
      <c r="E136" s="1">
        <v>10</v>
      </c>
      <c r="F136" s="1">
        <v>12</v>
      </c>
      <c r="G136" s="1">
        <v>5</v>
      </c>
      <c r="H136" s="1">
        <v>14</v>
      </c>
      <c r="I136" s="1">
        <v>11</v>
      </c>
      <c r="J136" s="1">
        <v>20</v>
      </c>
      <c r="K136" s="1">
        <v>28</v>
      </c>
      <c r="L136" s="1">
        <v>33</v>
      </c>
      <c r="M136" s="1">
        <v>26</v>
      </c>
      <c r="N136" s="1">
        <v>38</v>
      </c>
      <c r="O136" s="1">
        <v>26</v>
      </c>
      <c r="P136" s="1">
        <v>26</v>
      </c>
      <c r="Q136" s="1">
        <v>25</v>
      </c>
      <c r="R136" s="1">
        <v>15</v>
      </c>
      <c r="S136" s="1">
        <v>19</v>
      </c>
      <c r="T136" s="1">
        <v>16</v>
      </c>
      <c r="U136" s="1">
        <v>8</v>
      </c>
      <c r="V136" s="1">
        <v>14</v>
      </c>
      <c r="W136" s="1">
        <v>9</v>
      </c>
      <c r="X136" s="1">
        <v>5</v>
      </c>
      <c r="Y136" s="1">
        <v>3</v>
      </c>
    </row>
    <row r="137" spans="1:25" x14ac:dyDescent="0.3">
      <c r="A137" s="2">
        <v>43935</v>
      </c>
      <c r="B137" s="1">
        <v>4</v>
      </c>
      <c r="C137" s="1">
        <v>6</v>
      </c>
      <c r="D137" s="1">
        <v>4</v>
      </c>
      <c r="E137" s="1">
        <v>3</v>
      </c>
      <c r="F137" s="1">
        <v>2</v>
      </c>
      <c r="G137" s="1">
        <v>6</v>
      </c>
      <c r="H137" s="1">
        <v>4</v>
      </c>
      <c r="I137" s="1">
        <v>8</v>
      </c>
      <c r="J137" s="1">
        <v>14</v>
      </c>
      <c r="K137" s="1">
        <v>18</v>
      </c>
      <c r="L137" s="1">
        <v>12</v>
      </c>
      <c r="M137" s="1">
        <v>13</v>
      </c>
      <c r="N137" s="1">
        <v>15</v>
      </c>
      <c r="O137" s="1">
        <v>18</v>
      </c>
      <c r="P137" s="1">
        <v>11</v>
      </c>
      <c r="Q137" s="1">
        <v>13</v>
      </c>
      <c r="R137" s="1">
        <v>14</v>
      </c>
      <c r="S137" s="1">
        <v>13</v>
      </c>
      <c r="T137" s="1">
        <v>14</v>
      </c>
      <c r="U137" s="1">
        <v>14</v>
      </c>
      <c r="V137" s="1">
        <v>13</v>
      </c>
      <c r="W137" s="1">
        <v>11</v>
      </c>
      <c r="X137" s="1">
        <v>11</v>
      </c>
      <c r="Y137" s="1">
        <v>8</v>
      </c>
    </row>
    <row r="138" spans="1:25" x14ac:dyDescent="0.3">
      <c r="A138" s="2">
        <v>43936</v>
      </c>
      <c r="B138" s="1">
        <v>2</v>
      </c>
      <c r="C138" s="1">
        <v>6</v>
      </c>
      <c r="D138" s="1">
        <v>4</v>
      </c>
      <c r="E138" s="1">
        <v>7</v>
      </c>
      <c r="F138" s="1">
        <v>3</v>
      </c>
      <c r="G138" s="1">
        <v>5</v>
      </c>
      <c r="H138" s="1">
        <v>4</v>
      </c>
      <c r="I138" s="1">
        <v>11</v>
      </c>
      <c r="J138" s="1">
        <v>12</v>
      </c>
      <c r="K138" s="1">
        <v>12</v>
      </c>
      <c r="L138" s="1">
        <v>11</v>
      </c>
      <c r="M138" s="1">
        <v>18</v>
      </c>
      <c r="N138" s="1">
        <v>19</v>
      </c>
      <c r="O138" s="1">
        <v>16</v>
      </c>
      <c r="P138" s="1">
        <v>23</v>
      </c>
      <c r="Q138" s="1">
        <v>10</v>
      </c>
      <c r="R138" s="1">
        <v>20</v>
      </c>
      <c r="S138" s="1">
        <v>16</v>
      </c>
      <c r="T138" s="1">
        <v>13</v>
      </c>
      <c r="U138" s="1">
        <v>14</v>
      </c>
      <c r="V138" s="1">
        <v>14</v>
      </c>
      <c r="W138" s="1">
        <v>7</v>
      </c>
      <c r="X138" s="1">
        <v>11</v>
      </c>
      <c r="Y138" s="1">
        <v>5</v>
      </c>
    </row>
    <row r="139" spans="1:25" x14ac:dyDescent="0.3">
      <c r="A139" s="2">
        <v>43937</v>
      </c>
      <c r="B139" s="1">
        <v>5</v>
      </c>
      <c r="C139" s="1">
        <v>3</v>
      </c>
      <c r="D139" s="1">
        <v>9</v>
      </c>
      <c r="E139" s="1">
        <v>2</v>
      </c>
      <c r="F139" s="1">
        <v>4</v>
      </c>
      <c r="G139" s="1">
        <v>2</v>
      </c>
      <c r="H139" s="1">
        <v>8</v>
      </c>
      <c r="I139" s="1">
        <v>12</v>
      </c>
      <c r="J139" s="1">
        <v>10</v>
      </c>
      <c r="K139" s="1">
        <v>11</v>
      </c>
      <c r="L139" s="1">
        <v>17</v>
      </c>
      <c r="M139" s="1">
        <v>17</v>
      </c>
      <c r="N139" s="1">
        <v>15</v>
      </c>
      <c r="O139" s="1">
        <v>15</v>
      </c>
      <c r="P139" s="1">
        <v>12</v>
      </c>
      <c r="Q139" s="1">
        <v>15</v>
      </c>
      <c r="R139" s="1">
        <v>15</v>
      </c>
      <c r="S139" s="1">
        <v>13</v>
      </c>
      <c r="T139" s="1">
        <v>11</v>
      </c>
      <c r="U139" s="1">
        <v>15</v>
      </c>
      <c r="V139" s="1">
        <v>7</v>
      </c>
      <c r="W139" s="1">
        <v>16</v>
      </c>
      <c r="X139" s="1">
        <v>5</v>
      </c>
      <c r="Y139" s="1">
        <v>7</v>
      </c>
    </row>
    <row r="140" spans="1:25" x14ac:dyDescent="0.3">
      <c r="A140" s="2">
        <v>43938</v>
      </c>
      <c r="B140" s="1">
        <v>6</v>
      </c>
      <c r="C140" s="1">
        <v>5</v>
      </c>
      <c r="D140" s="1">
        <v>7</v>
      </c>
      <c r="E140" s="1">
        <v>1</v>
      </c>
      <c r="F140" s="1">
        <v>5</v>
      </c>
      <c r="G140" s="1">
        <v>5</v>
      </c>
      <c r="H140" s="1">
        <v>7</v>
      </c>
      <c r="I140" s="1">
        <v>15</v>
      </c>
      <c r="J140" s="1">
        <v>17</v>
      </c>
      <c r="K140" s="1">
        <v>16</v>
      </c>
      <c r="L140" s="1">
        <v>10</v>
      </c>
      <c r="M140" s="1">
        <v>12</v>
      </c>
      <c r="N140" s="1">
        <v>13</v>
      </c>
      <c r="O140" s="1">
        <v>11</v>
      </c>
      <c r="P140" s="1">
        <v>14</v>
      </c>
      <c r="Q140" s="1">
        <v>15</v>
      </c>
      <c r="R140" s="1">
        <v>25</v>
      </c>
      <c r="S140" s="1">
        <v>9</v>
      </c>
      <c r="T140" s="1">
        <v>15</v>
      </c>
      <c r="U140" s="1">
        <v>11</v>
      </c>
      <c r="V140" s="1">
        <v>13</v>
      </c>
      <c r="W140" s="1">
        <v>6</v>
      </c>
      <c r="X140" s="1">
        <v>10</v>
      </c>
      <c r="Y140" s="1">
        <v>7</v>
      </c>
    </row>
    <row r="141" spans="1:25" x14ac:dyDescent="0.3">
      <c r="A141" s="2">
        <v>43939</v>
      </c>
      <c r="B141" s="1">
        <v>10</v>
      </c>
      <c r="C141" s="1">
        <v>6</v>
      </c>
      <c r="D141" s="1">
        <v>4</v>
      </c>
      <c r="E141" s="1">
        <v>6</v>
      </c>
      <c r="F141" s="1">
        <v>6</v>
      </c>
      <c r="G141" s="1">
        <v>8</v>
      </c>
      <c r="H141" s="1">
        <v>7</v>
      </c>
      <c r="I141" s="1">
        <v>8</v>
      </c>
      <c r="J141" s="1">
        <v>10</v>
      </c>
      <c r="K141" s="1">
        <v>8</v>
      </c>
      <c r="L141" s="1">
        <v>9</v>
      </c>
      <c r="M141" s="1">
        <v>19</v>
      </c>
      <c r="N141" s="1">
        <v>15</v>
      </c>
      <c r="O141" s="1">
        <v>16</v>
      </c>
      <c r="P141" s="1">
        <v>10</v>
      </c>
      <c r="Q141" s="1">
        <v>11</v>
      </c>
      <c r="R141" s="1">
        <v>21</v>
      </c>
      <c r="S141" s="1">
        <v>5</v>
      </c>
      <c r="T141" s="1">
        <v>13</v>
      </c>
      <c r="U141" s="1">
        <v>11</v>
      </c>
      <c r="V141" s="1">
        <v>8</v>
      </c>
      <c r="W141" s="1">
        <v>14</v>
      </c>
      <c r="X141" s="1">
        <v>6</v>
      </c>
      <c r="Y141" s="1">
        <v>12</v>
      </c>
    </row>
    <row r="142" spans="1:25" x14ac:dyDescent="0.3">
      <c r="A142" s="2">
        <v>43940</v>
      </c>
      <c r="B142" s="1">
        <v>1</v>
      </c>
      <c r="C142" s="1">
        <v>7</v>
      </c>
      <c r="D142" s="1">
        <v>9</v>
      </c>
      <c r="E142" s="1">
        <v>3</v>
      </c>
      <c r="F142" s="1">
        <v>9</v>
      </c>
      <c r="G142" s="1">
        <v>5</v>
      </c>
      <c r="H142" s="1">
        <v>2</v>
      </c>
      <c r="I142" s="1">
        <v>8</v>
      </c>
      <c r="J142" s="1">
        <v>9</v>
      </c>
      <c r="K142" s="1">
        <v>8</v>
      </c>
      <c r="L142" s="1">
        <v>11</v>
      </c>
      <c r="M142" s="1">
        <v>9</v>
      </c>
      <c r="N142" s="1">
        <v>19</v>
      </c>
      <c r="O142" s="1">
        <v>21</v>
      </c>
      <c r="P142" s="1">
        <v>13</v>
      </c>
      <c r="Q142" s="1">
        <v>15</v>
      </c>
      <c r="R142" s="1">
        <v>13</v>
      </c>
      <c r="S142" s="1">
        <v>12</v>
      </c>
      <c r="T142" s="1">
        <v>10</v>
      </c>
      <c r="U142" s="1">
        <v>14</v>
      </c>
      <c r="V142" s="1">
        <v>7</v>
      </c>
      <c r="W142" s="1">
        <v>10</v>
      </c>
      <c r="X142" s="1">
        <v>8</v>
      </c>
      <c r="Y142" s="1">
        <v>6</v>
      </c>
    </row>
    <row r="143" spans="1:25" x14ac:dyDescent="0.3">
      <c r="A143" s="2">
        <v>43941</v>
      </c>
      <c r="B143" s="1">
        <v>10</v>
      </c>
      <c r="C143" s="1">
        <v>8</v>
      </c>
      <c r="D143" s="1">
        <v>4</v>
      </c>
      <c r="E143" s="1">
        <v>2</v>
      </c>
      <c r="F143" s="1">
        <v>2</v>
      </c>
      <c r="G143" s="1">
        <v>4</v>
      </c>
      <c r="H143" s="1">
        <v>5</v>
      </c>
      <c r="I143" s="1">
        <v>9</v>
      </c>
      <c r="J143" s="1">
        <v>7</v>
      </c>
      <c r="K143" s="1">
        <v>16</v>
      </c>
      <c r="L143" s="1">
        <v>13</v>
      </c>
      <c r="M143" s="1">
        <v>26</v>
      </c>
      <c r="N143" s="1">
        <v>16</v>
      </c>
      <c r="O143" s="1">
        <v>16</v>
      </c>
      <c r="P143" s="1">
        <v>15</v>
      </c>
      <c r="Q143" s="1">
        <v>15</v>
      </c>
      <c r="R143" s="1">
        <v>14</v>
      </c>
      <c r="S143" s="1">
        <v>18</v>
      </c>
      <c r="T143" s="1">
        <v>12</v>
      </c>
      <c r="U143" s="1">
        <v>14</v>
      </c>
      <c r="V143" s="1">
        <v>9</v>
      </c>
      <c r="W143" s="1">
        <v>12</v>
      </c>
      <c r="X143" s="1">
        <v>11</v>
      </c>
      <c r="Y143" s="1">
        <v>5</v>
      </c>
    </row>
    <row r="144" spans="1:25" x14ac:dyDescent="0.3">
      <c r="A144" s="2">
        <v>43942</v>
      </c>
      <c r="B144" s="1">
        <v>7</v>
      </c>
      <c r="C144" s="1">
        <v>3</v>
      </c>
      <c r="D144" s="1">
        <v>1</v>
      </c>
      <c r="E144" s="1">
        <v>3</v>
      </c>
      <c r="F144" s="1">
        <v>5</v>
      </c>
      <c r="G144" s="1">
        <v>4</v>
      </c>
      <c r="H144" s="1">
        <v>6</v>
      </c>
      <c r="I144" s="1">
        <v>11</v>
      </c>
      <c r="J144" s="1">
        <v>15</v>
      </c>
      <c r="K144" s="1">
        <v>8</v>
      </c>
      <c r="L144" s="1">
        <v>19</v>
      </c>
      <c r="M144" s="1">
        <v>18</v>
      </c>
      <c r="N144" s="1">
        <v>30</v>
      </c>
      <c r="O144" s="1">
        <v>31</v>
      </c>
      <c r="P144" s="1">
        <v>29</v>
      </c>
      <c r="Q144" s="1">
        <v>15</v>
      </c>
      <c r="R144" s="1">
        <v>12</v>
      </c>
      <c r="S144" s="1">
        <v>13</v>
      </c>
      <c r="T144" s="1">
        <v>14</v>
      </c>
      <c r="U144" s="1">
        <v>23</v>
      </c>
      <c r="V144" s="1">
        <v>15</v>
      </c>
      <c r="W144" s="1">
        <v>9</v>
      </c>
      <c r="X144" s="1">
        <v>7</v>
      </c>
      <c r="Y144" s="1">
        <v>6</v>
      </c>
    </row>
    <row r="145" spans="1:25" x14ac:dyDescent="0.3">
      <c r="A145" s="2">
        <v>43943</v>
      </c>
      <c r="B145" s="1">
        <v>6</v>
      </c>
      <c r="C145" s="1">
        <v>7</v>
      </c>
      <c r="D145" s="1">
        <v>6</v>
      </c>
      <c r="E145" s="1">
        <v>7</v>
      </c>
      <c r="F145" s="1">
        <v>5</v>
      </c>
      <c r="G145" s="1">
        <v>0</v>
      </c>
      <c r="H145" s="1">
        <v>6</v>
      </c>
      <c r="I145" s="1">
        <v>4</v>
      </c>
      <c r="J145" s="1">
        <v>8</v>
      </c>
      <c r="K145" s="1">
        <v>8</v>
      </c>
      <c r="L145" s="1">
        <v>15</v>
      </c>
      <c r="M145" s="1">
        <v>24</v>
      </c>
      <c r="N145" s="1">
        <v>15</v>
      </c>
      <c r="O145" s="1">
        <v>29</v>
      </c>
      <c r="P145" s="1">
        <v>6</v>
      </c>
      <c r="Q145" s="1">
        <v>23</v>
      </c>
      <c r="R145" s="1">
        <v>18</v>
      </c>
      <c r="S145" s="1">
        <v>23</v>
      </c>
      <c r="T145" s="1">
        <v>24</v>
      </c>
      <c r="U145" s="1">
        <v>10</v>
      </c>
      <c r="V145" s="1">
        <v>8</v>
      </c>
      <c r="W145" s="1">
        <v>10</v>
      </c>
      <c r="X145" s="1">
        <v>10</v>
      </c>
      <c r="Y145" s="1">
        <v>10</v>
      </c>
    </row>
    <row r="146" spans="1:25" x14ac:dyDescent="0.3">
      <c r="A146" s="2">
        <v>43944</v>
      </c>
      <c r="B146" s="1">
        <v>4</v>
      </c>
      <c r="C146" s="1">
        <v>6</v>
      </c>
      <c r="D146" s="1">
        <v>2</v>
      </c>
      <c r="E146" s="1">
        <v>5</v>
      </c>
      <c r="F146" s="1">
        <v>1</v>
      </c>
      <c r="G146" s="1">
        <v>7</v>
      </c>
      <c r="H146" s="1">
        <v>4</v>
      </c>
      <c r="I146" s="1">
        <v>7</v>
      </c>
      <c r="J146" s="1">
        <v>10</v>
      </c>
      <c r="K146" s="1">
        <v>15</v>
      </c>
      <c r="L146" s="1">
        <v>9</v>
      </c>
      <c r="M146" s="1">
        <v>9</v>
      </c>
      <c r="N146" s="1">
        <v>13</v>
      </c>
      <c r="O146" s="1">
        <v>20</v>
      </c>
      <c r="P146" s="1">
        <v>24</v>
      </c>
      <c r="Q146" s="1">
        <v>8</v>
      </c>
      <c r="R146" s="1">
        <v>18</v>
      </c>
      <c r="S146" s="1">
        <v>10</v>
      </c>
      <c r="T146" s="1">
        <v>12</v>
      </c>
      <c r="U146" s="1">
        <v>12</v>
      </c>
      <c r="V146" s="1">
        <v>10</v>
      </c>
      <c r="W146" s="1">
        <v>12</v>
      </c>
      <c r="X146" s="1">
        <v>6</v>
      </c>
      <c r="Y146" s="1">
        <v>15</v>
      </c>
    </row>
    <row r="147" spans="1:25" x14ac:dyDescent="0.3">
      <c r="A147" s="2">
        <v>43945</v>
      </c>
      <c r="B147" s="1">
        <v>6</v>
      </c>
      <c r="C147" s="1">
        <v>7</v>
      </c>
      <c r="D147" s="1">
        <v>5</v>
      </c>
      <c r="E147" s="1">
        <v>4</v>
      </c>
      <c r="F147" s="1">
        <v>7</v>
      </c>
      <c r="G147" s="1">
        <v>2</v>
      </c>
      <c r="H147" s="1">
        <v>6</v>
      </c>
      <c r="I147" s="1">
        <v>8</v>
      </c>
      <c r="J147" s="1">
        <v>15</v>
      </c>
      <c r="K147" s="1">
        <v>13</v>
      </c>
      <c r="L147" s="1">
        <v>9</v>
      </c>
      <c r="M147" s="1">
        <v>22</v>
      </c>
      <c r="N147" s="1">
        <v>16</v>
      </c>
      <c r="O147" s="1">
        <v>15</v>
      </c>
      <c r="P147" s="1">
        <v>15</v>
      </c>
      <c r="Q147" s="1">
        <v>23</v>
      </c>
      <c r="R147" s="1">
        <v>17</v>
      </c>
      <c r="S147" s="1">
        <v>13</v>
      </c>
      <c r="T147" s="1">
        <v>12</v>
      </c>
      <c r="U147" s="1">
        <v>18</v>
      </c>
      <c r="V147" s="1">
        <v>5</v>
      </c>
      <c r="W147" s="1">
        <v>9</v>
      </c>
      <c r="X147" s="1">
        <v>12</v>
      </c>
      <c r="Y147" s="1">
        <v>4</v>
      </c>
    </row>
    <row r="148" spans="1:25" x14ac:dyDescent="0.3">
      <c r="A148" s="2">
        <v>43946</v>
      </c>
      <c r="B148" s="1">
        <v>3</v>
      </c>
      <c r="C148" s="1">
        <v>2</v>
      </c>
      <c r="D148" s="1">
        <v>1</v>
      </c>
      <c r="E148" s="1">
        <v>4</v>
      </c>
      <c r="F148" s="1">
        <v>7</v>
      </c>
      <c r="G148" s="1">
        <v>8</v>
      </c>
      <c r="H148" s="1">
        <v>1</v>
      </c>
      <c r="I148" s="1">
        <v>0</v>
      </c>
      <c r="J148" s="1">
        <v>6</v>
      </c>
      <c r="K148" s="1">
        <v>21</v>
      </c>
      <c r="L148" s="1">
        <v>14</v>
      </c>
      <c r="M148" s="1">
        <v>24</v>
      </c>
      <c r="N148" s="1">
        <v>14</v>
      </c>
      <c r="O148" s="1">
        <v>18</v>
      </c>
      <c r="P148" s="1">
        <v>12</v>
      </c>
      <c r="Q148" s="1">
        <v>12</v>
      </c>
      <c r="R148" s="1">
        <v>23</v>
      </c>
      <c r="S148" s="1">
        <v>8</v>
      </c>
      <c r="T148" s="1">
        <v>15</v>
      </c>
      <c r="U148" s="1">
        <v>20</v>
      </c>
      <c r="V148" s="1">
        <v>11</v>
      </c>
      <c r="W148" s="1">
        <v>2</v>
      </c>
      <c r="X148" s="1">
        <v>11</v>
      </c>
      <c r="Y148" s="1">
        <v>7</v>
      </c>
    </row>
    <row r="149" spans="1:25" x14ac:dyDescent="0.3">
      <c r="A149" s="2">
        <v>43947</v>
      </c>
      <c r="B149" s="1">
        <v>7</v>
      </c>
      <c r="C149" s="1">
        <v>3</v>
      </c>
      <c r="D149" s="1">
        <v>12</v>
      </c>
      <c r="E149" s="1">
        <v>9</v>
      </c>
      <c r="F149" s="1">
        <v>5</v>
      </c>
      <c r="G149" s="1">
        <v>2</v>
      </c>
      <c r="H149" s="1">
        <v>5</v>
      </c>
      <c r="I149" s="1">
        <v>8</v>
      </c>
      <c r="J149" s="1">
        <v>8</v>
      </c>
      <c r="K149" s="1">
        <v>15</v>
      </c>
      <c r="L149" s="1">
        <v>13</v>
      </c>
      <c r="M149" s="1">
        <v>12</v>
      </c>
      <c r="N149" s="1">
        <v>16</v>
      </c>
      <c r="O149" s="1">
        <v>11</v>
      </c>
      <c r="P149" s="1">
        <v>9</v>
      </c>
      <c r="Q149" s="1">
        <v>7</v>
      </c>
      <c r="R149" s="1">
        <v>10</v>
      </c>
      <c r="S149" s="1">
        <v>14</v>
      </c>
      <c r="T149" s="1">
        <v>10</v>
      </c>
      <c r="U149" s="1">
        <v>9</v>
      </c>
      <c r="V149" s="1">
        <v>11</v>
      </c>
      <c r="W149" s="1">
        <v>9</v>
      </c>
      <c r="X149" s="1">
        <v>8</v>
      </c>
      <c r="Y149" s="1">
        <v>6</v>
      </c>
    </row>
    <row r="150" spans="1:25" x14ac:dyDescent="0.3">
      <c r="A150" s="2">
        <v>43948</v>
      </c>
      <c r="B150" s="1">
        <v>10</v>
      </c>
      <c r="C150" s="1">
        <v>6</v>
      </c>
      <c r="D150" s="1">
        <v>3</v>
      </c>
      <c r="E150" s="1">
        <v>3</v>
      </c>
      <c r="F150" s="1">
        <v>4</v>
      </c>
      <c r="G150" s="1">
        <v>5</v>
      </c>
      <c r="H150" s="1">
        <v>4</v>
      </c>
      <c r="I150" s="1">
        <v>13</v>
      </c>
      <c r="J150" s="1">
        <v>8</v>
      </c>
      <c r="K150" s="1">
        <v>13</v>
      </c>
      <c r="L150" s="1">
        <v>10</v>
      </c>
      <c r="M150" s="1">
        <v>20</v>
      </c>
      <c r="N150" s="1">
        <v>18</v>
      </c>
      <c r="O150" s="1">
        <v>19</v>
      </c>
      <c r="P150" s="1">
        <v>19</v>
      </c>
      <c r="Q150" s="1">
        <v>25</v>
      </c>
      <c r="R150" s="1">
        <v>12</v>
      </c>
      <c r="S150" s="1">
        <v>15</v>
      </c>
      <c r="T150" s="1">
        <v>21</v>
      </c>
      <c r="U150" s="1">
        <v>14</v>
      </c>
      <c r="V150" s="1">
        <v>13</v>
      </c>
      <c r="W150" s="1">
        <v>19</v>
      </c>
      <c r="X150" s="1">
        <v>22</v>
      </c>
      <c r="Y150" s="1">
        <v>8</v>
      </c>
    </row>
    <row r="151" spans="1:25" x14ac:dyDescent="0.3">
      <c r="A151" s="2">
        <v>43949</v>
      </c>
      <c r="B151" s="1">
        <v>5</v>
      </c>
      <c r="C151" s="1">
        <v>6</v>
      </c>
      <c r="D151" s="1">
        <v>2</v>
      </c>
      <c r="E151" s="1">
        <v>4</v>
      </c>
      <c r="F151" s="1">
        <v>5</v>
      </c>
      <c r="G151" s="1">
        <v>6</v>
      </c>
      <c r="H151" s="1">
        <v>10</v>
      </c>
      <c r="I151" s="1">
        <v>11</v>
      </c>
      <c r="J151" s="1">
        <v>11</v>
      </c>
      <c r="K151" s="1">
        <v>18</v>
      </c>
      <c r="L151" s="1">
        <v>13</v>
      </c>
      <c r="M151" s="1">
        <v>14</v>
      </c>
      <c r="N151" s="1">
        <v>11</v>
      </c>
      <c r="O151" s="1">
        <v>12</v>
      </c>
      <c r="P151" s="1">
        <v>22</v>
      </c>
      <c r="Q151" s="1">
        <v>20</v>
      </c>
      <c r="R151" s="1">
        <v>11</v>
      </c>
      <c r="S151" s="1">
        <v>16</v>
      </c>
      <c r="T151" s="1">
        <v>9</v>
      </c>
      <c r="U151" s="1">
        <v>24</v>
      </c>
      <c r="V151" s="1">
        <v>7</v>
      </c>
      <c r="W151" s="1">
        <v>5</v>
      </c>
      <c r="X151" s="1">
        <v>7</v>
      </c>
      <c r="Y151" s="1">
        <v>10</v>
      </c>
    </row>
    <row r="152" spans="1:25" x14ac:dyDescent="0.3">
      <c r="A152" s="2">
        <v>43950</v>
      </c>
      <c r="B152" s="1">
        <v>3</v>
      </c>
      <c r="C152" s="1">
        <v>7</v>
      </c>
      <c r="D152" s="1">
        <v>2</v>
      </c>
      <c r="E152" s="1">
        <v>2</v>
      </c>
      <c r="F152" s="1">
        <v>8</v>
      </c>
      <c r="G152" s="1">
        <v>5</v>
      </c>
      <c r="H152" s="1">
        <v>6</v>
      </c>
      <c r="I152" s="1">
        <v>9</v>
      </c>
      <c r="J152" s="1">
        <v>16</v>
      </c>
      <c r="K152" s="1">
        <v>14</v>
      </c>
      <c r="L152" s="1">
        <v>19</v>
      </c>
      <c r="M152" s="1">
        <v>17</v>
      </c>
      <c r="N152" s="1">
        <v>8</v>
      </c>
      <c r="O152" s="1">
        <v>14</v>
      </c>
      <c r="P152" s="1">
        <v>9</v>
      </c>
      <c r="Q152" s="1">
        <v>19</v>
      </c>
      <c r="R152" s="1">
        <v>15</v>
      </c>
      <c r="S152" s="1">
        <v>24</v>
      </c>
      <c r="T152" s="1">
        <v>13</v>
      </c>
      <c r="U152" s="1">
        <v>5</v>
      </c>
      <c r="V152" s="1">
        <v>11</v>
      </c>
      <c r="W152" s="1">
        <v>15</v>
      </c>
      <c r="X152" s="1">
        <v>11</v>
      </c>
      <c r="Y152" s="1">
        <v>4</v>
      </c>
    </row>
    <row r="153" spans="1:25" x14ac:dyDescent="0.3">
      <c r="A153" s="2">
        <v>43951</v>
      </c>
      <c r="B153" s="1">
        <v>4</v>
      </c>
      <c r="C153" s="1">
        <v>4</v>
      </c>
      <c r="D153" s="1">
        <v>2</v>
      </c>
      <c r="E153" s="1">
        <v>3</v>
      </c>
      <c r="F153" s="1">
        <v>3</v>
      </c>
      <c r="G153" s="1">
        <v>5</v>
      </c>
      <c r="H153" s="1">
        <v>6</v>
      </c>
      <c r="I153" s="1">
        <v>10</v>
      </c>
      <c r="J153" s="1">
        <v>10</v>
      </c>
      <c r="K153" s="1">
        <v>17</v>
      </c>
      <c r="L153" s="1">
        <v>14</v>
      </c>
      <c r="M153" s="1">
        <v>24</v>
      </c>
      <c r="N153" s="1">
        <v>41</v>
      </c>
      <c r="O153" s="1">
        <v>55</v>
      </c>
      <c r="P153" s="1">
        <v>7</v>
      </c>
      <c r="Q153" s="1">
        <v>37</v>
      </c>
      <c r="R153" s="1">
        <v>29</v>
      </c>
      <c r="S153" s="1">
        <v>25</v>
      </c>
      <c r="T153" s="1">
        <v>31</v>
      </c>
      <c r="U153" s="1">
        <v>20</v>
      </c>
      <c r="V153" s="1">
        <v>16</v>
      </c>
      <c r="W153" s="1">
        <v>12</v>
      </c>
      <c r="X153" s="1">
        <v>11</v>
      </c>
      <c r="Y153" s="1">
        <v>4</v>
      </c>
    </row>
    <row r="154" spans="1:25" x14ac:dyDescent="0.3">
      <c r="A154" s="2">
        <v>43952</v>
      </c>
      <c r="B154" s="1">
        <v>8</v>
      </c>
      <c r="C154" s="1">
        <v>7</v>
      </c>
      <c r="D154" s="1">
        <v>5</v>
      </c>
      <c r="E154" s="1">
        <v>4</v>
      </c>
      <c r="F154" s="1">
        <v>13</v>
      </c>
      <c r="G154" s="1">
        <v>6</v>
      </c>
      <c r="H154" s="1">
        <v>10</v>
      </c>
      <c r="I154" s="1">
        <v>7</v>
      </c>
      <c r="J154" s="1">
        <v>13</v>
      </c>
      <c r="K154" s="1">
        <v>21</v>
      </c>
      <c r="L154" s="1">
        <v>22</v>
      </c>
      <c r="M154" s="1">
        <v>20</v>
      </c>
      <c r="N154" s="1">
        <v>12</v>
      </c>
      <c r="O154" s="1">
        <v>21</v>
      </c>
      <c r="P154" s="1">
        <v>17</v>
      </c>
      <c r="Q154" s="1">
        <v>24</v>
      </c>
      <c r="R154" s="1">
        <v>22</v>
      </c>
      <c r="S154" s="1">
        <v>15</v>
      </c>
      <c r="T154" s="1">
        <v>20</v>
      </c>
      <c r="U154" s="1">
        <v>15</v>
      </c>
      <c r="V154" s="1">
        <v>19</v>
      </c>
      <c r="W154" s="1">
        <v>10</v>
      </c>
      <c r="X154" s="1">
        <v>9</v>
      </c>
      <c r="Y154" s="1">
        <v>9</v>
      </c>
    </row>
    <row r="155" spans="1:25" x14ac:dyDescent="0.3">
      <c r="A155" s="2">
        <v>43953</v>
      </c>
      <c r="B155" s="1">
        <v>4</v>
      </c>
      <c r="C155" s="1">
        <v>5</v>
      </c>
      <c r="D155" s="1">
        <v>4</v>
      </c>
      <c r="E155" s="1">
        <v>4</v>
      </c>
      <c r="F155" s="1">
        <v>3</v>
      </c>
      <c r="G155" s="1">
        <v>2</v>
      </c>
      <c r="H155" s="1">
        <v>11</v>
      </c>
      <c r="I155" s="1">
        <v>7</v>
      </c>
      <c r="J155" s="1">
        <v>6</v>
      </c>
      <c r="K155" s="1">
        <v>10</v>
      </c>
      <c r="L155" s="1">
        <v>15</v>
      </c>
      <c r="M155" s="1">
        <v>10</v>
      </c>
      <c r="N155" s="1">
        <v>17</v>
      </c>
      <c r="O155" s="1">
        <v>26</v>
      </c>
      <c r="P155" s="1">
        <v>18</v>
      </c>
      <c r="Q155" s="1">
        <v>20</v>
      </c>
      <c r="R155" s="1">
        <v>26</v>
      </c>
      <c r="S155" s="1">
        <v>19</v>
      </c>
      <c r="T155" s="1">
        <v>12</v>
      </c>
      <c r="U155" s="1">
        <v>16</v>
      </c>
      <c r="V155" s="1">
        <v>12</v>
      </c>
      <c r="W155" s="1">
        <v>9</v>
      </c>
      <c r="X155" s="1">
        <v>11</v>
      </c>
      <c r="Y155" s="1">
        <v>5</v>
      </c>
    </row>
    <row r="156" spans="1:25" x14ac:dyDescent="0.3">
      <c r="A156" s="2">
        <v>43954</v>
      </c>
      <c r="B156" s="1">
        <v>7</v>
      </c>
      <c r="C156" s="1">
        <v>5</v>
      </c>
      <c r="D156" s="1">
        <v>4</v>
      </c>
      <c r="E156" s="1">
        <v>6</v>
      </c>
      <c r="F156" s="1">
        <v>5</v>
      </c>
      <c r="G156" s="1">
        <v>11</v>
      </c>
      <c r="H156" s="1">
        <v>5</v>
      </c>
      <c r="I156" s="1">
        <v>8</v>
      </c>
      <c r="J156" s="1">
        <v>13</v>
      </c>
      <c r="K156" s="1">
        <v>9</v>
      </c>
      <c r="L156" s="1">
        <v>9</v>
      </c>
      <c r="M156" s="1">
        <v>16</v>
      </c>
      <c r="N156" s="1">
        <v>14</v>
      </c>
      <c r="O156" s="1">
        <v>21</v>
      </c>
      <c r="P156" s="1">
        <v>23</v>
      </c>
      <c r="Q156" s="1">
        <v>16</v>
      </c>
      <c r="R156" s="1">
        <v>28</v>
      </c>
      <c r="S156" s="1">
        <v>12</v>
      </c>
      <c r="T156" s="1">
        <v>16</v>
      </c>
      <c r="U156" s="1">
        <v>13</v>
      </c>
      <c r="V156" s="1">
        <v>12</v>
      </c>
      <c r="W156" s="1">
        <v>9</v>
      </c>
      <c r="X156" s="1">
        <v>5</v>
      </c>
      <c r="Y156" s="1">
        <v>7</v>
      </c>
    </row>
    <row r="157" spans="1:25" x14ac:dyDescent="0.3">
      <c r="A157" s="2">
        <v>43955</v>
      </c>
      <c r="B157" s="1">
        <v>11</v>
      </c>
      <c r="C157" s="1">
        <v>8</v>
      </c>
      <c r="D157" s="1">
        <v>7</v>
      </c>
      <c r="E157" s="1">
        <v>6</v>
      </c>
      <c r="F157" s="1">
        <v>5</v>
      </c>
      <c r="G157" s="1">
        <v>9</v>
      </c>
      <c r="H157" s="1">
        <v>7</v>
      </c>
      <c r="I157" s="1">
        <v>9</v>
      </c>
      <c r="J157" s="1">
        <v>7</v>
      </c>
      <c r="K157" s="1">
        <v>17</v>
      </c>
      <c r="L157" s="1">
        <v>8</v>
      </c>
      <c r="M157" s="1">
        <v>15</v>
      </c>
      <c r="N157" s="1">
        <v>19</v>
      </c>
      <c r="O157" s="1">
        <v>25</v>
      </c>
      <c r="P157" s="1">
        <v>14</v>
      </c>
      <c r="Q157" s="1">
        <v>20</v>
      </c>
      <c r="R157" s="1">
        <v>32</v>
      </c>
      <c r="S157" s="1">
        <v>14</v>
      </c>
      <c r="T157" s="1">
        <v>8</v>
      </c>
      <c r="U157" s="1">
        <v>14</v>
      </c>
      <c r="V157" s="1">
        <v>8</v>
      </c>
      <c r="W157" s="1">
        <v>7</v>
      </c>
      <c r="X157" s="1">
        <v>10</v>
      </c>
      <c r="Y157" s="1">
        <v>8</v>
      </c>
    </row>
    <row r="158" spans="1:25" x14ac:dyDescent="0.3">
      <c r="A158" s="2">
        <v>43956</v>
      </c>
      <c r="B158" s="1">
        <v>5</v>
      </c>
      <c r="C158" s="1">
        <v>9</v>
      </c>
      <c r="D158" s="1">
        <v>3</v>
      </c>
      <c r="E158" s="1">
        <v>4</v>
      </c>
      <c r="F158" s="1">
        <v>2</v>
      </c>
      <c r="G158" s="1">
        <v>2</v>
      </c>
      <c r="H158" s="1">
        <v>5</v>
      </c>
      <c r="I158" s="1">
        <v>11</v>
      </c>
      <c r="J158" s="1">
        <v>9</v>
      </c>
      <c r="K158" s="1">
        <v>15</v>
      </c>
      <c r="L158" s="1">
        <v>17</v>
      </c>
      <c r="M158" s="1">
        <v>16</v>
      </c>
      <c r="N158" s="1">
        <v>8</v>
      </c>
      <c r="O158" s="1">
        <v>24</v>
      </c>
      <c r="P158" s="1">
        <v>26</v>
      </c>
      <c r="Q158" s="1">
        <v>16</v>
      </c>
      <c r="R158" s="1">
        <v>12</v>
      </c>
      <c r="S158" s="1">
        <v>9</v>
      </c>
      <c r="T158" s="1">
        <v>18</v>
      </c>
      <c r="U158" s="1">
        <v>10</v>
      </c>
      <c r="V158" s="1">
        <v>10</v>
      </c>
      <c r="W158" s="1">
        <v>10</v>
      </c>
      <c r="X158" s="1">
        <v>10</v>
      </c>
      <c r="Y158" s="1">
        <v>6</v>
      </c>
    </row>
    <row r="159" spans="1:25" x14ac:dyDescent="0.3">
      <c r="A159" s="2">
        <v>43957</v>
      </c>
      <c r="B159" s="1">
        <v>7</v>
      </c>
      <c r="C159" s="1">
        <v>4</v>
      </c>
      <c r="D159" s="1">
        <v>3</v>
      </c>
      <c r="E159" s="1">
        <v>2</v>
      </c>
      <c r="F159" s="1">
        <v>6</v>
      </c>
      <c r="G159" s="1">
        <v>7</v>
      </c>
      <c r="H159" s="1">
        <v>7</v>
      </c>
      <c r="I159" s="1">
        <v>18</v>
      </c>
      <c r="J159" s="1">
        <v>6</v>
      </c>
      <c r="K159" s="1">
        <v>15</v>
      </c>
      <c r="L159" s="1">
        <v>24</v>
      </c>
      <c r="M159" s="1">
        <v>11</v>
      </c>
      <c r="N159" s="1">
        <v>22</v>
      </c>
      <c r="O159" s="1">
        <v>16</v>
      </c>
      <c r="P159" s="1">
        <v>12</v>
      </c>
      <c r="Q159" s="1">
        <v>9</v>
      </c>
      <c r="R159" s="1">
        <v>26</v>
      </c>
      <c r="S159" s="1">
        <v>15</v>
      </c>
      <c r="T159" s="1">
        <v>15</v>
      </c>
      <c r="U159" s="1">
        <v>15</v>
      </c>
      <c r="V159" s="1">
        <v>16</v>
      </c>
      <c r="W159" s="1">
        <v>9</v>
      </c>
      <c r="X159" s="1">
        <v>9</v>
      </c>
      <c r="Y159" s="1">
        <v>4</v>
      </c>
    </row>
    <row r="160" spans="1:25" x14ac:dyDescent="0.3">
      <c r="A160" s="2">
        <v>43958</v>
      </c>
      <c r="B160" s="1">
        <v>1</v>
      </c>
      <c r="C160" s="1">
        <v>7</v>
      </c>
      <c r="D160" s="1">
        <v>7</v>
      </c>
      <c r="E160" s="1">
        <v>2</v>
      </c>
      <c r="F160" s="1">
        <v>3</v>
      </c>
      <c r="G160" s="1">
        <v>6</v>
      </c>
      <c r="H160" s="1">
        <v>5</v>
      </c>
      <c r="I160" s="1">
        <v>9</v>
      </c>
      <c r="J160" s="1">
        <v>12</v>
      </c>
      <c r="K160" s="1">
        <v>21</v>
      </c>
      <c r="L160" s="1">
        <v>12</v>
      </c>
      <c r="M160" s="1">
        <v>20</v>
      </c>
      <c r="N160" s="1">
        <v>29</v>
      </c>
      <c r="O160" s="1">
        <v>20</v>
      </c>
      <c r="P160" s="1">
        <v>26</v>
      </c>
      <c r="Q160" s="1">
        <v>15</v>
      </c>
      <c r="R160" s="1">
        <v>18</v>
      </c>
      <c r="S160" s="1">
        <v>17</v>
      </c>
      <c r="T160" s="1">
        <v>16</v>
      </c>
      <c r="U160" s="1">
        <v>27</v>
      </c>
      <c r="V160" s="1">
        <v>12</v>
      </c>
      <c r="W160" s="1">
        <v>9</v>
      </c>
      <c r="X160" s="1">
        <v>6</v>
      </c>
      <c r="Y160" s="1">
        <v>8</v>
      </c>
    </row>
    <row r="161" spans="1:25" x14ac:dyDescent="0.3">
      <c r="A161" s="2">
        <v>43959</v>
      </c>
      <c r="B161" s="1">
        <v>14</v>
      </c>
      <c r="C161" s="1">
        <v>9</v>
      </c>
      <c r="D161" s="1">
        <v>3</v>
      </c>
      <c r="E161" s="1">
        <v>3</v>
      </c>
      <c r="F161" s="1">
        <v>6</v>
      </c>
      <c r="G161" s="1">
        <v>3</v>
      </c>
      <c r="H161" s="1">
        <v>4</v>
      </c>
      <c r="I161" s="1">
        <v>10</v>
      </c>
      <c r="J161" s="1">
        <v>8</v>
      </c>
      <c r="K161" s="1">
        <v>24</v>
      </c>
      <c r="L161" s="1">
        <v>10</v>
      </c>
      <c r="M161" s="1">
        <v>21</v>
      </c>
      <c r="N161" s="1">
        <v>28</v>
      </c>
      <c r="O161" s="1">
        <v>22</v>
      </c>
      <c r="P161" s="1">
        <v>18</v>
      </c>
      <c r="Q161" s="1">
        <v>16</v>
      </c>
      <c r="R161" s="1">
        <v>22</v>
      </c>
      <c r="S161" s="1">
        <v>15</v>
      </c>
      <c r="T161" s="1">
        <v>9</v>
      </c>
      <c r="U161" s="1">
        <v>17</v>
      </c>
      <c r="V161" s="1">
        <v>16</v>
      </c>
      <c r="W161" s="1">
        <v>11</v>
      </c>
      <c r="X161" s="1">
        <v>17</v>
      </c>
      <c r="Y161" s="1">
        <v>18</v>
      </c>
    </row>
    <row r="162" spans="1:25" x14ac:dyDescent="0.3">
      <c r="A162" s="2">
        <v>43960</v>
      </c>
      <c r="B162" s="1">
        <v>3</v>
      </c>
      <c r="C162" s="1">
        <v>7</v>
      </c>
      <c r="D162" s="1">
        <v>3</v>
      </c>
      <c r="E162" s="1">
        <v>9</v>
      </c>
      <c r="F162" s="1">
        <v>3</v>
      </c>
      <c r="G162" s="1">
        <v>1</v>
      </c>
      <c r="H162" s="1">
        <v>5</v>
      </c>
      <c r="I162" s="1">
        <v>10</v>
      </c>
      <c r="J162" s="1">
        <v>15</v>
      </c>
      <c r="K162" s="1">
        <v>10</v>
      </c>
      <c r="L162" s="1">
        <v>15</v>
      </c>
      <c r="M162" s="1">
        <v>10</v>
      </c>
      <c r="N162" s="1">
        <v>14</v>
      </c>
      <c r="O162" s="1">
        <v>12</v>
      </c>
      <c r="P162" s="1">
        <v>16</v>
      </c>
      <c r="Q162" s="1">
        <v>11</v>
      </c>
      <c r="R162" s="1">
        <v>10</v>
      </c>
      <c r="S162" s="1">
        <v>13</v>
      </c>
      <c r="T162" s="1">
        <v>12</v>
      </c>
      <c r="U162" s="1">
        <v>17</v>
      </c>
      <c r="V162" s="1">
        <v>6</v>
      </c>
      <c r="W162" s="1">
        <v>10</v>
      </c>
      <c r="X162" s="1">
        <v>15</v>
      </c>
      <c r="Y162" s="1">
        <v>7</v>
      </c>
    </row>
    <row r="163" spans="1:25" x14ac:dyDescent="0.3">
      <c r="A163" s="2">
        <v>43961</v>
      </c>
      <c r="B163" s="1">
        <v>9</v>
      </c>
      <c r="C163" s="1">
        <v>4</v>
      </c>
      <c r="D163" s="1">
        <v>3</v>
      </c>
      <c r="E163" s="1">
        <v>6</v>
      </c>
      <c r="F163" s="1">
        <v>4</v>
      </c>
      <c r="G163" s="1">
        <v>4</v>
      </c>
      <c r="H163" s="1">
        <v>6</v>
      </c>
      <c r="I163" s="1">
        <v>3</v>
      </c>
      <c r="J163" s="1">
        <v>6</v>
      </c>
      <c r="K163" s="1">
        <v>9</v>
      </c>
      <c r="L163" s="1">
        <v>15</v>
      </c>
      <c r="M163" s="1">
        <v>9</v>
      </c>
      <c r="N163" s="1">
        <v>17</v>
      </c>
      <c r="O163" s="1">
        <v>11</v>
      </c>
      <c r="P163" s="1">
        <v>17</v>
      </c>
      <c r="Q163" s="1">
        <v>17</v>
      </c>
      <c r="R163" s="1">
        <v>15</v>
      </c>
      <c r="S163" s="1">
        <v>10</v>
      </c>
      <c r="T163" s="1">
        <v>13</v>
      </c>
      <c r="U163" s="1">
        <v>9</v>
      </c>
      <c r="V163" s="1">
        <v>17</v>
      </c>
      <c r="W163" s="1">
        <v>9</v>
      </c>
      <c r="X163" s="1">
        <v>9</v>
      </c>
      <c r="Y163" s="1">
        <v>8</v>
      </c>
    </row>
    <row r="164" spans="1:25" x14ac:dyDescent="0.3">
      <c r="A164" s="2">
        <v>43962</v>
      </c>
      <c r="B164" s="1">
        <v>4</v>
      </c>
      <c r="C164" s="1">
        <v>1</v>
      </c>
      <c r="D164" s="1">
        <v>2</v>
      </c>
      <c r="E164" s="1">
        <v>9</v>
      </c>
      <c r="F164" s="1">
        <v>4</v>
      </c>
      <c r="G164" s="1">
        <v>14</v>
      </c>
      <c r="H164" s="1">
        <v>5</v>
      </c>
      <c r="I164" s="1">
        <v>7</v>
      </c>
      <c r="J164" s="1">
        <v>15</v>
      </c>
      <c r="K164" s="1">
        <v>18</v>
      </c>
      <c r="L164" s="1">
        <v>14</v>
      </c>
      <c r="M164" s="1">
        <v>12</v>
      </c>
      <c r="N164" s="1">
        <v>11</v>
      </c>
      <c r="O164" s="1">
        <v>16</v>
      </c>
      <c r="P164" s="1">
        <v>13</v>
      </c>
      <c r="Q164" s="1">
        <v>19</v>
      </c>
      <c r="R164" s="1">
        <v>23</v>
      </c>
      <c r="S164" s="1">
        <v>13</v>
      </c>
      <c r="T164" s="1">
        <v>12</v>
      </c>
      <c r="U164" s="1">
        <v>14</v>
      </c>
      <c r="V164" s="1">
        <v>15</v>
      </c>
      <c r="W164" s="1">
        <v>6</v>
      </c>
      <c r="X164" s="1">
        <v>2</v>
      </c>
      <c r="Y164" s="1">
        <v>8</v>
      </c>
    </row>
    <row r="165" spans="1:25" x14ac:dyDescent="0.3">
      <c r="A165" s="2">
        <v>43963</v>
      </c>
      <c r="B165" s="1">
        <v>6</v>
      </c>
      <c r="C165" s="1">
        <v>4</v>
      </c>
      <c r="D165" s="1">
        <v>4</v>
      </c>
      <c r="E165" s="1">
        <v>2</v>
      </c>
      <c r="F165" s="1">
        <v>2</v>
      </c>
      <c r="G165" s="1">
        <v>2</v>
      </c>
      <c r="H165" s="1">
        <v>6</v>
      </c>
      <c r="I165" s="1">
        <v>8</v>
      </c>
      <c r="J165" s="1">
        <v>19</v>
      </c>
      <c r="K165" s="1">
        <v>10</v>
      </c>
      <c r="L165" s="1">
        <v>9</v>
      </c>
      <c r="M165" s="1">
        <v>14</v>
      </c>
      <c r="N165" s="1">
        <v>19</v>
      </c>
      <c r="O165" s="1">
        <v>18</v>
      </c>
      <c r="P165" s="1">
        <v>14</v>
      </c>
      <c r="Q165" s="1">
        <v>16</v>
      </c>
      <c r="R165" s="1">
        <v>14</v>
      </c>
      <c r="S165" s="1">
        <v>16</v>
      </c>
      <c r="T165" s="1">
        <v>13</v>
      </c>
      <c r="U165" s="1">
        <v>12</v>
      </c>
      <c r="V165" s="1">
        <v>6</v>
      </c>
      <c r="W165" s="1">
        <v>10</v>
      </c>
      <c r="X165" s="1">
        <v>6</v>
      </c>
      <c r="Y165" s="1">
        <v>4</v>
      </c>
    </row>
    <row r="166" spans="1:25" x14ac:dyDescent="0.3">
      <c r="A166" s="2">
        <v>43964</v>
      </c>
      <c r="B166" s="1">
        <v>5</v>
      </c>
      <c r="C166" s="1">
        <v>3</v>
      </c>
      <c r="D166" s="1">
        <v>0</v>
      </c>
      <c r="E166" s="1">
        <v>4</v>
      </c>
      <c r="F166" s="1">
        <v>3</v>
      </c>
      <c r="G166" s="1">
        <v>5</v>
      </c>
      <c r="H166" s="1">
        <v>15</v>
      </c>
      <c r="I166" s="1">
        <v>7</v>
      </c>
      <c r="J166" s="1">
        <v>7</v>
      </c>
      <c r="K166" s="1">
        <v>9</v>
      </c>
      <c r="L166" s="1">
        <v>14</v>
      </c>
      <c r="M166" s="1">
        <v>16</v>
      </c>
      <c r="N166" s="1">
        <v>20</v>
      </c>
      <c r="O166" s="1">
        <v>18</v>
      </c>
      <c r="P166" s="1">
        <v>24</v>
      </c>
      <c r="Q166" s="1">
        <v>15</v>
      </c>
      <c r="R166" s="1">
        <v>16</v>
      </c>
      <c r="S166" s="1">
        <v>16</v>
      </c>
      <c r="T166" s="1">
        <v>11</v>
      </c>
      <c r="U166" s="1">
        <v>7</v>
      </c>
      <c r="V166" s="1">
        <v>13</v>
      </c>
      <c r="W166" s="1">
        <v>13</v>
      </c>
      <c r="X166" s="1">
        <v>10</v>
      </c>
      <c r="Y166" s="1">
        <v>6</v>
      </c>
    </row>
    <row r="167" spans="1:25" x14ac:dyDescent="0.3">
      <c r="A167" s="2">
        <v>43965</v>
      </c>
      <c r="B167" s="1">
        <v>10</v>
      </c>
      <c r="C167" s="1">
        <v>8</v>
      </c>
      <c r="D167" s="1">
        <v>2</v>
      </c>
      <c r="E167" s="1">
        <v>5</v>
      </c>
      <c r="F167" s="1">
        <v>2</v>
      </c>
      <c r="G167" s="1">
        <v>8</v>
      </c>
      <c r="H167" s="1">
        <v>11</v>
      </c>
      <c r="I167" s="1">
        <v>7</v>
      </c>
      <c r="J167" s="1">
        <v>5</v>
      </c>
      <c r="K167" s="1">
        <v>19</v>
      </c>
      <c r="L167" s="1">
        <v>27</v>
      </c>
      <c r="M167" s="1">
        <v>23</v>
      </c>
      <c r="N167" s="1">
        <v>13</v>
      </c>
      <c r="O167" s="1">
        <v>21</v>
      </c>
      <c r="P167" s="1">
        <v>20</v>
      </c>
      <c r="Q167" s="1">
        <v>12</v>
      </c>
      <c r="R167" s="1">
        <v>21</v>
      </c>
      <c r="S167" s="1">
        <v>15</v>
      </c>
      <c r="T167" s="1">
        <v>8</v>
      </c>
      <c r="U167" s="1">
        <v>22</v>
      </c>
      <c r="V167" s="1">
        <v>9</v>
      </c>
      <c r="W167" s="1">
        <v>9</v>
      </c>
      <c r="X167" s="1">
        <v>11</v>
      </c>
      <c r="Y167" s="1">
        <v>7</v>
      </c>
    </row>
    <row r="168" spans="1:25" x14ac:dyDescent="0.3">
      <c r="A168" s="2">
        <v>43966</v>
      </c>
      <c r="B168" s="1">
        <v>10</v>
      </c>
      <c r="C168" s="1">
        <v>4</v>
      </c>
      <c r="D168" s="1">
        <v>5</v>
      </c>
      <c r="E168" s="1">
        <v>6</v>
      </c>
      <c r="F168" s="1">
        <v>8</v>
      </c>
      <c r="G168" s="1">
        <v>9</v>
      </c>
      <c r="H168" s="1">
        <v>6</v>
      </c>
      <c r="I168" s="1">
        <v>16</v>
      </c>
      <c r="J168" s="1">
        <v>8</v>
      </c>
      <c r="K168" s="1">
        <v>28</v>
      </c>
      <c r="L168" s="1">
        <v>17</v>
      </c>
      <c r="M168" s="1">
        <v>19</v>
      </c>
      <c r="N168" s="1">
        <v>27</v>
      </c>
      <c r="O168" s="1">
        <v>16</v>
      </c>
      <c r="P168" s="1">
        <v>16</v>
      </c>
      <c r="Q168" s="1">
        <v>16</v>
      </c>
      <c r="R168" s="1">
        <v>18</v>
      </c>
      <c r="S168" s="1">
        <v>16</v>
      </c>
      <c r="T168" s="1">
        <v>28</v>
      </c>
      <c r="U168" s="1">
        <v>15</v>
      </c>
      <c r="V168" s="1">
        <v>22</v>
      </c>
      <c r="W168" s="1">
        <v>14</v>
      </c>
      <c r="X168" s="1">
        <v>10</v>
      </c>
      <c r="Y168" s="1">
        <v>8</v>
      </c>
    </row>
    <row r="169" spans="1:25" x14ac:dyDescent="0.3">
      <c r="A169" s="2">
        <v>43967</v>
      </c>
      <c r="B169" s="1">
        <v>11</v>
      </c>
      <c r="C169" s="1">
        <v>6</v>
      </c>
      <c r="D169" s="1">
        <v>4</v>
      </c>
      <c r="E169" s="1">
        <v>5</v>
      </c>
      <c r="F169" s="1">
        <v>3</v>
      </c>
      <c r="G169" s="1">
        <v>6</v>
      </c>
      <c r="H169" s="1">
        <v>5</v>
      </c>
      <c r="I169" s="1">
        <v>3</v>
      </c>
      <c r="J169" s="1">
        <v>11</v>
      </c>
      <c r="K169" s="1">
        <v>15</v>
      </c>
      <c r="L169" s="1">
        <v>18</v>
      </c>
      <c r="M169" s="1">
        <v>20</v>
      </c>
      <c r="N169" s="1">
        <v>28</v>
      </c>
      <c r="O169" s="1">
        <v>17</v>
      </c>
      <c r="P169" s="1">
        <v>23</v>
      </c>
      <c r="Q169" s="1">
        <v>13</v>
      </c>
      <c r="R169" s="1">
        <v>16</v>
      </c>
      <c r="S169" s="1">
        <v>12</v>
      </c>
      <c r="T169" s="1">
        <v>10</v>
      </c>
      <c r="U169" s="1">
        <v>20</v>
      </c>
      <c r="V169" s="1">
        <v>14</v>
      </c>
      <c r="W169" s="1">
        <v>16</v>
      </c>
      <c r="X169" s="1">
        <v>7</v>
      </c>
      <c r="Y169" s="1">
        <v>12</v>
      </c>
    </row>
    <row r="170" spans="1:25" x14ac:dyDescent="0.3">
      <c r="A170" s="2">
        <v>43968</v>
      </c>
      <c r="B170" s="1">
        <v>7</v>
      </c>
      <c r="C170" s="1">
        <v>7</v>
      </c>
      <c r="D170" s="1">
        <v>4</v>
      </c>
      <c r="E170" s="1">
        <v>12</v>
      </c>
      <c r="F170" s="1">
        <v>2</v>
      </c>
      <c r="G170" s="1">
        <v>8</v>
      </c>
      <c r="H170" s="1">
        <v>12</v>
      </c>
      <c r="I170" s="1">
        <v>8</v>
      </c>
      <c r="J170" s="1">
        <v>9</v>
      </c>
      <c r="K170" s="1">
        <v>10</v>
      </c>
      <c r="L170" s="1">
        <v>8</v>
      </c>
      <c r="M170" s="1">
        <v>15</v>
      </c>
      <c r="N170" s="1">
        <v>23</v>
      </c>
      <c r="O170" s="1">
        <v>18</v>
      </c>
      <c r="P170" s="1">
        <v>13</v>
      </c>
      <c r="Q170" s="1">
        <v>14</v>
      </c>
      <c r="R170" s="1">
        <v>27</v>
      </c>
      <c r="S170" s="1">
        <v>17</v>
      </c>
      <c r="T170" s="1">
        <v>9</v>
      </c>
      <c r="U170" s="1">
        <v>12</v>
      </c>
      <c r="V170" s="1">
        <v>15</v>
      </c>
      <c r="W170" s="1">
        <v>10</v>
      </c>
      <c r="X170" s="1">
        <v>11</v>
      </c>
      <c r="Y170" s="1">
        <v>6</v>
      </c>
    </row>
    <row r="171" spans="1:25" x14ac:dyDescent="0.3">
      <c r="A171" s="2">
        <v>43969</v>
      </c>
      <c r="B171" s="1">
        <v>10</v>
      </c>
      <c r="C171" s="1">
        <v>4</v>
      </c>
      <c r="D171" s="1">
        <v>5</v>
      </c>
      <c r="E171" s="1">
        <v>6</v>
      </c>
      <c r="F171" s="1">
        <v>8</v>
      </c>
      <c r="G171" s="1">
        <v>3</v>
      </c>
      <c r="H171" s="1">
        <v>5</v>
      </c>
      <c r="I171" s="1">
        <v>7</v>
      </c>
      <c r="J171" s="1">
        <v>17</v>
      </c>
      <c r="K171" s="1">
        <v>18</v>
      </c>
      <c r="L171" s="1">
        <v>20</v>
      </c>
      <c r="M171" s="1">
        <v>19</v>
      </c>
      <c r="N171" s="1">
        <v>21</v>
      </c>
      <c r="O171" s="1">
        <v>24</v>
      </c>
      <c r="P171" s="1">
        <v>20</v>
      </c>
      <c r="Q171" s="1">
        <v>22</v>
      </c>
      <c r="R171" s="1">
        <v>23</v>
      </c>
      <c r="S171" s="1">
        <v>13</v>
      </c>
      <c r="T171" s="1">
        <v>17</v>
      </c>
      <c r="U171" s="1">
        <v>21</v>
      </c>
      <c r="V171" s="1">
        <v>11</v>
      </c>
      <c r="W171" s="1">
        <v>7</v>
      </c>
      <c r="X171" s="1">
        <v>7</v>
      </c>
      <c r="Y171" s="1">
        <v>8</v>
      </c>
    </row>
    <row r="172" spans="1:25" x14ac:dyDescent="0.3">
      <c r="A172" s="2">
        <v>43970</v>
      </c>
      <c r="B172" s="1">
        <v>7</v>
      </c>
      <c r="C172" s="1">
        <v>8</v>
      </c>
      <c r="D172" s="1">
        <v>4</v>
      </c>
      <c r="E172" s="1">
        <v>3</v>
      </c>
      <c r="F172" s="1">
        <v>9</v>
      </c>
      <c r="G172" s="1">
        <v>4</v>
      </c>
      <c r="H172" s="1">
        <v>7</v>
      </c>
      <c r="I172" s="1">
        <v>10</v>
      </c>
      <c r="J172" s="1">
        <v>15</v>
      </c>
      <c r="K172" s="1">
        <v>8</v>
      </c>
      <c r="L172" s="1">
        <v>20</v>
      </c>
      <c r="M172" s="1">
        <v>10</v>
      </c>
      <c r="N172" s="1">
        <v>22</v>
      </c>
      <c r="O172" s="1">
        <v>43</v>
      </c>
      <c r="P172" s="1">
        <v>31</v>
      </c>
      <c r="Q172" s="1">
        <v>19</v>
      </c>
      <c r="R172" s="1">
        <v>33</v>
      </c>
      <c r="S172" s="1">
        <v>20</v>
      </c>
      <c r="T172" s="1">
        <v>12</v>
      </c>
      <c r="U172" s="1">
        <v>11</v>
      </c>
      <c r="V172" s="1">
        <v>12</v>
      </c>
      <c r="W172" s="1">
        <v>5</v>
      </c>
      <c r="X172" s="1">
        <v>2</v>
      </c>
      <c r="Y172" s="1">
        <v>13</v>
      </c>
    </row>
    <row r="173" spans="1:25" x14ac:dyDescent="0.3">
      <c r="A173" s="2">
        <v>43971</v>
      </c>
      <c r="B173" s="1">
        <v>7</v>
      </c>
      <c r="C173" s="1">
        <v>6</v>
      </c>
      <c r="D173" s="1">
        <v>1</v>
      </c>
      <c r="E173" s="1">
        <v>2</v>
      </c>
      <c r="F173" s="1">
        <v>4</v>
      </c>
      <c r="G173" s="1">
        <v>8</v>
      </c>
      <c r="H173" s="1">
        <v>4</v>
      </c>
      <c r="I173" s="1">
        <v>11</v>
      </c>
      <c r="J173" s="1">
        <v>12</v>
      </c>
      <c r="K173" s="1">
        <v>14</v>
      </c>
      <c r="L173" s="1">
        <v>20</v>
      </c>
      <c r="M173" s="1">
        <v>14</v>
      </c>
      <c r="N173" s="1">
        <v>19</v>
      </c>
      <c r="O173" s="1">
        <v>18</v>
      </c>
      <c r="P173" s="1">
        <v>8</v>
      </c>
      <c r="Q173" s="1">
        <v>20</v>
      </c>
      <c r="R173" s="1">
        <v>19</v>
      </c>
      <c r="S173" s="1">
        <v>18</v>
      </c>
      <c r="T173" s="1">
        <v>12</v>
      </c>
      <c r="U173" s="1">
        <v>12</v>
      </c>
      <c r="V173" s="1">
        <v>18</v>
      </c>
      <c r="W173" s="1">
        <v>14</v>
      </c>
      <c r="X173" s="1">
        <v>7</v>
      </c>
      <c r="Y173" s="1">
        <v>7</v>
      </c>
    </row>
    <row r="174" spans="1:25" x14ac:dyDescent="0.3">
      <c r="A174" s="2">
        <v>43972</v>
      </c>
      <c r="B174" s="1">
        <v>5</v>
      </c>
      <c r="C174" s="1">
        <v>10</v>
      </c>
      <c r="D174" s="1">
        <v>4</v>
      </c>
      <c r="E174" s="1">
        <v>5</v>
      </c>
      <c r="F174" s="1">
        <v>9</v>
      </c>
      <c r="G174" s="1">
        <v>3</v>
      </c>
      <c r="H174" s="1">
        <v>9</v>
      </c>
      <c r="I174" s="1">
        <v>5</v>
      </c>
      <c r="J174" s="1">
        <v>18</v>
      </c>
      <c r="K174" s="1">
        <v>17</v>
      </c>
      <c r="L174" s="1">
        <v>16</v>
      </c>
      <c r="M174" s="1">
        <v>17</v>
      </c>
      <c r="N174" s="1">
        <v>27</v>
      </c>
      <c r="O174" s="1">
        <v>23</v>
      </c>
      <c r="P174" s="1">
        <v>24</v>
      </c>
      <c r="Q174" s="1">
        <v>15</v>
      </c>
      <c r="R174" s="1">
        <v>26</v>
      </c>
      <c r="S174" s="1">
        <v>20</v>
      </c>
      <c r="T174" s="1">
        <v>18</v>
      </c>
      <c r="U174" s="1">
        <v>10</v>
      </c>
      <c r="V174" s="1">
        <v>14</v>
      </c>
      <c r="W174" s="1">
        <v>14</v>
      </c>
      <c r="X174" s="1">
        <v>8</v>
      </c>
      <c r="Y174" s="1">
        <v>5</v>
      </c>
    </row>
    <row r="175" spans="1:25" x14ac:dyDescent="0.3">
      <c r="A175" s="2">
        <v>43973</v>
      </c>
      <c r="B175" s="1">
        <v>8</v>
      </c>
      <c r="C175" s="1">
        <v>10</v>
      </c>
      <c r="D175" s="1">
        <v>9</v>
      </c>
      <c r="E175" s="1">
        <v>1</v>
      </c>
      <c r="F175" s="1">
        <v>7</v>
      </c>
      <c r="G175" s="1">
        <v>5</v>
      </c>
      <c r="H175" s="1">
        <v>5</v>
      </c>
      <c r="I175" s="1">
        <v>16</v>
      </c>
      <c r="J175" s="1">
        <v>15</v>
      </c>
      <c r="K175" s="1">
        <v>20</v>
      </c>
      <c r="L175" s="1">
        <v>19</v>
      </c>
      <c r="M175" s="1">
        <v>27</v>
      </c>
      <c r="N175" s="1">
        <v>21</v>
      </c>
      <c r="O175" s="1">
        <v>18</v>
      </c>
      <c r="P175" s="1">
        <v>29</v>
      </c>
      <c r="Q175" s="1">
        <v>23</v>
      </c>
      <c r="R175" s="1">
        <v>19</v>
      </c>
      <c r="S175" s="1">
        <v>23</v>
      </c>
      <c r="T175" s="1">
        <v>18</v>
      </c>
      <c r="U175" s="1">
        <v>21</v>
      </c>
      <c r="V175" s="1">
        <v>14</v>
      </c>
      <c r="W175" s="1">
        <v>13</v>
      </c>
      <c r="X175" s="1">
        <v>6</v>
      </c>
      <c r="Y175" s="1">
        <v>10</v>
      </c>
    </row>
    <row r="176" spans="1:25" x14ac:dyDescent="0.3">
      <c r="A176" s="2">
        <v>43974</v>
      </c>
      <c r="B176" s="1">
        <v>14</v>
      </c>
      <c r="C176" s="1">
        <v>6</v>
      </c>
      <c r="D176" s="1">
        <v>13</v>
      </c>
      <c r="E176" s="1">
        <v>5</v>
      </c>
      <c r="F176" s="1">
        <v>3</v>
      </c>
      <c r="G176" s="1">
        <v>1</v>
      </c>
      <c r="H176" s="1">
        <v>9</v>
      </c>
      <c r="I176" s="1">
        <v>6</v>
      </c>
      <c r="J176" s="1">
        <v>13</v>
      </c>
      <c r="K176" s="1">
        <v>16</v>
      </c>
      <c r="L176" s="1">
        <v>17</v>
      </c>
      <c r="M176" s="1">
        <v>29</v>
      </c>
      <c r="N176" s="1">
        <v>12</v>
      </c>
      <c r="O176" s="1">
        <v>17</v>
      </c>
      <c r="P176" s="1">
        <v>38</v>
      </c>
      <c r="Q176" s="1">
        <v>21</v>
      </c>
      <c r="R176" s="1">
        <v>12</v>
      </c>
      <c r="S176" s="1">
        <v>21</v>
      </c>
      <c r="T176" s="1">
        <v>8</v>
      </c>
      <c r="U176" s="1">
        <v>9</v>
      </c>
      <c r="V176" s="1">
        <v>15</v>
      </c>
      <c r="W176" s="1">
        <v>6</v>
      </c>
      <c r="X176" s="1">
        <v>5</v>
      </c>
      <c r="Y176" s="1">
        <v>7</v>
      </c>
    </row>
    <row r="177" spans="1:25" x14ac:dyDescent="0.3">
      <c r="A177" s="2">
        <v>43975</v>
      </c>
      <c r="B177" s="1">
        <v>7</v>
      </c>
      <c r="C177" s="1">
        <v>7</v>
      </c>
      <c r="D177" s="1">
        <v>7</v>
      </c>
      <c r="E177" s="1">
        <v>7</v>
      </c>
      <c r="F177" s="1">
        <v>2</v>
      </c>
      <c r="G177" s="1">
        <v>4</v>
      </c>
      <c r="H177" s="1">
        <v>2</v>
      </c>
      <c r="I177" s="1">
        <v>7</v>
      </c>
      <c r="J177" s="1">
        <v>5</v>
      </c>
      <c r="K177" s="1">
        <v>5</v>
      </c>
      <c r="L177" s="1">
        <v>10</v>
      </c>
      <c r="M177" s="1">
        <v>16</v>
      </c>
      <c r="N177" s="1">
        <v>6</v>
      </c>
      <c r="O177" s="1">
        <v>8</v>
      </c>
      <c r="P177" s="1">
        <v>17</v>
      </c>
      <c r="Q177" s="1">
        <v>14</v>
      </c>
      <c r="R177" s="1">
        <v>16</v>
      </c>
      <c r="S177" s="1">
        <v>19</v>
      </c>
      <c r="T177" s="1">
        <v>14</v>
      </c>
      <c r="U177" s="1">
        <v>9</v>
      </c>
      <c r="V177" s="1">
        <v>11</v>
      </c>
      <c r="W177" s="1">
        <v>11</v>
      </c>
      <c r="X177" s="1">
        <v>11</v>
      </c>
      <c r="Y177" s="1">
        <v>17</v>
      </c>
    </row>
    <row r="178" spans="1:25" x14ac:dyDescent="0.3">
      <c r="A178" s="2">
        <v>43976</v>
      </c>
      <c r="B178" s="1">
        <v>6</v>
      </c>
      <c r="C178" s="1">
        <v>11</v>
      </c>
      <c r="D178" s="1">
        <v>5</v>
      </c>
      <c r="E178" s="1">
        <v>1</v>
      </c>
      <c r="F178" s="1">
        <v>4</v>
      </c>
      <c r="G178" s="1">
        <v>6</v>
      </c>
      <c r="H178" s="1">
        <v>5</v>
      </c>
      <c r="I178" s="1">
        <v>9</v>
      </c>
      <c r="J178" s="1">
        <v>7</v>
      </c>
      <c r="K178" s="1">
        <v>10</v>
      </c>
      <c r="L178" s="1">
        <v>9</v>
      </c>
      <c r="M178" s="1">
        <v>9</v>
      </c>
      <c r="N178" s="1">
        <v>13</v>
      </c>
      <c r="O178" s="1">
        <v>16</v>
      </c>
      <c r="P178" s="1">
        <v>18</v>
      </c>
      <c r="Q178" s="1">
        <v>23</v>
      </c>
      <c r="R178" s="1">
        <v>15</v>
      </c>
      <c r="S178" s="1">
        <v>20</v>
      </c>
      <c r="T178" s="1">
        <v>14</v>
      </c>
      <c r="U178" s="1">
        <v>8</v>
      </c>
      <c r="V178" s="1">
        <v>19</v>
      </c>
      <c r="W178" s="1">
        <v>19</v>
      </c>
      <c r="X178" s="1">
        <v>14</v>
      </c>
      <c r="Y178" s="1">
        <v>13</v>
      </c>
    </row>
    <row r="179" spans="1:25" x14ac:dyDescent="0.3">
      <c r="A179" s="2">
        <v>43977</v>
      </c>
      <c r="B179" s="1">
        <v>9</v>
      </c>
      <c r="C179" s="1">
        <v>7</v>
      </c>
      <c r="D179" s="1">
        <v>3</v>
      </c>
      <c r="E179" s="1">
        <v>3</v>
      </c>
      <c r="F179" s="1">
        <v>4</v>
      </c>
      <c r="G179" s="1">
        <v>6</v>
      </c>
      <c r="H179" s="1">
        <v>6</v>
      </c>
      <c r="I179" s="1">
        <v>7</v>
      </c>
      <c r="J179" s="1">
        <v>7</v>
      </c>
      <c r="K179" s="1">
        <v>18</v>
      </c>
      <c r="L179" s="1">
        <v>24</v>
      </c>
      <c r="M179" s="1">
        <v>22</v>
      </c>
      <c r="N179" s="1">
        <v>15</v>
      </c>
      <c r="O179" s="1">
        <v>30</v>
      </c>
      <c r="P179" s="1">
        <v>28</v>
      </c>
      <c r="Q179" s="1">
        <v>26</v>
      </c>
      <c r="R179" s="1">
        <v>27</v>
      </c>
      <c r="S179" s="1">
        <v>19</v>
      </c>
      <c r="T179" s="1">
        <v>34</v>
      </c>
      <c r="U179" s="1">
        <v>17</v>
      </c>
      <c r="V179" s="1">
        <v>23</v>
      </c>
      <c r="W179" s="1">
        <v>18</v>
      </c>
      <c r="X179" s="1">
        <v>10</v>
      </c>
      <c r="Y179" s="1">
        <v>9</v>
      </c>
    </row>
    <row r="180" spans="1:25" x14ac:dyDescent="0.3">
      <c r="A180" s="2">
        <v>43978</v>
      </c>
      <c r="B180" s="1">
        <v>4</v>
      </c>
      <c r="C180" s="1">
        <v>4</v>
      </c>
      <c r="D180" s="1">
        <v>10</v>
      </c>
      <c r="E180" s="1">
        <v>2</v>
      </c>
      <c r="F180" s="1">
        <v>10</v>
      </c>
      <c r="G180" s="1">
        <v>3</v>
      </c>
      <c r="H180" s="1">
        <v>3</v>
      </c>
      <c r="I180" s="1">
        <v>8</v>
      </c>
      <c r="J180" s="1">
        <v>16</v>
      </c>
      <c r="K180" s="1">
        <v>15</v>
      </c>
      <c r="L180" s="1">
        <v>14</v>
      </c>
      <c r="M180" s="1">
        <v>22</v>
      </c>
      <c r="N180" s="1">
        <v>19</v>
      </c>
      <c r="O180" s="1">
        <v>19</v>
      </c>
      <c r="P180" s="1">
        <v>17</v>
      </c>
      <c r="Q180" s="1">
        <v>19</v>
      </c>
      <c r="R180" s="1">
        <v>15</v>
      </c>
      <c r="S180" s="1">
        <v>17</v>
      </c>
      <c r="T180" s="1">
        <v>18</v>
      </c>
      <c r="U180" s="1">
        <v>13</v>
      </c>
      <c r="V180" s="1">
        <v>12</v>
      </c>
      <c r="W180" s="1">
        <v>15</v>
      </c>
      <c r="X180" s="1">
        <v>10</v>
      </c>
      <c r="Y180" s="1">
        <v>4</v>
      </c>
    </row>
    <row r="181" spans="1:25" x14ac:dyDescent="0.3">
      <c r="A181" s="2">
        <v>43979</v>
      </c>
      <c r="B181" s="1">
        <v>5</v>
      </c>
      <c r="C181" s="1">
        <v>6</v>
      </c>
      <c r="D181" s="1">
        <v>3</v>
      </c>
      <c r="E181" s="1">
        <v>4</v>
      </c>
      <c r="F181" s="1">
        <v>10</v>
      </c>
      <c r="G181" s="1">
        <v>5</v>
      </c>
      <c r="H181" s="1">
        <v>6</v>
      </c>
      <c r="I181" s="1">
        <v>11</v>
      </c>
      <c r="J181" s="1">
        <v>14</v>
      </c>
      <c r="K181" s="1">
        <v>15</v>
      </c>
      <c r="L181" s="1">
        <v>28</v>
      </c>
      <c r="M181" s="1">
        <v>23</v>
      </c>
      <c r="N181" s="1">
        <v>21</v>
      </c>
      <c r="O181" s="1">
        <v>18</v>
      </c>
      <c r="P181" s="1">
        <v>11</v>
      </c>
      <c r="Q181" s="1">
        <v>20</v>
      </c>
      <c r="R181" s="1">
        <v>18</v>
      </c>
      <c r="S181" s="1">
        <v>19</v>
      </c>
      <c r="T181" s="1">
        <v>15</v>
      </c>
      <c r="U181" s="1">
        <v>9</v>
      </c>
      <c r="V181" s="1">
        <v>8</v>
      </c>
      <c r="W181" s="1">
        <v>10</v>
      </c>
      <c r="X181" s="1">
        <v>6</v>
      </c>
      <c r="Y181" s="1">
        <v>6</v>
      </c>
    </row>
    <row r="182" spans="1:25" x14ac:dyDescent="0.3">
      <c r="A182" s="2">
        <v>43980</v>
      </c>
      <c r="B182" s="1">
        <v>2</v>
      </c>
      <c r="C182" s="1">
        <v>7</v>
      </c>
      <c r="D182" s="1">
        <v>8</v>
      </c>
      <c r="E182" s="1">
        <v>4</v>
      </c>
      <c r="F182" s="1">
        <v>2</v>
      </c>
      <c r="G182" s="1">
        <v>6</v>
      </c>
      <c r="H182" s="1">
        <v>9</v>
      </c>
      <c r="I182" s="1">
        <v>7</v>
      </c>
      <c r="J182" s="1">
        <v>14</v>
      </c>
      <c r="K182" s="1">
        <v>17</v>
      </c>
      <c r="L182" s="1">
        <v>17</v>
      </c>
      <c r="M182" s="1">
        <v>18</v>
      </c>
      <c r="N182" s="1">
        <v>19</v>
      </c>
      <c r="O182" s="1">
        <v>27</v>
      </c>
      <c r="P182" s="1">
        <v>18</v>
      </c>
      <c r="Q182" s="1">
        <v>26</v>
      </c>
      <c r="R182" s="1">
        <v>15</v>
      </c>
      <c r="S182" s="1">
        <v>18</v>
      </c>
      <c r="T182" s="1">
        <v>24</v>
      </c>
      <c r="U182" s="1">
        <v>21</v>
      </c>
      <c r="V182" s="1">
        <v>25</v>
      </c>
      <c r="W182" s="1">
        <v>15</v>
      </c>
      <c r="X182" s="1">
        <v>12</v>
      </c>
      <c r="Y182" s="1">
        <v>7</v>
      </c>
    </row>
    <row r="183" spans="1:25" x14ac:dyDescent="0.3">
      <c r="A183" s="2">
        <v>43981</v>
      </c>
      <c r="B183" s="1">
        <v>8</v>
      </c>
      <c r="C183" s="1">
        <v>6</v>
      </c>
      <c r="D183" s="1">
        <v>5</v>
      </c>
      <c r="E183" s="1">
        <v>4</v>
      </c>
      <c r="F183" s="1">
        <v>5</v>
      </c>
      <c r="G183" s="1">
        <v>4</v>
      </c>
      <c r="H183" s="1">
        <v>9</v>
      </c>
      <c r="I183" s="1">
        <v>5</v>
      </c>
      <c r="J183" s="1">
        <v>11</v>
      </c>
      <c r="K183" s="1">
        <v>15</v>
      </c>
      <c r="L183" s="1">
        <v>18</v>
      </c>
      <c r="M183" s="1">
        <v>27</v>
      </c>
      <c r="N183" s="1">
        <v>20</v>
      </c>
      <c r="O183" s="1">
        <v>16</v>
      </c>
      <c r="P183" s="1">
        <v>15</v>
      </c>
      <c r="Q183" s="1">
        <v>27</v>
      </c>
      <c r="R183" s="1">
        <v>27</v>
      </c>
      <c r="S183" s="1">
        <v>22</v>
      </c>
      <c r="T183" s="1">
        <v>15</v>
      </c>
      <c r="U183" s="1">
        <v>16</v>
      </c>
      <c r="V183" s="1">
        <v>15</v>
      </c>
      <c r="W183" s="1">
        <v>11</v>
      </c>
      <c r="X183" s="1">
        <v>10</v>
      </c>
      <c r="Y183" s="1">
        <v>12</v>
      </c>
    </row>
    <row r="184" spans="1:25" x14ac:dyDescent="0.3">
      <c r="A184" s="2">
        <v>43982</v>
      </c>
      <c r="B184" s="1">
        <v>6</v>
      </c>
      <c r="C184" s="1">
        <v>7</v>
      </c>
      <c r="D184" s="1">
        <v>4</v>
      </c>
      <c r="E184" s="1">
        <v>7</v>
      </c>
      <c r="F184" s="1">
        <v>7</v>
      </c>
      <c r="G184" s="1">
        <v>7</v>
      </c>
      <c r="H184" s="1">
        <v>4</v>
      </c>
      <c r="I184" s="1">
        <v>7</v>
      </c>
      <c r="J184" s="1">
        <v>9</v>
      </c>
      <c r="K184" s="1">
        <v>15</v>
      </c>
      <c r="L184" s="1">
        <v>10</v>
      </c>
      <c r="M184" s="1">
        <v>19</v>
      </c>
      <c r="N184" s="1">
        <v>21</v>
      </c>
      <c r="O184" s="1">
        <v>18</v>
      </c>
      <c r="P184" s="1">
        <v>21</v>
      </c>
      <c r="Q184" s="1">
        <v>10</v>
      </c>
      <c r="R184" s="1">
        <v>18</v>
      </c>
      <c r="S184" s="1">
        <v>14</v>
      </c>
      <c r="T184" s="1">
        <v>10</v>
      </c>
      <c r="U184" s="1">
        <v>11</v>
      </c>
      <c r="V184" s="1">
        <v>9</v>
      </c>
      <c r="W184" s="1">
        <v>16</v>
      </c>
      <c r="X184" s="1">
        <v>10</v>
      </c>
      <c r="Y184" s="1">
        <v>11</v>
      </c>
    </row>
    <row r="185" spans="1:25" x14ac:dyDescent="0.3">
      <c r="A185" s="2">
        <v>43983</v>
      </c>
      <c r="B185" s="1">
        <v>12</v>
      </c>
      <c r="C185" s="1">
        <v>6</v>
      </c>
      <c r="D185" s="1">
        <v>3</v>
      </c>
      <c r="E185" s="1">
        <v>5</v>
      </c>
      <c r="F185" s="1">
        <v>4</v>
      </c>
      <c r="G185" s="1">
        <v>9</v>
      </c>
      <c r="H185" s="1">
        <v>5</v>
      </c>
      <c r="I185" s="1">
        <v>11</v>
      </c>
      <c r="J185" s="1">
        <v>10</v>
      </c>
      <c r="K185" s="1">
        <v>16</v>
      </c>
      <c r="L185" s="1">
        <v>15</v>
      </c>
      <c r="M185" s="1">
        <v>18</v>
      </c>
      <c r="N185" s="1">
        <v>23</v>
      </c>
      <c r="O185" s="1">
        <v>13</v>
      </c>
      <c r="P185" s="1">
        <v>24</v>
      </c>
      <c r="Q185" s="1">
        <v>35</v>
      </c>
      <c r="R185" s="1">
        <v>12</v>
      </c>
      <c r="S185" s="1">
        <v>20</v>
      </c>
      <c r="T185" s="1">
        <v>16</v>
      </c>
      <c r="U185" s="1">
        <v>14</v>
      </c>
      <c r="V185" s="1">
        <v>11</v>
      </c>
      <c r="W185" s="1">
        <v>11</v>
      </c>
      <c r="X185" s="1">
        <v>9</v>
      </c>
      <c r="Y185" s="1">
        <v>6</v>
      </c>
    </row>
    <row r="186" spans="1:25" x14ac:dyDescent="0.3">
      <c r="A186" s="2">
        <v>43984</v>
      </c>
      <c r="B186" s="1">
        <v>6</v>
      </c>
      <c r="C186" s="1">
        <v>5</v>
      </c>
      <c r="D186" s="1">
        <v>4</v>
      </c>
      <c r="E186" s="1">
        <v>6</v>
      </c>
      <c r="F186" s="1">
        <v>1</v>
      </c>
      <c r="G186" s="1">
        <v>4</v>
      </c>
      <c r="H186" s="1">
        <v>8</v>
      </c>
      <c r="I186" s="1">
        <v>18</v>
      </c>
      <c r="J186" s="1">
        <v>15</v>
      </c>
      <c r="K186" s="1">
        <v>9</v>
      </c>
      <c r="L186" s="1">
        <v>9</v>
      </c>
      <c r="M186" s="1">
        <v>15</v>
      </c>
      <c r="N186" s="1">
        <v>25</v>
      </c>
      <c r="O186" s="1">
        <v>16</v>
      </c>
      <c r="P186" s="1">
        <v>16</v>
      </c>
      <c r="Q186" s="1">
        <v>18</v>
      </c>
      <c r="R186" s="1">
        <v>16</v>
      </c>
      <c r="S186" s="1">
        <v>16</v>
      </c>
      <c r="T186" s="1">
        <v>14</v>
      </c>
      <c r="U186" s="1">
        <v>16</v>
      </c>
      <c r="V186" s="1">
        <v>9</v>
      </c>
      <c r="W186" s="1">
        <v>11</v>
      </c>
      <c r="X186" s="1">
        <v>7</v>
      </c>
      <c r="Y186" s="1">
        <v>10</v>
      </c>
    </row>
    <row r="187" spans="1:25" x14ac:dyDescent="0.3">
      <c r="A187" s="2">
        <v>43985</v>
      </c>
      <c r="B187" s="1">
        <v>11</v>
      </c>
      <c r="C187" s="1">
        <v>1</v>
      </c>
      <c r="D187" s="1">
        <v>3</v>
      </c>
      <c r="E187" s="1">
        <v>7</v>
      </c>
      <c r="F187" s="1">
        <v>3</v>
      </c>
      <c r="G187" s="1">
        <v>3</v>
      </c>
      <c r="H187" s="1">
        <v>4</v>
      </c>
      <c r="I187" s="1">
        <v>10</v>
      </c>
      <c r="J187" s="1">
        <v>24</v>
      </c>
      <c r="K187" s="1">
        <v>19</v>
      </c>
      <c r="L187" s="1">
        <v>13</v>
      </c>
      <c r="M187" s="1">
        <v>32</v>
      </c>
      <c r="N187" s="1">
        <v>267</v>
      </c>
      <c r="O187" s="1">
        <v>296</v>
      </c>
      <c r="P187" s="1">
        <v>164</v>
      </c>
      <c r="Q187" s="1">
        <v>118</v>
      </c>
      <c r="R187" s="1">
        <v>77</v>
      </c>
      <c r="S187" s="1">
        <v>84</v>
      </c>
      <c r="T187" s="1">
        <v>54</v>
      </c>
      <c r="U187" s="1">
        <v>61</v>
      </c>
      <c r="V187" s="1">
        <v>51</v>
      </c>
      <c r="W187" s="1">
        <v>39</v>
      </c>
      <c r="X187" s="1">
        <v>34</v>
      </c>
      <c r="Y187" s="1">
        <v>26</v>
      </c>
    </row>
    <row r="188" spans="1:25" x14ac:dyDescent="0.3">
      <c r="A188" s="2">
        <v>43986</v>
      </c>
      <c r="B188" s="1">
        <v>19</v>
      </c>
      <c r="C188" s="1">
        <v>13</v>
      </c>
      <c r="D188" s="1">
        <v>16</v>
      </c>
      <c r="E188" s="1">
        <v>9</v>
      </c>
      <c r="F188" s="1">
        <v>16</v>
      </c>
      <c r="G188" s="1">
        <v>17</v>
      </c>
      <c r="H188" s="1">
        <v>19</v>
      </c>
      <c r="I188" s="1">
        <v>20</v>
      </c>
      <c r="J188" s="1">
        <v>19</v>
      </c>
      <c r="K188" s="1">
        <v>34</v>
      </c>
      <c r="L188" s="1">
        <v>34</v>
      </c>
      <c r="M188" s="1">
        <v>24</v>
      </c>
      <c r="N188" s="1">
        <v>25</v>
      </c>
      <c r="O188" s="1">
        <v>41</v>
      </c>
      <c r="P188" s="1">
        <v>42</v>
      </c>
      <c r="Q188" s="1">
        <v>48</v>
      </c>
      <c r="R188" s="1">
        <v>32</v>
      </c>
      <c r="S188" s="1">
        <v>32</v>
      </c>
      <c r="T188" s="1">
        <v>28</v>
      </c>
      <c r="U188" s="1">
        <v>27</v>
      </c>
      <c r="V188" s="1">
        <v>12</v>
      </c>
      <c r="W188" s="1">
        <v>24</v>
      </c>
      <c r="X188" s="1">
        <v>32</v>
      </c>
      <c r="Y188" s="1">
        <v>30</v>
      </c>
    </row>
    <row r="189" spans="1:25" x14ac:dyDescent="0.3">
      <c r="A189" s="2">
        <v>43987</v>
      </c>
      <c r="B189" s="1">
        <v>10</v>
      </c>
      <c r="C189" s="1">
        <v>12</v>
      </c>
      <c r="D189" s="1">
        <v>9</v>
      </c>
      <c r="E189" s="1">
        <v>5</v>
      </c>
      <c r="F189" s="1">
        <v>12</v>
      </c>
      <c r="G189" s="1">
        <v>8</v>
      </c>
      <c r="H189" s="1">
        <v>16</v>
      </c>
      <c r="I189" s="1">
        <v>14</v>
      </c>
      <c r="J189" s="1">
        <v>26</v>
      </c>
      <c r="K189" s="1">
        <v>22</v>
      </c>
      <c r="L189" s="1">
        <v>24</v>
      </c>
      <c r="M189" s="1">
        <v>20</v>
      </c>
      <c r="N189" s="1">
        <v>38</v>
      </c>
      <c r="O189" s="1">
        <v>30</v>
      </c>
      <c r="P189" s="1">
        <v>24</v>
      </c>
      <c r="Q189" s="1">
        <v>41</v>
      </c>
      <c r="R189" s="1">
        <v>36</v>
      </c>
      <c r="S189" s="1">
        <v>29</v>
      </c>
      <c r="T189" s="1">
        <v>20</v>
      </c>
      <c r="U189" s="1">
        <v>22</v>
      </c>
      <c r="V189" s="1">
        <v>19</v>
      </c>
      <c r="W189" s="1">
        <v>27</v>
      </c>
      <c r="X189" s="1">
        <v>16</v>
      </c>
      <c r="Y189" s="1">
        <v>12</v>
      </c>
    </row>
    <row r="190" spans="1:25" x14ac:dyDescent="0.3">
      <c r="A190" s="2">
        <v>43988</v>
      </c>
      <c r="B190" s="1">
        <v>12</v>
      </c>
      <c r="C190" s="1">
        <v>13</v>
      </c>
      <c r="D190" s="1">
        <v>7</v>
      </c>
      <c r="E190" s="1">
        <v>5</v>
      </c>
      <c r="F190" s="1">
        <v>10</v>
      </c>
      <c r="G190" s="1">
        <v>8</v>
      </c>
      <c r="H190" s="1">
        <v>11</v>
      </c>
      <c r="I190" s="1">
        <v>11</v>
      </c>
      <c r="J190" s="1">
        <v>8</v>
      </c>
      <c r="K190" s="1">
        <v>16</v>
      </c>
      <c r="L190" s="1">
        <v>21</v>
      </c>
      <c r="M190" s="1">
        <v>15</v>
      </c>
      <c r="N190" s="1">
        <v>19</v>
      </c>
      <c r="O190" s="1">
        <v>29</v>
      </c>
      <c r="P190" s="1">
        <v>25</v>
      </c>
      <c r="Q190" s="1">
        <v>22</v>
      </c>
      <c r="R190" s="1">
        <v>14</v>
      </c>
      <c r="S190" s="1">
        <v>22</v>
      </c>
      <c r="T190" s="1">
        <v>19</v>
      </c>
      <c r="U190" s="1">
        <v>18</v>
      </c>
      <c r="V190" s="1">
        <v>19</v>
      </c>
      <c r="W190" s="1">
        <v>18</v>
      </c>
      <c r="X190" s="1">
        <v>14</v>
      </c>
      <c r="Y190" s="1">
        <v>16</v>
      </c>
    </row>
    <row r="191" spans="1:25" x14ac:dyDescent="0.3">
      <c r="A191" s="2">
        <v>43989</v>
      </c>
      <c r="B191" s="1">
        <v>14</v>
      </c>
      <c r="C191" s="1">
        <v>7</v>
      </c>
      <c r="D191" s="1">
        <v>9</v>
      </c>
      <c r="E191" s="1">
        <v>6</v>
      </c>
      <c r="F191" s="1">
        <v>7</v>
      </c>
      <c r="G191" s="1">
        <v>18</v>
      </c>
      <c r="H191" s="1">
        <v>5</v>
      </c>
      <c r="I191" s="1">
        <v>7</v>
      </c>
      <c r="J191" s="1">
        <v>11</v>
      </c>
      <c r="K191" s="1">
        <v>12</v>
      </c>
      <c r="L191" s="1">
        <v>16</v>
      </c>
      <c r="M191" s="1">
        <v>20</v>
      </c>
      <c r="N191" s="1">
        <v>20</v>
      </c>
      <c r="O191" s="1">
        <v>24</v>
      </c>
      <c r="P191" s="1">
        <v>27</v>
      </c>
      <c r="Q191" s="1">
        <v>9</v>
      </c>
      <c r="R191" s="1">
        <v>23</v>
      </c>
      <c r="S191" s="1">
        <v>13</v>
      </c>
      <c r="T191" s="1">
        <v>13</v>
      </c>
      <c r="U191" s="1">
        <v>15</v>
      </c>
      <c r="V191" s="1">
        <v>14</v>
      </c>
      <c r="W191" s="1">
        <v>22</v>
      </c>
      <c r="X191" s="1">
        <v>16</v>
      </c>
      <c r="Y191" s="1">
        <v>13</v>
      </c>
    </row>
    <row r="192" spans="1:25" x14ac:dyDescent="0.3">
      <c r="A192" s="2">
        <v>43990</v>
      </c>
      <c r="B192" s="1">
        <v>13</v>
      </c>
      <c r="C192" s="1">
        <v>7</v>
      </c>
      <c r="D192" s="1">
        <v>5</v>
      </c>
      <c r="E192" s="1">
        <v>9</v>
      </c>
      <c r="F192" s="1">
        <v>6</v>
      </c>
      <c r="G192" s="1">
        <v>4</v>
      </c>
      <c r="H192" s="1">
        <v>15</v>
      </c>
      <c r="I192" s="1">
        <v>12</v>
      </c>
      <c r="J192" s="1">
        <v>16</v>
      </c>
      <c r="K192" s="1">
        <v>19</v>
      </c>
      <c r="L192" s="1">
        <v>21</v>
      </c>
      <c r="M192" s="1">
        <v>27</v>
      </c>
      <c r="N192" s="1">
        <v>30</v>
      </c>
      <c r="O192" s="1">
        <v>32</v>
      </c>
      <c r="P192" s="1">
        <v>25</v>
      </c>
      <c r="Q192" s="1">
        <v>32</v>
      </c>
      <c r="R192" s="1">
        <v>25</v>
      </c>
      <c r="S192" s="1">
        <v>16</v>
      </c>
      <c r="T192" s="1">
        <v>21</v>
      </c>
      <c r="U192" s="1">
        <v>25</v>
      </c>
      <c r="V192" s="1">
        <v>16</v>
      </c>
      <c r="W192" s="1">
        <v>7</v>
      </c>
      <c r="X192" s="1">
        <v>13</v>
      </c>
      <c r="Y192" s="1">
        <v>9</v>
      </c>
    </row>
    <row r="193" spans="1:25" x14ac:dyDescent="0.3">
      <c r="A193" s="2">
        <v>43991</v>
      </c>
      <c r="B193" s="1">
        <v>11</v>
      </c>
      <c r="C193" s="1">
        <v>4</v>
      </c>
      <c r="D193" s="1">
        <v>4</v>
      </c>
      <c r="E193" s="1">
        <v>5</v>
      </c>
      <c r="F193" s="1">
        <v>0</v>
      </c>
      <c r="G193" s="1">
        <v>13</v>
      </c>
      <c r="H193" s="1">
        <v>12</v>
      </c>
      <c r="I193" s="1">
        <v>13</v>
      </c>
      <c r="J193" s="1">
        <v>17</v>
      </c>
      <c r="K193" s="1">
        <v>30</v>
      </c>
      <c r="L193" s="1">
        <v>26</v>
      </c>
      <c r="M193" s="1">
        <v>27</v>
      </c>
      <c r="N193" s="1">
        <v>28</v>
      </c>
      <c r="O193" s="1">
        <v>16</v>
      </c>
      <c r="P193" s="1">
        <v>17</v>
      </c>
      <c r="Q193" s="1">
        <v>28</v>
      </c>
      <c r="R193" s="1">
        <v>30</v>
      </c>
      <c r="S193" s="1">
        <v>26</v>
      </c>
      <c r="T193" s="1">
        <v>11</v>
      </c>
      <c r="U193" s="1">
        <v>22</v>
      </c>
      <c r="V193" s="1">
        <v>15</v>
      </c>
      <c r="W193" s="1">
        <v>18</v>
      </c>
      <c r="X193" s="1">
        <v>14</v>
      </c>
      <c r="Y193" s="1">
        <v>11</v>
      </c>
    </row>
    <row r="194" spans="1:25" x14ac:dyDescent="0.3">
      <c r="A194" s="2">
        <v>43992</v>
      </c>
      <c r="B194" s="1">
        <v>10</v>
      </c>
      <c r="C194" s="1">
        <v>3</v>
      </c>
      <c r="D194" s="1">
        <v>4</v>
      </c>
      <c r="E194" s="1">
        <v>3</v>
      </c>
      <c r="F194" s="1">
        <v>3</v>
      </c>
      <c r="G194" s="1">
        <v>5</v>
      </c>
      <c r="H194" s="1">
        <v>14</v>
      </c>
      <c r="I194" s="1">
        <v>11</v>
      </c>
      <c r="J194" s="1">
        <v>7</v>
      </c>
      <c r="K194" s="1">
        <v>15</v>
      </c>
      <c r="L194" s="1">
        <v>22</v>
      </c>
      <c r="M194" s="1">
        <v>28</v>
      </c>
      <c r="N194" s="1">
        <v>25</v>
      </c>
      <c r="O194" s="1">
        <v>16</v>
      </c>
      <c r="P194" s="1">
        <v>24</v>
      </c>
      <c r="Q194" s="1">
        <v>17</v>
      </c>
      <c r="R194" s="1">
        <v>23</v>
      </c>
      <c r="S194" s="1">
        <v>33</v>
      </c>
      <c r="T194" s="1">
        <v>19</v>
      </c>
      <c r="U194" s="1">
        <v>12</v>
      </c>
      <c r="V194" s="1">
        <v>9</v>
      </c>
      <c r="W194" s="1">
        <v>18</v>
      </c>
      <c r="X194" s="1">
        <v>13</v>
      </c>
      <c r="Y194" s="1">
        <v>8</v>
      </c>
    </row>
    <row r="195" spans="1:25" x14ac:dyDescent="0.3">
      <c r="A195" s="2">
        <v>43993</v>
      </c>
      <c r="B195" s="1">
        <v>10</v>
      </c>
      <c r="C195" s="1">
        <v>2</v>
      </c>
      <c r="D195" s="1">
        <v>12</v>
      </c>
      <c r="E195" s="1">
        <v>8</v>
      </c>
      <c r="F195" s="1">
        <v>14</v>
      </c>
      <c r="G195" s="1">
        <v>7</v>
      </c>
      <c r="H195" s="1">
        <v>13</v>
      </c>
      <c r="I195" s="1">
        <v>18</v>
      </c>
      <c r="J195" s="1">
        <v>22</v>
      </c>
      <c r="K195" s="1">
        <v>17</v>
      </c>
      <c r="L195" s="1">
        <v>36</v>
      </c>
      <c r="M195" s="1">
        <v>16</v>
      </c>
      <c r="N195" s="1">
        <v>22</v>
      </c>
      <c r="O195" s="1">
        <v>20</v>
      </c>
      <c r="P195" s="1">
        <v>22</v>
      </c>
      <c r="Q195" s="1">
        <v>22</v>
      </c>
      <c r="R195" s="1">
        <v>22</v>
      </c>
      <c r="S195" s="1">
        <v>18</v>
      </c>
      <c r="T195" s="1">
        <v>12</v>
      </c>
      <c r="U195" s="1">
        <v>13</v>
      </c>
      <c r="V195" s="1">
        <v>6</v>
      </c>
      <c r="W195" s="1">
        <v>12</v>
      </c>
      <c r="X195" s="1">
        <v>7</v>
      </c>
      <c r="Y195" s="1">
        <v>6</v>
      </c>
    </row>
    <row r="196" spans="1:25" x14ac:dyDescent="0.3">
      <c r="A196" s="2">
        <v>43994</v>
      </c>
      <c r="B196" s="1">
        <v>11</v>
      </c>
      <c r="C196" s="1">
        <v>7</v>
      </c>
      <c r="D196" s="1">
        <v>3</v>
      </c>
      <c r="E196" s="1">
        <v>9</v>
      </c>
      <c r="F196" s="1">
        <v>7</v>
      </c>
      <c r="G196" s="1">
        <v>6</v>
      </c>
      <c r="H196" s="1">
        <v>5</v>
      </c>
      <c r="I196" s="1">
        <v>13</v>
      </c>
      <c r="J196" s="1">
        <v>16</v>
      </c>
      <c r="K196" s="1">
        <v>10</v>
      </c>
      <c r="L196" s="1">
        <v>20</v>
      </c>
      <c r="M196" s="1">
        <v>22</v>
      </c>
      <c r="N196" s="1">
        <v>21</v>
      </c>
      <c r="O196" s="1">
        <v>23</v>
      </c>
      <c r="P196" s="1">
        <v>21</v>
      </c>
      <c r="Q196" s="1">
        <v>33</v>
      </c>
      <c r="R196" s="1">
        <v>20</v>
      </c>
      <c r="S196" s="1">
        <v>30</v>
      </c>
      <c r="T196" s="1">
        <v>15</v>
      </c>
      <c r="U196" s="1">
        <v>21</v>
      </c>
      <c r="V196" s="1">
        <v>21</v>
      </c>
      <c r="W196" s="1">
        <v>35</v>
      </c>
      <c r="X196" s="1">
        <v>16</v>
      </c>
      <c r="Y196" s="1">
        <v>7</v>
      </c>
    </row>
    <row r="197" spans="1:25" x14ac:dyDescent="0.3">
      <c r="A197" s="2">
        <v>43995</v>
      </c>
      <c r="B197" s="1">
        <v>5</v>
      </c>
      <c r="C197" s="1">
        <v>10</v>
      </c>
      <c r="D197" s="1">
        <v>7</v>
      </c>
      <c r="E197" s="1">
        <v>3</v>
      </c>
      <c r="F197" s="1">
        <v>8</v>
      </c>
      <c r="G197" s="1">
        <v>11</v>
      </c>
      <c r="H197" s="1">
        <v>5</v>
      </c>
      <c r="I197" s="1">
        <v>5</v>
      </c>
      <c r="J197" s="1">
        <v>11</v>
      </c>
      <c r="K197" s="1">
        <v>12</v>
      </c>
      <c r="L197" s="1">
        <v>30</v>
      </c>
      <c r="M197" s="1">
        <v>24</v>
      </c>
      <c r="N197" s="1">
        <v>18</v>
      </c>
      <c r="O197" s="1">
        <v>22</v>
      </c>
      <c r="P197" s="1">
        <v>12</v>
      </c>
      <c r="Q197" s="1">
        <v>15</v>
      </c>
      <c r="R197" s="1">
        <v>16</v>
      </c>
      <c r="S197" s="1">
        <v>22</v>
      </c>
      <c r="T197" s="1">
        <v>15</v>
      </c>
      <c r="U197" s="1">
        <v>15</v>
      </c>
      <c r="V197" s="1">
        <v>23</v>
      </c>
      <c r="W197" s="1">
        <v>20</v>
      </c>
      <c r="X197" s="1">
        <v>11</v>
      </c>
      <c r="Y197" s="1">
        <v>15</v>
      </c>
    </row>
    <row r="198" spans="1:25" x14ac:dyDescent="0.3">
      <c r="A198" s="2">
        <v>43996</v>
      </c>
      <c r="B198" s="1">
        <v>11</v>
      </c>
      <c r="C198" s="1">
        <v>9</v>
      </c>
      <c r="D198" s="1">
        <v>5</v>
      </c>
      <c r="E198" s="1">
        <v>2</v>
      </c>
      <c r="F198" s="1">
        <v>4</v>
      </c>
      <c r="G198" s="1">
        <v>2</v>
      </c>
      <c r="H198" s="1">
        <v>4</v>
      </c>
      <c r="I198" s="1">
        <v>7</v>
      </c>
      <c r="J198" s="1">
        <v>9</v>
      </c>
      <c r="K198" s="1">
        <v>11</v>
      </c>
      <c r="L198" s="1">
        <v>8</v>
      </c>
      <c r="M198" s="1">
        <v>11</v>
      </c>
      <c r="N198" s="1">
        <v>19</v>
      </c>
      <c r="O198" s="1">
        <v>20</v>
      </c>
      <c r="P198" s="1">
        <v>23</v>
      </c>
      <c r="Q198" s="1">
        <v>17</v>
      </c>
      <c r="R198" s="1">
        <v>21</v>
      </c>
      <c r="S198" s="1">
        <v>10</v>
      </c>
      <c r="T198" s="1">
        <v>15</v>
      </c>
      <c r="U198" s="1">
        <v>11</v>
      </c>
      <c r="V198" s="1">
        <v>19</v>
      </c>
      <c r="W198" s="1">
        <v>10</v>
      </c>
      <c r="X198" s="1">
        <v>9</v>
      </c>
      <c r="Y198" s="1">
        <v>7</v>
      </c>
    </row>
    <row r="199" spans="1:25" x14ac:dyDescent="0.3">
      <c r="A199" s="2">
        <v>43997</v>
      </c>
      <c r="B199" s="1">
        <v>3</v>
      </c>
      <c r="C199" s="1">
        <v>5</v>
      </c>
      <c r="D199" s="1">
        <v>4</v>
      </c>
      <c r="E199" s="1">
        <v>5</v>
      </c>
      <c r="F199" s="1">
        <v>4</v>
      </c>
      <c r="G199" s="1">
        <v>8</v>
      </c>
      <c r="H199" s="1">
        <v>8</v>
      </c>
      <c r="I199" s="1">
        <v>10</v>
      </c>
      <c r="J199" s="1">
        <v>11</v>
      </c>
      <c r="K199" s="1">
        <v>20</v>
      </c>
      <c r="L199" s="1">
        <v>18</v>
      </c>
      <c r="M199" s="1">
        <v>21</v>
      </c>
      <c r="N199" s="1">
        <v>29</v>
      </c>
      <c r="O199" s="1">
        <v>21</v>
      </c>
      <c r="P199" s="1">
        <v>20</v>
      </c>
      <c r="Q199" s="1">
        <v>22</v>
      </c>
      <c r="R199" s="1">
        <v>33</v>
      </c>
      <c r="S199" s="1">
        <v>30</v>
      </c>
      <c r="T199" s="1">
        <v>16</v>
      </c>
      <c r="U199" s="1">
        <v>14</v>
      </c>
      <c r="V199" s="1">
        <v>12</v>
      </c>
      <c r="W199" s="1">
        <v>10</v>
      </c>
      <c r="X199" s="1">
        <v>13</v>
      </c>
      <c r="Y199" s="1">
        <v>5</v>
      </c>
    </row>
    <row r="200" spans="1:25" x14ac:dyDescent="0.3">
      <c r="A200" s="2">
        <v>43998</v>
      </c>
      <c r="B200" s="1">
        <v>3</v>
      </c>
      <c r="C200" s="1">
        <v>6</v>
      </c>
      <c r="D200" s="1">
        <v>2</v>
      </c>
      <c r="E200" s="1">
        <v>7</v>
      </c>
      <c r="F200" s="1">
        <v>3</v>
      </c>
      <c r="G200" s="1">
        <v>7</v>
      </c>
      <c r="H200" s="1">
        <v>5</v>
      </c>
      <c r="I200" s="1">
        <v>22</v>
      </c>
      <c r="J200" s="1">
        <v>11</v>
      </c>
      <c r="K200" s="1">
        <v>15</v>
      </c>
      <c r="L200" s="1">
        <v>18</v>
      </c>
      <c r="M200" s="1">
        <v>15</v>
      </c>
      <c r="N200" s="1">
        <v>22</v>
      </c>
      <c r="O200" s="1">
        <v>20</v>
      </c>
      <c r="P200" s="1">
        <v>16</v>
      </c>
      <c r="Q200" s="1">
        <v>14</v>
      </c>
      <c r="R200" s="1">
        <v>23</v>
      </c>
      <c r="S200" s="1">
        <v>28</v>
      </c>
      <c r="T200" s="1">
        <v>18</v>
      </c>
      <c r="U200" s="1">
        <v>20</v>
      </c>
      <c r="V200" s="1">
        <v>17</v>
      </c>
      <c r="W200" s="1">
        <v>12</v>
      </c>
      <c r="X200" s="1">
        <v>12</v>
      </c>
      <c r="Y200" s="1">
        <v>5</v>
      </c>
    </row>
    <row r="201" spans="1:25" x14ac:dyDescent="0.3">
      <c r="A201" s="2">
        <v>43999</v>
      </c>
      <c r="B201" s="1">
        <v>8</v>
      </c>
      <c r="C201" s="1">
        <v>3</v>
      </c>
      <c r="D201" s="1">
        <v>6</v>
      </c>
      <c r="E201" s="1">
        <v>3</v>
      </c>
      <c r="F201" s="1">
        <v>2</v>
      </c>
      <c r="G201" s="1">
        <v>7</v>
      </c>
      <c r="H201" s="1">
        <v>8</v>
      </c>
      <c r="I201" s="1">
        <v>13</v>
      </c>
      <c r="J201" s="1">
        <v>10</v>
      </c>
      <c r="K201" s="1">
        <v>18</v>
      </c>
      <c r="L201" s="1">
        <v>16</v>
      </c>
      <c r="M201" s="1">
        <v>18</v>
      </c>
      <c r="N201" s="1">
        <v>15</v>
      </c>
      <c r="O201" s="1">
        <v>22</v>
      </c>
      <c r="P201" s="1">
        <v>22</v>
      </c>
      <c r="Q201" s="1">
        <v>22</v>
      </c>
      <c r="R201" s="1">
        <v>10</v>
      </c>
      <c r="S201" s="1">
        <v>17</v>
      </c>
      <c r="T201" s="1">
        <v>22</v>
      </c>
      <c r="U201" s="1">
        <v>12</v>
      </c>
      <c r="V201" s="1">
        <v>15</v>
      </c>
      <c r="W201" s="1">
        <v>15</v>
      </c>
      <c r="X201" s="1">
        <v>9</v>
      </c>
      <c r="Y201" s="1">
        <v>4</v>
      </c>
    </row>
    <row r="202" spans="1:25" x14ac:dyDescent="0.3">
      <c r="A202" s="2">
        <v>44000</v>
      </c>
      <c r="B202" s="1">
        <v>18</v>
      </c>
      <c r="C202" s="1">
        <v>8</v>
      </c>
      <c r="D202" s="1">
        <v>7</v>
      </c>
      <c r="E202" s="1">
        <v>3</v>
      </c>
      <c r="F202" s="1">
        <v>9</v>
      </c>
      <c r="G202" s="1">
        <v>9</v>
      </c>
      <c r="H202" s="1">
        <v>10</v>
      </c>
      <c r="I202" s="1">
        <v>10</v>
      </c>
      <c r="J202" s="1">
        <v>11</v>
      </c>
      <c r="K202" s="1">
        <v>20</v>
      </c>
      <c r="L202" s="1">
        <v>24</v>
      </c>
      <c r="M202" s="1">
        <v>19</v>
      </c>
      <c r="N202" s="1">
        <v>30</v>
      </c>
      <c r="O202" s="1">
        <v>19</v>
      </c>
      <c r="P202" s="1">
        <v>21</v>
      </c>
      <c r="Q202" s="1">
        <v>24</v>
      </c>
      <c r="R202" s="1">
        <v>18</v>
      </c>
      <c r="S202" s="1">
        <v>21</v>
      </c>
      <c r="T202" s="1">
        <v>20</v>
      </c>
      <c r="U202" s="1">
        <v>13</v>
      </c>
      <c r="V202" s="1">
        <v>9</v>
      </c>
      <c r="W202" s="1">
        <v>8</v>
      </c>
      <c r="X202" s="1">
        <v>11</v>
      </c>
      <c r="Y202" s="1">
        <v>8</v>
      </c>
    </row>
    <row r="203" spans="1:25" x14ac:dyDescent="0.3">
      <c r="A203" s="2">
        <v>44001</v>
      </c>
      <c r="B203" s="1">
        <v>8</v>
      </c>
      <c r="C203" s="1">
        <v>5</v>
      </c>
      <c r="D203" s="1">
        <v>7</v>
      </c>
      <c r="E203" s="1">
        <v>3</v>
      </c>
      <c r="F203" s="1">
        <v>2</v>
      </c>
      <c r="G203" s="1">
        <v>4</v>
      </c>
      <c r="H203" s="1">
        <v>9</v>
      </c>
      <c r="I203" s="1">
        <v>10</v>
      </c>
      <c r="J203" s="1">
        <v>15</v>
      </c>
      <c r="K203" s="1">
        <v>16</v>
      </c>
      <c r="L203" s="1">
        <v>20</v>
      </c>
      <c r="M203" s="1">
        <v>20</v>
      </c>
      <c r="N203" s="1">
        <v>21</v>
      </c>
      <c r="O203" s="1">
        <v>25</v>
      </c>
      <c r="P203" s="1">
        <v>18</v>
      </c>
      <c r="Q203" s="1">
        <v>21</v>
      </c>
      <c r="R203" s="1">
        <v>23</v>
      </c>
      <c r="S203" s="1">
        <v>14</v>
      </c>
      <c r="T203" s="1">
        <v>20</v>
      </c>
      <c r="U203" s="1">
        <v>22</v>
      </c>
      <c r="V203" s="1">
        <v>16</v>
      </c>
      <c r="W203" s="1">
        <v>12</v>
      </c>
      <c r="X203" s="1">
        <v>9</v>
      </c>
      <c r="Y203" s="1">
        <v>7</v>
      </c>
    </row>
    <row r="204" spans="1:25" x14ac:dyDescent="0.3">
      <c r="A204" s="2">
        <v>44002</v>
      </c>
      <c r="B204" s="1">
        <v>12</v>
      </c>
      <c r="C204" s="1">
        <v>4</v>
      </c>
      <c r="D204" s="1">
        <v>8</v>
      </c>
      <c r="E204" s="1">
        <v>2</v>
      </c>
      <c r="F204" s="1">
        <v>4</v>
      </c>
      <c r="G204" s="1">
        <v>7</v>
      </c>
      <c r="H204" s="1">
        <v>4</v>
      </c>
      <c r="I204" s="1">
        <v>8</v>
      </c>
      <c r="J204" s="1">
        <v>14</v>
      </c>
      <c r="K204" s="1">
        <v>22</v>
      </c>
      <c r="L204" s="1">
        <v>14</v>
      </c>
      <c r="M204" s="1">
        <v>17</v>
      </c>
      <c r="N204" s="1">
        <v>13</v>
      </c>
      <c r="O204" s="1">
        <v>11</v>
      </c>
      <c r="P204" s="1">
        <v>24</v>
      </c>
      <c r="Q204" s="1">
        <v>18</v>
      </c>
      <c r="R204" s="1">
        <v>25</v>
      </c>
      <c r="S204" s="1">
        <v>16</v>
      </c>
      <c r="T204" s="1">
        <v>23</v>
      </c>
      <c r="U204" s="1">
        <v>6</v>
      </c>
      <c r="V204" s="1">
        <v>15</v>
      </c>
      <c r="W204" s="1">
        <v>21</v>
      </c>
      <c r="X204" s="1">
        <v>11</v>
      </c>
      <c r="Y204" s="1">
        <v>5</v>
      </c>
    </row>
    <row r="205" spans="1:25" x14ac:dyDescent="0.3">
      <c r="A205" s="2">
        <v>44003</v>
      </c>
      <c r="B205" s="1">
        <v>4</v>
      </c>
      <c r="C205" s="1">
        <v>3</v>
      </c>
      <c r="D205" s="1">
        <v>9</v>
      </c>
      <c r="E205" s="1">
        <v>2</v>
      </c>
      <c r="F205" s="1">
        <v>5</v>
      </c>
      <c r="G205" s="1">
        <v>8</v>
      </c>
      <c r="H205" s="1">
        <v>8</v>
      </c>
      <c r="I205" s="1">
        <v>19</v>
      </c>
      <c r="J205" s="1">
        <v>11</v>
      </c>
      <c r="K205" s="1">
        <v>12</v>
      </c>
      <c r="L205" s="1">
        <v>17</v>
      </c>
      <c r="M205" s="1">
        <v>11</v>
      </c>
      <c r="N205" s="1">
        <v>14</v>
      </c>
      <c r="O205" s="1">
        <v>19</v>
      </c>
      <c r="P205" s="1">
        <v>20</v>
      </c>
      <c r="Q205" s="1">
        <v>21</v>
      </c>
      <c r="R205" s="1">
        <v>16</v>
      </c>
      <c r="S205" s="1">
        <v>13</v>
      </c>
      <c r="T205" s="1">
        <v>21</v>
      </c>
      <c r="U205" s="1">
        <v>12</v>
      </c>
      <c r="V205" s="1">
        <v>22</v>
      </c>
      <c r="W205" s="1">
        <v>18</v>
      </c>
      <c r="X205" s="1">
        <v>13</v>
      </c>
      <c r="Y205" s="1">
        <v>8</v>
      </c>
    </row>
    <row r="206" spans="1:25" x14ac:dyDescent="0.3">
      <c r="A206" s="2">
        <v>44004</v>
      </c>
      <c r="B206" s="1">
        <v>3</v>
      </c>
      <c r="C206" s="1">
        <v>9</v>
      </c>
      <c r="D206" s="1">
        <v>6</v>
      </c>
      <c r="E206" s="1">
        <v>4</v>
      </c>
      <c r="F206" s="1">
        <v>8</v>
      </c>
      <c r="G206" s="1">
        <v>6</v>
      </c>
      <c r="H206" s="1">
        <v>8</v>
      </c>
      <c r="I206" s="1">
        <v>16</v>
      </c>
      <c r="J206" s="1">
        <v>22</v>
      </c>
      <c r="K206" s="1">
        <v>18</v>
      </c>
      <c r="L206" s="1">
        <v>29</v>
      </c>
      <c r="M206" s="1">
        <v>16</v>
      </c>
      <c r="N206" s="1">
        <v>35</v>
      </c>
      <c r="O206" s="1">
        <v>27</v>
      </c>
      <c r="P206" s="1">
        <v>25</v>
      </c>
      <c r="Q206" s="1">
        <v>25</v>
      </c>
      <c r="R206" s="1">
        <v>25</v>
      </c>
      <c r="S206" s="1">
        <v>21</v>
      </c>
      <c r="T206" s="1">
        <v>20</v>
      </c>
      <c r="U206" s="1">
        <v>18</v>
      </c>
      <c r="V206" s="1">
        <v>13</v>
      </c>
      <c r="W206" s="1">
        <v>10</v>
      </c>
      <c r="X206" s="1">
        <v>10</v>
      </c>
      <c r="Y206" s="1">
        <v>8</v>
      </c>
    </row>
    <row r="207" spans="1:25" x14ac:dyDescent="0.3">
      <c r="A207" s="2">
        <v>44005</v>
      </c>
      <c r="B207" s="1">
        <v>8</v>
      </c>
      <c r="C207" s="1">
        <v>1</v>
      </c>
      <c r="D207" s="1">
        <v>7</v>
      </c>
      <c r="E207" s="1">
        <v>0</v>
      </c>
      <c r="F207" s="1">
        <v>9</v>
      </c>
      <c r="G207" s="1">
        <v>6</v>
      </c>
      <c r="H207" s="1">
        <v>11</v>
      </c>
      <c r="I207" s="1">
        <v>9</v>
      </c>
      <c r="J207" s="1">
        <v>15</v>
      </c>
      <c r="K207" s="1">
        <v>14</v>
      </c>
      <c r="L207" s="1">
        <v>24</v>
      </c>
      <c r="M207" s="1">
        <v>20</v>
      </c>
      <c r="N207" s="1">
        <v>27</v>
      </c>
      <c r="O207" s="1">
        <v>25</v>
      </c>
      <c r="P207" s="1">
        <v>26</v>
      </c>
      <c r="Q207" s="1">
        <v>15</v>
      </c>
      <c r="R207" s="1">
        <v>22</v>
      </c>
      <c r="S207" s="1">
        <v>26</v>
      </c>
      <c r="T207" s="1">
        <v>14</v>
      </c>
      <c r="U207" s="1">
        <v>13</v>
      </c>
      <c r="V207" s="1">
        <v>12</v>
      </c>
      <c r="W207" s="1">
        <v>3</v>
      </c>
      <c r="X207" s="1">
        <v>11</v>
      </c>
      <c r="Y207" s="1">
        <v>9</v>
      </c>
    </row>
    <row r="208" spans="1:25" x14ac:dyDescent="0.3">
      <c r="A208" s="2">
        <v>44006</v>
      </c>
      <c r="B208" s="1">
        <v>5</v>
      </c>
      <c r="C208" s="1">
        <v>8</v>
      </c>
      <c r="D208" s="1">
        <v>7</v>
      </c>
      <c r="E208" s="1">
        <v>11</v>
      </c>
      <c r="F208" s="1">
        <v>5</v>
      </c>
      <c r="G208" s="1">
        <v>9</v>
      </c>
      <c r="H208" s="1">
        <v>6</v>
      </c>
      <c r="I208" s="1">
        <v>13</v>
      </c>
      <c r="J208" s="1">
        <v>16</v>
      </c>
      <c r="K208" s="1">
        <v>27</v>
      </c>
      <c r="L208" s="1">
        <v>19</v>
      </c>
      <c r="M208" s="1">
        <v>17</v>
      </c>
      <c r="N208" s="1">
        <v>22</v>
      </c>
      <c r="O208" s="1">
        <v>19</v>
      </c>
      <c r="P208" s="1">
        <v>18</v>
      </c>
      <c r="Q208" s="1">
        <v>23</v>
      </c>
      <c r="R208" s="1">
        <v>27</v>
      </c>
      <c r="S208" s="1">
        <v>13</v>
      </c>
      <c r="T208" s="1">
        <v>26</v>
      </c>
      <c r="U208" s="1">
        <v>14</v>
      </c>
      <c r="V208" s="1">
        <v>12</v>
      </c>
      <c r="W208" s="1">
        <v>14</v>
      </c>
      <c r="X208" s="1">
        <v>12</v>
      </c>
      <c r="Y208" s="1">
        <v>5</v>
      </c>
    </row>
    <row r="209" spans="1:25" x14ac:dyDescent="0.3">
      <c r="A209" s="2">
        <v>44007</v>
      </c>
      <c r="B209" s="1">
        <v>13</v>
      </c>
      <c r="C209" s="1">
        <v>9</v>
      </c>
      <c r="D209" s="1">
        <v>9</v>
      </c>
      <c r="E209" s="1">
        <v>4</v>
      </c>
      <c r="F209" s="1">
        <v>3</v>
      </c>
      <c r="G209" s="1">
        <v>1</v>
      </c>
      <c r="H209" s="1">
        <v>8</v>
      </c>
      <c r="I209" s="1">
        <v>11</v>
      </c>
      <c r="J209" s="1">
        <v>9</v>
      </c>
      <c r="K209" s="1">
        <v>29</v>
      </c>
      <c r="L209" s="1">
        <v>14</v>
      </c>
      <c r="M209" s="1">
        <v>18</v>
      </c>
      <c r="N209" s="1">
        <v>19</v>
      </c>
      <c r="O209" s="1">
        <v>23</v>
      </c>
      <c r="P209" s="1">
        <v>14</v>
      </c>
      <c r="Q209" s="1">
        <v>20</v>
      </c>
      <c r="R209" s="1">
        <v>28</v>
      </c>
      <c r="S209" s="1">
        <v>20</v>
      </c>
      <c r="T209" s="1">
        <v>15</v>
      </c>
      <c r="U209" s="1">
        <v>16</v>
      </c>
      <c r="V209" s="1">
        <v>7</v>
      </c>
      <c r="W209" s="1">
        <v>8</v>
      </c>
      <c r="X209" s="1">
        <v>13</v>
      </c>
      <c r="Y209" s="1">
        <v>8</v>
      </c>
    </row>
    <row r="210" spans="1:25" x14ac:dyDescent="0.3">
      <c r="A210" s="2">
        <v>44008</v>
      </c>
      <c r="B210" s="1">
        <v>5</v>
      </c>
      <c r="C210" s="1">
        <v>14</v>
      </c>
      <c r="D210" s="1">
        <v>6</v>
      </c>
      <c r="E210" s="1">
        <v>4</v>
      </c>
      <c r="F210" s="1">
        <v>3</v>
      </c>
      <c r="G210" s="1">
        <v>4</v>
      </c>
      <c r="H210" s="1">
        <v>3</v>
      </c>
      <c r="I210" s="1">
        <v>6</v>
      </c>
      <c r="J210" s="1">
        <v>12</v>
      </c>
      <c r="K210" s="1">
        <v>20</v>
      </c>
      <c r="L210" s="1">
        <v>11</v>
      </c>
      <c r="M210" s="1">
        <v>32</v>
      </c>
      <c r="N210" s="1">
        <v>21</v>
      </c>
      <c r="O210" s="1">
        <v>17</v>
      </c>
      <c r="P210" s="1">
        <v>20</v>
      </c>
      <c r="Q210" s="1">
        <v>26</v>
      </c>
      <c r="R210" s="1">
        <v>27</v>
      </c>
      <c r="S210" s="1">
        <v>23</v>
      </c>
      <c r="T210" s="1">
        <v>21</v>
      </c>
      <c r="U210" s="1">
        <v>16</v>
      </c>
      <c r="V210" s="1">
        <v>16</v>
      </c>
      <c r="W210" s="1">
        <v>16</v>
      </c>
      <c r="X210" s="1">
        <v>13</v>
      </c>
      <c r="Y210" s="1">
        <v>13</v>
      </c>
    </row>
    <row r="211" spans="1:25" x14ac:dyDescent="0.3">
      <c r="A211" s="2">
        <v>44009</v>
      </c>
      <c r="B211" s="1">
        <v>14</v>
      </c>
      <c r="C211" s="1">
        <v>6</v>
      </c>
      <c r="D211" s="1">
        <v>2</v>
      </c>
      <c r="E211" s="1">
        <v>8</v>
      </c>
      <c r="F211" s="1">
        <v>8</v>
      </c>
      <c r="G211" s="1">
        <v>7</v>
      </c>
      <c r="H211" s="1">
        <v>10</v>
      </c>
      <c r="I211" s="1">
        <v>6</v>
      </c>
      <c r="J211" s="1">
        <v>13</v>
      </c>
      <c r="K211" s="1">
        <v>13</v>
      </c>
      <c r="L211" s="1">
        <v>17</v>
      </c>
      <c r="M211" s="1">
        <v>22</v>
      </c>
      <c r="N211" s="1">
        <v>28</v>
      </c>
      <c r="O211" s="1">
        <v>16</v>
      </c>
      <c r="P211" s="1">
        <v>23</v>
      </c>
      <c r="Q211" s="1">
        <v>22</v>
      </c>
      <c r="R211" s="1">
        <v>18</v>
      </c>
      <c r="S211" s="1">
        <v>29</v>
      </c>
      <c r="T211" s="1">
        <v>14</v>
      </c>
      <c r="U211" s="1">
        <v>15</v>
      </c>
      <c r="V211" s="1">
        <v>11</v>
      </c>
      <c r="W211" s="1">
        <v>13</v>
      </c>
      <c r="X211" s="1">
        <v>19</v>
      </c>
      <c r="Y211" s="1">
        <v>14</v>
      </c>
    </row>
    <row r="212" spans="1:25" x14ac:dyDescent="0.3">
      <c r="A212" s="2">
        <v>44010</v>
      </c>
      <c r="B212" s="1">
        <v>9</v>
      </c>
      <c r="C212" s="1">
        <v>1</v>
      </c>
      <c r="D212" s="1">
        <v>5</v>
      </c>
      <c r="E212" s="1">
        <v>1</v>
      </c>
      <c r="F212" s="1">
        <v>1</v>
      </c>
      <c r="G212" s="1">
        <v>4</v>
      </c>
      <c r="H212" s="1">
        <v>2</v>
      </c>
      <c r="I212" s="1">
        <v>9</v>
      </c>
      <c r="J212" s="1">
        <v>12</v>
      </c>
      <c r="K212" s="1">
        <v>15</v>
      </c>
      <c r="L212" s="1">
        <v>10</v>
      </c>
      <c r="M212" s="1">
        <v>13</v>
      </c>
      <c r="N212" s="1">
        <v>24</v>
      </c>
      <c r="O212" s="1">
        <v>19</v>
      </c>
      <c r="P212" s="1">
        <v>16</v>
      </c>
      <c r="Q212" s="1">
        <v>7</v>
      </c>
      <c r="R212" s="1">
        <v>21</v>
      </c>
      <c r="S212" s="1">
        <v>21</v>
      </c>
      <c r="T212" s="1">
        <v>16</v>
      </c>
      <c r="U212" s="1">
        <v>9</v>
      </c>
      <c r="V212" s="1">
        <v>10</v>
      </c>
      <c r="W212" s="1">
        <v>10</v>
      </c>
      <c r="X212" s="1">
        <v>10</v>
      </c>
      <c r="Y212" s="1">
        <v>8</v>
      </c>
    </row>
    <row r="213" spans="1:25" x14ac:dyDescent="0.3">
      <c r="A213" s="2">
        <v>44011</v>
      </c>
      <c r="B213" s="1">
        <v>8</v>
      </c>
      <c r="C213" s="1">
        <v>5</v>
      </c>
      <c r="D213" s="1">
        <v>8</v>
      </c>
      <c r="E213" s="1">
        <v>3</v>
      </c>
      <c r="F213" s="1">
        <v>1</v>
      </c>
      <c r="G213" s="1">
        <v>6</v>
      </c>
      <c r="H213" s="1">
        <v>8</v>
      </c>
      <c r="I213" s="1">
        <v>11</v>
      </c>
      <c r="J213" s="1">
        <v>16</v>
      </c>
      <c r="K213" s="1">
        <v>16</v>
      </c>
      <c r="L213" s="1">
        <v>12</v>
      </c>
      <c r="M213" s="1">
        <v>15</v>
      </c>
      <c r="N213" s="1">
        <v>27</v>
      </c>
      <c r="O213" s="1">
        <v>14</v>
      </c>
      <c r="P213" s="1">
        <v>19</v>
      </c>
      <c r="Q213" s="1">
        <v>22</v>
      </c>
      <c r="R213" s="1">
        <v>19</v>
      </c>
      <c r="S213" s="1">
        <v>24</v>
      </c>
      <c r="T213" s="1">
        <v>21</v>
      </c>
      <c r="U213" s="1">
        <v>21</v>
      </c>
      <c r="V213" s="1">
        <v>25</v>
      </c>
      <c r="W213" s="1">
        <v>16</v>
      </c>
      <c r="X213" s="1">
        <v>9</v>
      </c>
      <c r="Y213" s="1">
        <v>8</v>
      </c>
    </row>
    <row r="214" spans="1:25" x14ac:dyDescent="0.3">
      <c r="A214" s="2">
        <v>44012</v>
      </c>
      <c r="B214" s="1">
        <v>10</v>
      </c>
      <c r="C214" s="1">
        <v>5</v>
      </c>
      <c r="D214" s="1">
        <v>5</v>
      </c>
      <c r="E214" s="1">
        <v>3</v>
      </c>
      <c r="F214" s="1">
        <v>5</v>
      </c>
      <c r="G214" s="1">
        <v>6</v>
      </c>
      <c r="H214" s="1">
        <v>8</v>
      </c>
      <c r="I214" s="1">
        <v>20</v>
      </c>
      <c r="J214" s="1">
        <v>13</v>
      </c>
      <c r="K214" s="1">
        <v>20</v>
      </c>
      <c r="L214" s="1">
        <v>23</v>
      </c>
      <c r="M214" s="1">
        <v>16</v>
      </c>
      <c r="N214" s="1">
        <v>19</v>
      </c>
      <c r="O214" s="1">
        <v>18</v>
      </c>
      <c r="P214" s="1">
        <v>30</v>
      </c>
      <c r="Q214" s="1">
        <v>27</v>
      </c>
      <c r="R214" s="1">
        <v>15</v>
      </c>
      <c r="S214" s="1">
        <v>26</v>
      </c>
      <c r="T214" s="1">
        <v>15</v>
      </c>
      <c r="U214" s="1">
        <v>18</v>
      </c>
      <c r="V214" s="1">
        <v>8</v>
      </c>
      <c r="W214" s="1">
        <v>7</v>
      </c>
      <c r="X214" s="1">
        <v>17</v>
      </c>
      <c r="Y214" s="1">
        <v>6</v>
      </c>
    </row>
    <row r="215" spans="1:25" x14ac:dyDescent="0.3">
      <c r="A215" s="2">
        <v>44013</v>
      </c>
      <c r="B215" s="1">
        <v>9</v>
      </c>
      <c r="C215" s="1">
        <v>6</v>
      </c>
      <c r="D215" s="1">
        <v>2</v>
      </c>
      <c r="E215" s="1">
        <v>2</v>
      </c>
      <c r="F215" s="1">
        <v>5</v>
      </c>
      <c r="G215" s="1">
        <v>4</v>
      </c>
      <c r="H215" s="1">
        <v>12</v>
      </c>
      <c r="I215" s="1">
        <v>8</v>
      </c>
      <c r="J215" s="1">
        <v>18</v>
      </c>
      <c r="K215" s="1">
        <v>13</v>
      </c>
      <c r="L215" s="1">
        <v>21</v>
      </c>
      <c r="M215" s="1">
        <v>11</v>
      </c>
      <c r="N215" s="1">
        <v>22</v>
      </c>
      <c r="O215" s="1">
        <v>25</v>
      </c>
      <c r="P215" s="1">
        <v>18</v>
      </c>
      <c r="Q215" s="1">
        <v>27</v>
      </c>
      <c r="R215" s="1">
        <v>20</v>
      </c>
      <c r="S215" s="1">
        <v>17</v>
      </c>
      <c r="T215" s="1">
        <v>26</v>
      </c>
      <c r="U215" s="1">
        <v>15</v>
      </c>
      <c r="V215" s="1">
        <v>22</v>
      </c>
      <c r="W215" s="1">
        <v>9</v>
      </c>
      <c r="X215" s="1">
        <v>7</v>
      </c>
      <c r="Y215" s="1">
        <v>7</v>
      </c>
    </row>
    <row r="216" spans="1:25" x14ac:dyDescent="0.3">
      <c r="A216" s="2">
        <v>44014</v>
      </c>
      <c r="B216" s="1">
        <v>4</v>
      </c>
      <c r="C216" s="1">
        <v>5</v>
      </c>
      <c r="D216" s="1">
        <v>9</v>
      </c>
      <c r="E216" s="1">
        <v>5</v>
      </c>
      <c r="F216" s="1">
        <v>10</v>
      </c>
      <c r="G216" s="1">
        <v>10</v>
      </c>
      <c r="H216" s="1">
        <v>4</v>
      </c>
      <c r="I216" s="1">
        <v>8</v>
      </c>
      <c r="J216" s="1">
        <v>14</v>
      </c>
      <c r="K216" s="1">
        <v>15</v>
      </c>
      <c r="L216" s="1">
        <v>20</v>
      </c>
      <c r="M216" s="1">
        <v>9</v>
      </c>
      <c r="N216" s="1">
        <v>13</v>
      </c>
      <c r="O216" s="1">
        <v>24</v>
      </c>
      <c r="P216" s="1">
        <v>19</v>
      </c>
      <c r="Q216" s="1">
        <v>35</v>
      </c>
      <c r="R216" s="1">
        <v>21</v>
      </c>
      <c r="S216" s="1">
        <v>19</v>
      </c>
      <c r="T216" s="1">
        <v>24</v>
      </c>
      <c r="U216" s="1">
        <v>18</v>
      </c>
      <c r="V216" s="1">
        <v>18</v>
      </c>
      <c r="W216" s="1">
        <v>18</v>
      </c>
      <c r="X216" s="1">
        <v>4</v>
      </c>
      <c r="Y216" s="1">
        <v>9</v>
      </c>
    </row>
    <row r="217" spans="1:25" x14ac:dyDescent="0.3">
      <c r="A217" s="2">
        <v>44015</v>
      </c>
      <c r="B217" s="1">
        <v>13</v>
      </c>
      <c r="C217" s="1">
        <v>4</v>
      </c>
      <c r="D217" s="1">
        <v>5</v>
      </c>
      <c r="E217" s="1">
        <v>2</v>
      </c>
      <c r="F217" s="1">
        <v>4</v>
      </c>
      <c r="G217" s="1">
        <v>5</v>
      </c>
      <c r="H217" s="1">
        <v>6</v>
      </c>
      <c r="I217" s="1">
        <v>9</v>
      </c>
      <c r="J217" s="1">
        <v>5</v>
      </c>
      <c r="K217" s="1">
        <v>19</v>
      </c>
      <c r="L217" s="1">
        <v>17</v>
      </c>
      <c r="M217" s="1">
        <v>20</v>
      </c>
      <c r="N217" s="1">
        <v>33</v>
      </c>
      <c r="O217" s="1">
        <v>15</v>
      </c>
      <c r="P217" s="1">
        <v>19</v>
      </c>
      <c r="Q217" s="1">
        <v>24</v>
      </c>
      <c r="R217" s="1">
        <v>13</v>
      </c>
      <c r="S217" s="1">
        <v>22</v>
      </c>
      <c r="T217" s="1">
        <v>20</v>
      </c>
      <c r="U217" s="1">
        <v>18</v>
      </c>
      <c r="V217" s="1">
        <v>19</v>
      </c>
      <c r="W217" s="1">
        <v>14</v>
      </c>
      <c r="X217" s="1">
        <v>9</v>
      </c>
      <c r="Y217" s="1">
        <v>9</v>
      </c>
    </row>
    <row r="218" spans="1:25" x14ac:dyDescent="0.3">
      <c r="A218" s="2">
        <v>44016</v>
      </c>
      <c r="B218" s="1">
        <v>10</v>
      </c>
      <c r="C218" s="1">
        <v>12</v>
      </c>
      <c r="D218" s="1">
        <v>8</v>
      </c>
      <c r="E218" s="1">
        <v>9</v>
      </c>
      <c r="F218" s="1">
        <v>5</v>
      </c>
      <c r="G218" s="1">
        <v>8</v>
      </c>
      <c r="H218" s="1">
        <v>6</v>
      </c>
      <c r="I218" s="1">
        <v>8</v>
      </c>
      <c r="J218" s="1">
        <v>7</v>
      </c>
      <c r="K218" s="1">
        <v>8</v>
      </c>
      <c r="L218" s="1">
        <v>12</v>
      </c>
      <c r="M218" s="1">
        <v>10</v>
      </c>
      <c r="N218" s="1">
        <v>10</v>
      </c>
      <c r="O218" s="1">
        <v>13</v>
      </c>
      <c r="P218" s="1">
        <v>24</v>
      </c>
      <c r="Q218" s="1">
        <v>18</v>
      </c>
      <c r="R218" s="1">
        <v>12</v>
      </c>
      <c r="S218" s="1">
        <v>16</v>
      </c>
      <c r="T218" s="1">
        <v>28</v>
      </c>
      <c r="U218" s="1">
        <v>22</v>
      </c>
      <c r="V218" s="1">
        <v>18</v>
      </c>
      <c r="W218" s="1">
        <v>19</v>
      </c>
      <c r="X218" s="1">
        <v>29</v>
      </c>
      <c r="Y218" s="1">
        <v>22</v>
      </c>
    </row>
    <row r="219" spans="1:25" x14ac:dyDescent="0.3">
      <c r="A219" s="2">
        <v>44017</v>
      </c>
      <c r="B219" s="1">
        <v>7</v>
      </c>
      <c r="C219" s="1">
        <v>13</v>
      </c>
      <c r="D219" s="1">
        <v>14</v>
      </c>
      <c r="E219" s="1">
        <v>4</v>
      </c>
      <c r="F219" s="1">
        <v>7</v>
      </c>
      <c r="G219" s="1">
        <v>5</v>
      </c>
      <c r="H219" s="1">
        <v>8</v>
      </c>
      <c r="I219" s="1">
        <v>9</v>
      </c>
      <c r="J219" s="1">
        <v>7</v>
      </c>
      <c r="K219" s="1">
        <v>11</v>
      </c>
      <c r="L219" s="1">
        <v>11</v>
      </c>
      <c r="M219" s="1">
        <v>12</v>
      </c>
      <c r="N219" s="1">
        <v>16</v>
      </c>
      <c r="O219" s="1">
        <v>19</v>
      </c>
      <c r="P219" s="1">
        <v>22</v>
      </c>
      <c r="Q219" s="1">
        <v>29</v>
      </c>
      <c r="R219" s="1">
        <v>11</v>
      </c>
      <c r="S219" s="1">
        <v>20</v>
      </c>
      <c r="T219" s="1">
        <v>25</v>
      </c>
      <c r="U219" s="1">
        <v>14</v>
      </c>
      <c r="V219" s="1">
        <v>16</v>
      </c>
      <c r="W219" s="1">
        <v>17</v>
      </c>
      <c r="X219" s="1">
        <v>21</v>
      </c>
      <c r="Y219" s="1">
        <v>9</v>
      </c>
    </row>
    <row r="220" spans="1:25" x14ac:dyDescent="0.3">
      <c r="A220" s="2">
        <v>44018</v>
      </c>
      <c r="B220" s="1">
        <v>12</v>
      </c>
      <c r="C220" s="1">
        <v>12</v>
      </c>
      <c r="D220" s="1">
        <v>8</v>
      </c>
      <c r="E220" s="1">
        <v>4</v>
      </c>
      <c r="F220" s="1">
        <v>7</v>
      </c>
      <c r="G220" s="1">
        <v>5</v>
      </c>
      <c r="H220" s="1">
        <v>5</v>
      </c>
      <c r="I220" s="1">
        <v>12</v>
      </c>
      <c r="J220" s="1">
        <v>15</v>
      </c>
      <c r="K220" s="1">
        <v>20</v>
      </c>
      <c r="L220" s="1">
        <v>28</v>
      </c>
      <c r="M220" s="1">
        <v>20</v>
      </c>
      <c r="N220" s="1">
        <v>30</v>
      </c>
      <c r="O220" s="1">
        <v>36</v>
      </c>
      <c r="P220" s="1">
        <v>73</v>
      </c>
      <c r="Q220" s="1">
        <v>96</v>
      </c>
      <c r="R220" s="1">
        <v>31</v>
      </c>
      <c r="S220" s="1">
        <v>32</v>
      </c>
      <c r="T220" s="1">
        <v>20</v>
      </c>
      <c r="U220" s="1">
        <v>20</v>
      </c>
      <c r="V220" s="1">
        <v>15</v>
      </c>
      <c r="W220" s="1">
        <v>23</v>
      </c>
      <c r="X220" s="1">
        <v>15</v>
      </c>
      <c r="Y220" s="1">
        <v>8</v>
      </c>
    </row>
    <row r="221" spans="1:25" x14ac:dyDescent="0.3">
      <c r="A221" s="2">
        <v>44019</v>
      </c>
      <c r="B221" s="1">
        <v>3</v>
      </c>
      <c r="C221" s="1">
        <v>10</v>
      </c>
      <c r="D221" s="1">
        <v>4</v>
      </c>
      <c r="E221" s="1">
        <v>9</v>
      </c>
      <c r="F221" s="1">
        <v>6</v>
      </c>
      <c r="G221" s="1">
        <v>5</v>
      </c>
      <c r="H221" s="1">
        <v>5</v>
      </c>
      <c r="I221" s="1">
        <v>10</v>
      </c>
      <c r="J221" s="1">
        <v>18</v>
      </c>
      <c r="K221" s="1">
        <v>18</v>
      </c>
      <c r="L221" s="1">
        <v>18</v>
      </c>
      <c r="M221" s="1">
        <v>22</v>
      </c>
      <c r="N221" s="1">
        <v>23</v>
      </c>
      <c r="O221" s="1">
        <v>22</v>
      </c>
      <c r="P221" s="1">
        <v>19</v>
      </c>
      <c r="Q221" s="1">
        <v>22</v>
      </c>
      <c r="R221" s="1">
        <v>22</v>
      </c>
      <c r="S221" s="1">
        <v>14</v>
      </c>
      <c r="T221" s="1">
        <v>22</v>
      </c>
      <c r="U221" s="1">
        <v>17</v>
      </c>
      <c r="V221" s="1">
        <v>22</v>
      </c>
      <c r="W221" s="1">
        <v>17</v>
      </c>
      <c r="X221" s="1">
        <v>13</v>
      </c>
      <c r="Y221" s="1">
        <v>11</v>
      </c>
    </row>
    <row r="222" spans="1:25" x14ac:dyDescent="0.3">
      <c r="A222" s="2">
        <v>44020</v>
      </c>
      <c r="B222" s="1">
        <v>2</v>
      </c>
      <c r="C222" s="1">
        <v>6</v>
      </c>
      <c r="D222" s="1">
        <v>3</v>
      </c>
      <c r="E222" s="1">
        <v>7</v>
      </c>
      <c r="F222" s="1">
        <v>4</v>
      </c>
      <c r="G222" s="1">
        <v>8</v>
      </c>
      <c r="H222" s="1">
        <v>7</v>
      </c>
      <c r="I222" s="1">
        <v>12</v>
      </c>
      <c r="J222" s="1">
        <v>9</v>
      </c>
      <c r="K222" s="1">
        <v>22</v>
      </c>
      <c r="L222" s="1">
        <v>20</v>
      </c>
      <c r="M222" s="1">
        <v>28</v>
      </c>
      <c r="N222" s="1">
        <v>21</v>
      </c>
      <c r="O222" s="1">
        <v>16</v>
      </c>
      <c r="P222" s="1">
        <v>22</v>
      </c>
      <c r="Q222" s="1">
        <v>22</v>
      </c>
      <c r="R222" s="1">
        <v>25</v>
      </c>
      <c r="S222" s="1">
        <v>23</v>
      </c>
      <c r="T222" s="1">
        <v>18</v>
      </c>
      <c r="U222" s="1">
        <v>16</v>
      </c>
      <c r="V222" s="1">
        <v>10</v>
      </c>
      <c r="W222" s="1">
        <v>17</v>
      </c>
      <c r="X222" s="1">
        <v>13</v>
      </c>
      <c r="Y222" s="1">
        <v>4</v>
      </c>
    </row>
    <row r="223" spans="1:25" x14ac:dyDescent="0.3">
      <c r="A223" s="2">
        <v>44021</v>
      </c>
      <c r="B223" s="1">
        <v>8</v>
      </c>
      <c r="C223" s="1">
        <v>2</v>
      </c>
      <c r="D223" s="1">
        <v>3</v>
      </c>
      <c r="E223" s="1">
        <v>6</v>
      </c>
      <c r="F223" s="1">
        <v>7</v>
      </c>
      <c r="G223" s="1">
        <v>9</v>
      </c>
      <c r="H223" s="1">
        <v>11</v>
      </c>
      <c r="I223" s="1">
        <v>5</v>
      </c>
      <c r="J223" s="1">
        <v>10</v>
      </c>
      <c r="K223" s="1">
        <v>12</v>
      </c>
      <c r="L223" s="1">
        <v>19</v>
      </c>
      <c r="M223" s="1">
        <v>23</v>
      </c>
      <c r="N223" s="1">
        <v>26</v>
      </c>
      <c r="O223" s="1">
        <v>28</v>
      </c>
      <c r="P223" s="1">
        <v>27</v>
      </c>
      <c r="Q223" s="1">
        <v>23</v>
      </c>
      <c r="R223" s="1">
        <v>20</v>
      </c>
      <c r="S223" s="1">
        <v>41</v>
      </c>
      <c r="T223" s="1">
        <v>24</v>
      </c>
      <c r="U223" s="1">
        <v>25</v>
      </c>
      <c r="V223" s="1">
        <v>18</v>
      </c>
      <c r="W223" s="1">
        <v>10</v>
      </c>
      <c r="X223" s="1">
        <v>16</v>
      </c>
      <c r="Y223" s="1">
        <v>6</v>
      </c>
    </row>
    <row r="224" spans="1:25" x14ac:dyDescent="0.3">
      <c r="A224" s="2">
        <v>44022</v>
      </c>
      <c r="B224" s="1">
        <v>7</v>
      </c>
      <c r="C224" s="1">
        <v>5</v>
      </c>
      <c r="D224" s="1">
        <v>5</v>
      </c>
      <c r="E224" s="1">
        <v>5</v>
      </c>
      <c r="F224" s="1">
        <v>7</v>
      </c>
      <c r="G224" s="1">
        <v>15</v>
      </c>
      <c r="H224" s="1">
        <v>12</v>
      </c>
      <c r="I224" s="1">
        <v>14</v>
      </c>
      <c r="J224" s="1">
        <v>18</v>
      </c>
      <c r="K224" s="1">
        <v>22</v>
      </c>
      <c r="L224" s="1">
        <v>23</v>
      </c>
      <c r="M224" s="1">
        <v>26</v>
      </c>
      <c r="N224" s="1">
        <v>34</v>
      </c>
      <c r="O224" s="1">
        <v>42</v>
      </c>
      <c r="P224" s="1">
        <v>53</v>
      </c>
      <c r="Q224" s="1">
        <v>44</v>
      </c>
      <c r="R224" s="1">
        <v>27</v>
      </c>
      <c r="S224" s="1">
        <v>51</v>
      </c>
      <c r="T224" s="1">
        <v>35</v>
      </c>
      <c r="U224" s="1">
        <v>30</v>
      </c>
      <c r="V224" s="1">
        <v>16</v>
      </c>
      <c r="W224" s="1">
        <v>29</v>
      </c>
      <c r="X224" s="1">
        <v>19</v>
      </c>
      <c r="Y224" s="1">
        <v>7</v>
      </c>
    </row>
    <row r="225" spans="1:25" x14ac:dyDescent="0.3">
      <c r="A225" s="2">
        <v>44023</v>
      </c>
      <c r="B225" s="1">
        <v>9</v>
      </c>
      <c r="C225" s="1">
        <v>8</v>
      </c>
      <c r="D225" s="1">
        <v>4</v>
      </c>
      <c r="E225" s="1">
        <v>6</v>
      </c>
      <c r="F225" s="1">
        <v>8</v>
      </c>
      <c r="G225" s="1">
        <v>10</v>
      </c>
      <c r="H225" s="1">
        <v>7</v>
      </c>
      <c r="I225" s="1">
        <v>12</v>
      </c>
      <c r="J225" s="1">
        <v>11</v>
      </c>
      <c r="K225" s="1">
        <v>11</v>
      </c>
      <c r="L225" s="1">
        <v>17</v>
      </c>
      <c r="M225" s="1">
        <v>26</v>
      </c>
      <c r="N225" s="1">
        <v>28</v>
      </c>
      <c r="O225" s="1">
        <v>20</v>
      </c>
      <c r="P225" s="1">
        <v>15</v>
      </c>
      <c r="Q225" s="1">
        <v>30</v>
      </c>
      <c r="R225" s="1">
        <v>18</v>
      </c>
      <c r="S225" s="1">
        <v>22</v>
      </c>
      <c r="T225" s="1">
        <v>25</v>
      </c>
      <c r="U225" s="1">
        <v>23</v>
      </c>
      <c r="V225" s="1">
        <v>15</v>
      </c>
      <c r="W225" s="1">
        <v>11</v>
      </c>
      <c r="X225" s="1">
        <v>13</v>
      </c>
      <c r="Y225" s="1">
        <v>9</v>
      </c>
    </row>
    <row r="226" spans="1:25" x14ac:dyDescent="0.3">
      <c r="A226" s="2">
        <v>44024</v>
      </c>
      <c r="B226" s="1">
        <v>10</v>
      </c>
      <c r="C226" s="1">
        <v>7</v>
      </c>
      <c r="D226" s="1">
        <v>5</v>
      </c>
      <c r="E226" s="1">
        <v>10</v>
      </c>
      <c r="F226" s="1">
        <v>5</v>
      </c>
      <c r="G226" s="1">
        <v>9</v>
      </c>
      <c r="H226" s="1">
        <v>5</v>
      </c>
      <c r="I226" s="1">
        <v>12</v>
      </c>
      <c r="J226" s="1">
        <v>11</v>
      </c>
      <c r="K226" s="1">
        <v>22</v>
      </c>
      <c r="L226" s="1">
        <v>14</v>
      </c>
      <c r="M226" s="1">
        <v>9</v>
      </c>
      <c r="N226" s="1">
        <v>18</v>
      </c>
      <c r="O226" s="1">
        <v>17</v>
      </c>
      <c r="P226" s="1">
        <v>12</v>
      </c>
      <c r="Q226" s="1">
        <v>34</v>
      </c>
      <c r="R226" s="1">
        <v>12</v>
      </c>
      <c r="S226" s="1">
        <v>19</v>
      </c>
      <c r="T226" s="1">
        <v>24</v>
      </c>
      <c r="U226" s="1">
        <v>20</v>
      </c>
      <c r="V226" s="1">
        <v>15</v>
      </c>
      <c r="W226" s="1">
        <v>14</v>
      </c>
      <c r="X226" s="1">
        <v>10</v>
      </c>
      <c r="Y226" s="1">
        <v>11</v>
      </c>
    </row>
    <row r="227" spans="1:25" x14ac:dyDescent="0.3">
      <c r="A227" s="2">
        <v>44025</v>
      </c>
      <c r="B227" s="1">
        <v>2</v>
      </c>
      <c r="C227" s="1">
        <v>9</v>
      </c>
      <c r="D227" s="1">
        <v>4</v>
      </c>
      <c r="E227" s="1">
        <v>6</v>
      </c>
      <c r="F227" s="1">
        <v>3</v>
      </c>
      <c r="G227" s="1">
        <v>9</v>
      </c>
      <c r="H227" s="1">
        <v>9</v>
      </c>
      <c r="I227" s="1">
        <v>9</v>
      </c>
      <c r="J227" s="1">
        <v>22</v>
      </c>
      <c r="K227" s="1">
        <v>17</v>
      </c>
      <c r="L227" s="1">
        <v>29</v>
      </c>
      <c r="M227" s="1">
        <v>26</v>
      </c>
      <c r="N227" s="1">
        <v>22</v>
      </c>
      <c r="O227" s="1">
        <v>34</v>
      </c>
      <c r="P227" s="1">
        <v>20</v>
      </c>
      <c r="Q227" s="1">
        <v>22</v>
      </c>
      <c r="R227" s="1">
        <v>13</v>
      </c>
      <c r="S227" s="1">
        <v>18</v>
      </c>
      <c r="T227" s="1">
        <v>33</v>
      </c>
      <c r="U227" s="1">
        <v>18</v>
      </c>
      <c r="V227" s="1">
        <v>25</v>
      </c>
      <c r="W227" s="1">
        <v>15</v>
      </c>
      <c r="X227" s="1">
        <v>1</v>
      </c>
      <c r="Y227" s="1">
        <v>5</v>
      </c>
    </row>
    <row r="228" spans="1:25" x14ac:dyDescent="0.3">
      <c r="A228" s="2">
        <v>44026</v>
      </c>
      <c r="B228" s="1">
        <v>10</v>
      </c>
      <c r="C228" s="1">
        <v>9</v>
      </c>
      <c r="D228" s="1">
        <v>9</v>
      </c>
      <c r="E228" s="1">
        <v>4</v>
      </c>
      <c r="F228" s="1">
        <v>4</v>
      </c>
      <c r="G228" s="1">
        <v>4</v>
      </c>
      <c r="H228" s="1">
        <v>4</v>
      </c>
      <c r="I228" s="1">
        <v>10</v>
      </c>
      <c r="J228" s="1">
        <v>17</v>
      </c>
      <c r="K228" s="1">
        <v>20</v>
      </c>
      <c r="L228" s="1">
        <v>16</v>
      </c>
      <c r="M228" s="1">
        <v>27</v>
      </c>
      <c r="N228" s="1">
        <v>24</v>
      </c>
      <c r="O228" s="1">
        <v>19</v>
      </c>
      <c r="P228" s="1">
        <v>21</v>
      </c>
      <c r="Q228" s="1">
        <v>24</v>
      </c>
      <c r="R228" s="1">
        <v>18</v>
      </c>
      <c r="S228" s="1">
        <v>15</v>
      </c>
      <c r="T228" s="1">
        <v>24</v>
      </c>
      <c r="U228" s="1">
        <v>25</v>
      </c>
      <c r="V228" s="1">
        <v>17</v>
      </c>
      <c r="W228" s="1">
        <v>23</v>
      </c>
      <c r="X228" s="1">
        <v>7</v>
      </c>
      <c r="Y228" s="1">
        <v>8</v>
      </c>
    </row>
    <row r="229" spans="1:25" x14ac:dyDescent="0.3">
      <c r="A229" s="2">
        <v>44027</v>
      </c>
      <c r="B229" s="1">
        <v>6</v>
      </c>
      <c r="C229" s="1">
        <v>8</v>
      </c>
      <c r="D229" s="1">
        <v>6</v>
      </c>
      <c r="E229" s="1">
        <v>1</v>
      </c>
      <c r="F229" s="1">
        <v>2</v>
      </c>
      <c r="G229" s="1">
        <v>7</v>
      </c>
      <c r="H229" s="1">
        <v>7</v>
      </c>
      <c r="I229" s="1">
        <v>6</v>
      </c>
      <c r="J229" s="1">
        <v>14</v>
      </c>
      <c r="K229" s="1">
        <v>21</v>
      </c>
      <c r="L229" s="1">
        <v>26</v>
      </c>
      <c r="M229" s="1">
        <v>23</v>
      </c>
      <c r="N229" s="1">
        <v>15</v>
      </c>
      <c r="O229" s="1">
        <v>15</v>
      </c>
      <c r="P229" s="1">
        <v>20</v>
      </c>
      <c r="Q229" s="1">
        <v>11</v>
      </c>
      <c r="R229" s="1">
        <v>12</v>
      </c>
      <c r="S229" s="1">
        <v>16</v>
      </c>
      <c r="T229" s="1">
        <v>23</v>
      </c>
      <c r="U229" s="1">
        <v>16</v>
      </c>
      <c r="V229" s="1">
        <v>15</v>
      </c>
      <c r="W229" s="1">
        <v>10</v>
      </c>
      <c r="X229" s="1">
        <v>9</v>
      </c>
      <c r="Y229" s="1">
        <v>7</v>
      </c>
    </row>
    <row r="230" spans="1:25" x14ac:dyDescent="0.3">
      <c r="A230" s="2">
        <v>44028</v>
      </c>
      <c r="B230" s="1">
        <v>4</v>
      </c>
      <c r="C230" s="1">
        <v>4</v>
      </c>
      <c r="D230" s="1">
        <v>7</v>
      </c>
      <c r="E230" s="1">
        <v>4</v>
      </c>
      <c r="F230" s="1">
        <v>5</v>
      </c>
      <c r="G230" s="1">
        <v>3</v>
      </c>
      <c r="H230" s="1">
        <v>7</v>
      </c>
      <c r="I230" s="1">
        <v>14</v>
      </c>
      <c r="J230" s="1">
        <v>12</v>
      </c>
      <c r="K230" s="1">
        <v>25</v>
      </c>
      <c r="L230" s="1">
        <v>20</v>
      </c>
      <c r="M230" s="1">
        <v>19</v>
      </c>
      <c r="N230" s="1">
        <v>21</v>
      </c>
      <c r="O230" s="1">
        <v>23</v>
      </c>
      <c r="P230" s="1">
        <v>32</v>
      </c>
      <c r="Q230" s="1">
        <v>15</v>
      </c>
      <c r="R230" s="1">
        <v>18</v>
      </c>
      <c r="S230" s="1">
        <v>12</v>
      </c>
      <c r="T230" s="1">
        <v>16</v>
      </c>
      <c r="U230" s="1">
        <v>13</v>
      </c>
      <c r="V230" s="1">
        <v>12</v>
      </c>
      <c r="W230" s="1">
        <v>12</v>
      </c>
      <c r="X230" s="1">
        <v>12</v>
      </c>
      <c r="Y230" s="1">
        <v>4</v>
      </c>
    </row>
    <row r="231" spans="1:25" x14ac:dyDescent="0.3">
      <c r="A231" s="2">
        <v>44029</v>
      </c>
      <c r="B231" s="1">
        <v>8</v>
      </c>
      <c r="C231" s="1">
        <v>5</v>
      </c>
      <c r="D231" s="1">
        <v>5</v>
      </c>
      <c r="E231" s="1">
        <v>5</v>
      </c>
      <c r="F231" s="1">
        <v>6</v>
      </c>
      <c r="G231" s="1">
        <v>9</v>
      </c>
      <c r="H231" s="1">
        <v>7</v>
      </c>
      <c r="I231" s="1">
        <v>10</v>
      </c>
      <c r="J231" s="1">
        <v>16</v>
      </c>
      <c r="K231" s="1">
        <v>17</v>
      </c>
      <c r="L231" s="1">
        <v>20</v>
      </c>
      <c r="M231" s="1">
        <v>17</v>
      </c>
      <c r="N231" s="1">
        <v>23</v>
      </c>
      <c r="O231" s="1">
        <v>34</v>
      </c>
      <c r="P231" s="1">
        <v>25</v>
      </c>
      <c r="Q231" s="1">
        <v>20</v>
      </c>
      <c r="R231" s="1">
        <v>21</v>
      </c>
      <c r="S231" s="1">
        <v>26</v>
      </c>
      <c r="T231" s="1">
        <v>17</v>
      </c>
      <c r="U231" s="1">
        <v>13</v>
      </c>
      <c r="V231" s="1">
        <v>20</v>
      </c>
      <c r="W231" s="1">
        <v>13</v>
      </c>
      <c r="X231" s="1">
        <v>16</v>
      </c>
      <c r="Y231" s="1">
        <v>7</v>
      </c>
    </row>
    <row r="232" spans="1:25" x14ac:dyDescent="0.3">
      <c r="A232" s="2">
        <v>44030</v>
      </c>
      <c r="B232" s="1">
        <v>11</v>
      </c>
      <c r="C232" s="1">
        <v>10</v>
      </c>
      <c r="D232" s="1">
        <v>9</v>
      </c>
      <c r="E232" s="1">
        <v>7</v>
      </c>
      <c r="F232" s="1">
        <v>8</v>
      </c>
      <c r="G232" s="1">
        <v>8</v>
      </c>
      <c r="H232" s="1">
        <v>3</v>
      </c>
      <c r="I232" s="1">
        <v>12</v>
      </c>
      <c r="J232" s="1">
        <v>16</v>
      </c>
      <c r="K232" s="1">
        <v>15</v>
      </c>
      <c r="L232" s="1">
        <v>17</v>
      </c>
      <c r="M232" s="1">
        <v>15</v>
      </c>
      <c r="N232" s="1">
        <v>24</v>
      </c>
      <c r="O232" s="1">
        <v>26</v>
      </c>
      <c r="P232" s="1">
        <v>13</v>
      </c>
      <c r="Q232" s="1">
        <v>10</v>
      </c>
      <c r="R232" s="1">
        <v>23</v>
      </c>
      <c r="S232" s="1">
        <v>30</v>
      </c>
      <c r="T232" s="1">
        <v>16</v>
      </c>
      <c r="U232" s="1">
        <v>20</v>
      </c>
      <c r="V232" s="1">
        <v>11</v>
      </c>
      <c r="W232" s="1">
        <v>23</v>
      </c>
      <c r="X232" s="1">
        <v>10</v>
      </c>
      <c r="Y232" s="1">
        <v>6</v>
      </c>
    </row>
    <row r="233" spans="1:25" x14ac:dyDescent="0.3">
      <c r="A233" s="2">
        <v>44031</v>
      </c>
      <c r="B233" s="1">
        <v>12</v>
      </c>
      <c r="C233" s="1">
        <v>6</v>
      </c>
      <c r="D233" s="1">
        <v>6</v>
      </c>
      <c r="E233" s="1">
        <v>9</v>
      </c>
      <c r="F233" s="1">
        <v>8</v>
      </c>
      <c r="G233" s="1">
        <v>5</v>
      </c>
      <c r="H233" s="1">
        <v>2</v>
      </c>
      <c r="I233" s="1">
        <v>10</v>
      </c>
      <c r="J233" s="1">
        <v>7</v>
      </c>
      <c r="K233" s="1">
        <v>18</v>
      </c>
      <c r="L233" s="1">
        <v>19</v>
      </c>
      <c r="M233" s="1">
        <v>14</v>
      </c>
      <c r="N233" s="1">
        <v>25</v>
      </c>
      <c r="O233" s="1">
        <v>24</v>
      </c>
      <c r="P233" s="1">
        <v>16</v>
      </c>
      <c r="Q233" s="1">
        <v>20</v>
      </c>
      <c r="R233" s="1">
        <v>24</v>
      </c>
      <c r="S233" s="1">
        <v>19</v>
      </c>
      <c r="T233" s="1">
        <v>25</v>
      </c>
      <c r="U233" s="1">
        <v>19</v>
      </c>
      <c r="V233" s="1">
        <v>18</v>
      </c>
      <c r="W233" s="1">
        <v>16</v>
      </c>
      <c r="X233" s="1">
        <v>15</v>
      </c>
      <c r="Y233" s="1">
        <v>7</v>
      </c>
    </row>
    <row r="234" spans="1:25" x14ac:dyDescent="0.3">
      <c r="A234" s="2">
        <v>44032</v>
      </c>
      <c r="B234" s="1">
        <v>4</v>
      </c>
      <c r="C234" s="1">
        <v>4</v>
      </c>
      <c r="D234" s="1">
        <v>10</v>
      </c>
      <c r="E234" s="1">
        <v>3</v>
      </c>
      <c r="F234" s="1">
        <v>3</v>
      </c>
      <c r="G234" s="1">
        <v>5</v>
      </c>
      <c r="H234" s="1">
        <v>7</v>
      </c>
      <c r="I234" s="1">
        <v>11</v>
      </c>
      <c r="J234" s="1">
        <v>7</v>
      </c>
      <c r="K234" s="1">
        <v>22</v>
      </c>
      <c r="L234" s="1">
        <v>16</v>
      </c>
      <c r="M234" s="1">
        <v>19</v>
      </c>
      <c r="N234" s="1">
        <v>16</v>
      </c>
      <c r="O234" s="1">
        <v>22</v>
      </c>
      <c r="P234" s="1">
        <v>23</v>
      </c>
      <c r="Q234" s="1">
        <v>25</v>
      </c>
      <c r="R234" s="1">
        <v>22</v>
      </c>
      <c r="S234" s="1">
        <v>17</v>
      </c>
      <c r="T234" s="1">
        <v>21</v>
      </c>
      <c r="U234" s="1">
        <v>16</v>
      </c>
      <c r="V234" s="1">
        <v>20</v>
      </c>
      <c r="W234" s="1">
        <v>14</v>
      </c>
      <c r="X234" s="1">
        <v>8</v>
      </c>
      <c r="Y234" s="1">
        <v>8</v>
      </c>
    </row>
    <row r="235" spans="1:25" x14ac:dyDescent="0.3">
      <c r="A235" s="2">
        <v>44033</v>
      </c>
      <c r="B235" s="1">
        <v>9</v>
      </c>
      <c r="C235" s="1">
        <v>8</v>
      </c>
      <c r="D235" s="1">
        <v>6</v>
      </c>
      <c r="E235" s="1">
        <v>2</v>
      </c>
      <c r="F235" s="1">
        <v>5</v>
      </c>
      <c r="G235" s="1">
        <v>4</v>
      </c>
      <c r="H235" s="1">
        <v>9</v>
      </c>
      <c r="I235" s="1">
        <v>10</v>
      </c>
      <c r="J235" s="1">
        <v>18</v>
      </c>
      <c r="K235" s="1">
        <v>21</v>
      </c>
      <c r="L235" s="1">
        <v>15</v>
      </c>
      <c r="M235" s="1">
        <v>22</v>
      </c>
      <c r="N235" s="1">
        <v>22</v>
      </c>
      <c r="O235" s="1">
        <v>25</v>
      </c>
      <c r="P235" s="1">
        <v>16</v>
      </c>
      <c r="Q235" s="1">
        <v>18</v>
      </c>
      <c r="R235" s="1">
        <v>24</v>
      </c>
      <c r="S235" s="1">
        <v>22</v>
      </c>
      <c r="T235" s="1">
        <v>26</v>
      </c>
      <c r="U235" s="1">
        <v>24</v>
      </c>
      <c r="V235" s="1">
        <v>17</v>
      </c>
      <c r="W235" s="1">
        <v>15</v>
      </c>
      <c r="X235" s="1">
        <v>17</v>
      </c>
      <c r="Y235" s="1">
        <v>13</v>
      </c>
    </row>
    <row r="236" spans="1:25" x14ac:dyDescent="0.3">
      <c r="A236" s="2">
        <v>44034</v>
      </c>
      <c r="B236" s="1">
        <v>4</v>
      </c>
      <c r="C236" s="1">
        <v>9</v>
      </c>
      <c r="D236" s="1">
        <v>4</v>
      </c>
      <c r="E236" s="1">
        <v>3</v>
      </c>
      <c r="F236" s="1">
        <v>9</v>
      </c>
      <c r="G236" s="1">
        <v>13</v>
      </c>
      <c r="H236" s="1">
        <v>13</v>
      </c>
      <c r="I236" s="1">
        <v>13</v>
      </c>
      <c r="J236" s="1">
        <v>17</v>
      </c>
      <c r="K236" s="1">
        <v>14</v>
      </c>
      <c r="L236" s="1">
        <v>25</v>
      </c>
      <c r="M236" s="1">
        <v>19</v>
      </c>
      <c r="N236" s="1">
        <v>24</v>
      </c>
      <c r="O236" s="1">
        <v>35</v>
      </c>
      <c r="P236" s="1">
        <v>32</v>
      </c>
      <c r="Q236" s="1">
        <v>17</v>
      </c>
      <c r="R236" s="1">
        <v>18</v>
      </c>
      <c r="S236" s="1">
        <v>44</v>
      </c>
      <c r="T236" s="1">
        <v>29</v>
      </c>
      <c r="U236" s="1">
        <v>24</v>
      </c>
      <c r="V236" s="1">
        <v>15</v>
      </c>
      <c r="W236" s="1">
        <v>10</v>
      </c>
      <c r="X236" s="1">
        <v>19</v>
      </c>
      <c r="Y236" s="1">
        <v>21</v>
      </c>
    </row>
    <row r="237" spans="1:25" x14ac:dyDescent="0.3">
      <c r="A237" s="2">
        <v>44035</v>
      </c>
      <c r="B237" s="1">
        <v>2</v>
      </c>
      <c r="C237" s="1">
        <v>6</v>
      </c>
      <c r="D237" s="1">
        <v>3</v>
      </c>
      <c r="E237" s="1">
        <v>6</v>
      </c>
      <c r="F237" s="1">
        <v>2</v>
      </c>
      <c r="G237" s="1">
        <v>7</v>
      </c>
      <c r="H237" s="1">
        <v>11</v>
      </c>
      <c r="I237" s="1">
        <v>11</v>
      </c>
      <c r="J237" s="1">
        <v>16</v>
      </c>
      <c r="K237" s="1">
        <v>26</v>
      </c>
      <c r="L237" s="1">
        <v>18</v>
      </c>
      <c r="M237" s="1">
        <v>18</v>
      </c>
      <c r="N237" s="1">
        <v>29</v>
      </c>
      <c r="O237" s="1">
        <v>27</v>
      </c>
      <c r="P237" s="1">
        <v>26</v>
      </c>
      <c r="Q237" s="1">
        <v>39</v>
      </c>
      <c r="R237" s="1">
        <v>27</v>
      </c>
      <c r="S237" s="1">
        <v>21</v>
      </c>
      <c r="T237" s="1">
        <v>25</v>
      </c>
      <c r="U237" s="1">
        <v>24</v>
      </c>
      <c r="V237" s="1">
        <v>16</v>
      </c>
      <c r="W237" s="1">
        <v>13</v>
      </c>
      <c r="X237" s="1">
        <v>8</v>
      </c>
      <c r="Y237" s="1">
        <v>5</v>
      </c>
    </row>
    <row r="238" spans="1:25" x14ac:dyDescent="0.3">
      <c r="A238" s="2">
        <v>44036</v>
      </c>
      <c r="B238" s="1">
        <v>6</v>
      </c>
      <c r="C238" s="1">
        <v>6</v>
      </c>
      <c r="D238" s="1">
        <v>5</v>
      </c>
      <c r="E238" s="1">
        <v>3</v>
      </c>
      <c r="F238" s="1">
        <v>13</v>
      </c>
      <c r="G238" s="1">
        <v>1</v>
      </c>
      <c r="H238" s="1">
        <v>11</v>
      </c>
      <c r="I238" s="1">
        <v>12</v>
      </c>
      <c r="J238" s="1">
        <v>8</v>
      </c>
      <c r="K238" s="1">
        <v>16</v>
      </c>
      <c r="L238" s="1">
        <v>21</v>
      </c>
      <c r="M238" s="1">
        <v>36</v>
      </c>
      <c r="N238" s="1">
        <v>14</v>
      </c>
      <c r="O238" s="1">
        <v>19</v>
      </c>
      <c r="P238" s="1">
        <v>38</v>
      </c>
      <c r="Q238" s="1">
        <v>21</v>
      </c>
      <c r="R238" s="1">
        <v>26</v>
      </c>
      <c r="S238" s="1">
        <v>14</v>
      </c>
      <c r="T238" s="1">
        <v>20</v>
      </c>
      <c r="U238" s="1">
        <v>16</v>
      </c>
      <c r="V238" s="1">
        <v>10</v>
      </c>
      <c r="W238" s="1">
        <v>12</v>
      </c>
      <c r="X238" s="1">
        <v>14</v>
      </c>
      <c r="Y238" s="1">
        <v>6</v>
      </c>
    </row>
    <row r="239" spans="1:25" x14ac:dyDescent="0.3">
      <c r="A239" s="2">
        <v>44037</v>
      </c>
      <c r="B239" s="1">
        <v>16</v>
      </c>
      <c r="C239" s="1">
        <v>8</v>
      </c>
      <c r="D239" s="1">
        <v>2</v>
      </c>
      <c r="E239" s="1">
        <v>8</v>
      </c>
      <c r="F239" s="1">
        <v>3</v>
      </c>
      <c r="G239" s="1">
        <v>6</v>
      </c>
      <c r="H239" s="1">
        <v>5</v>
      </c>
      <c r="I239" s="1">
        <v>7</v>
      </c>
      <c r="J239" s="1">
        <v>14</v>
      </c>
      <c r="K239" s="1">
        <v>14</v>
      </c>
      <c r="L239" s="1">
        <v>21</v>
      </c>
      <c r="M239" s="1">
        <v>24</v>
      </c>
      <c r="N239" s="1">
        <v>19</v>
      </c>
      <c r="O239" s="1">
        <v>14</v>
      </c>
      <c r="P239" s="1">
        <v>19</v>
      </c>
      <c r="Q239" s="1">
        <v>23</v>
      </c>
      <c r="R239" s="1">
        <v>28</v>
      </c>
      <c r="S239" s="1">
        <v>18</v>
      </c>
      <c r="T239" s="1">
        <v>15</v>
      </c>
      <c r="U239" s="1">
        <v>13</v>
      </c>
      <c r="V239" s="1">
        <v>10</v>
      </c>
      <c r="W239" s="1">
        <v>12</v>
      </c>
      <c r="X239" s="1">
        <v>10</v>
      </c>
      <c r="Y239" s="1">
        <v>9</v>
      </c>
    </row>
    <row r="240" spans="1:25" x14ac:dyDescent="0.3">
      <c r="A240" s="2">
        <v>44038</v>
      </c>
      <c r="B240" s="1">
        <v>6</v>
      </c>
      <c r="C240" s="1">
        <v>7</v>
      </c>
      <c r="D240" s="1">
        <v>8</v>
      </c>
      <c r="E240" s="1">
        <v>8</v>
      </c>
      <c r="F240" s="1">
        <v>6</v>
      </c>
      <c r="G240" s="1">
        <v>3</v>
      </c>
      <c r="H240" s="1">
        <v>7</v>
      </c>
      <c r="I240" s="1">
        <v>6</v>
      </c>
      <c r="J240" s="1">
        <v>13</v>
      </c>
      <c r="K240" s="1">
        <v>16</v>
      </c>
      <c r="L240" s="1">
        <v>14</v>
      </c>
      <c r="M240" s="1">
        <v>22</v>
      </c>
      <c r="N240" s="1">
        <v>16</v>
      </c>
      <c r="O240" s="1">
        <v>14</v>
      </c>
      <c r="P240" s="1">
        <v>26</v>
      </c>
      <c r="Q240" s="1">
        <v>13</v>
      </c>
      <c r="R240" s="1">
        <v>12</v>
      </c>
      <c r="S240" s="1">
        <v>19</v>
      </c>
      <c r="T240" s="1">
        <v>18</v>
      </c>
      <c r="U240" s="1">
        <v>14</v>
      </c>
      <c r="V240" s="1">
        <v>20</v>
      </c>
      <c r="W240" s="1">
        <v>15</v>
      </c>
      <c r="X240" s="1">
        <v>8</v>
      </c>
      <c r="Y240" s="1">
        <v>5</v>
      </c>
    </row>
    <row r="241" spans="1:25" x14ac:dyDescent="0.3">
      <c r="A241" s="2">
        <v>44039</v>
      </c>
      <c r="B241" s="1">
        <v>11</v>
      </c>
      <c r="C241" s="1">
        <v>7</v>
      </c>
      <c r="D241" s="1">
        <v>4</v>
      </c>
      <c r="E241" s="1">
        <v>3</v>
      </c>
      <c r="F241" s="1">
        <v>4</v>
      </c>
      <c r="G241" s="1">
        <v>10</v>
      </c>
      <c r="H241" s="1">
        <v>8</v>
      </c>
      <c r="I241" s="1">
        <v>14</v>
      </c>
      <c r="J241" s="1">
        <v>10</v>
      </c>
      <c r="K241" s="1">
        <v>14</v>
      </c>
      <c r="L241" s="1">
        <v>30</v>
      </c>
      <c r="M241" s="1">
        <v>12</v>
      </c>
      <c r="N241" s="1">
        <v>14</v>
      </c>
      <c r="O241" s="1">
        <v>25</v>
      </c>
      <c r="P241" s="1">
        <v>20</v>
      </c>
      <c r="Q241" s="1">
        <v>20</v>
      </c>
      <c r="R241" s="1">
        <v>19</v>
      </c>
      <c r="S241" s="1">
        <v>15</v>
      </c>
      <c r="T241" s="1">
        <v>15</v>
      </c>
      <c r="U241" s="1">
        <v>10</v>
      </c>
      <c r="V241" s="1">
        <v>35</v>
      </c>
      <c r="W241" s="1">
        <v>13</v>
      </c>
      <c r="X241" s="1">
        <v>8</v>
      </c>
      <c r="Y241" s="1">
        <v>8</v>
      </c>
    </row>
    <row r="242" spans="1:25" x14ac:dyDescent="0.3">
      <c r="A242" s="2">
        <v>44040</v>
      </c>
      <c r="B242" s="1">
        <v>6</v>
      </c>
      <c r="C242" s="1">
        <v>4</v>
      </c>
      <c r="D242" s="1">
        <v>3</v>
      </c>
      <c r="E242" s="1">
        <v>8</v>
      </c>
      <c r="F242" s="1">
        <v>7</v>
      </c>
      <c r="G242" s="1">
        <v>8</v>
      </c>
      <c r="H242" s="1">
        <v>13</v>
      </c>
      <c r="I242" s="1">
        <v>17</v>
      </c>
      <c r="J242" s="1">
        <v>32</v>
      </c>
      <c r="K242" s="1">
        <v>20</v>
      </c>
      <c r="L242" s="1">
        <v>23</v>
      </c>
      <c r="M242" s="1">
        <v>24</v>
      </c>
      <c r="N242" s="1">
        <v>28</v>
      </c>
      <c r="O242" s="1">
        <v>19</v>
      </c>
      <c r="P242" s="1">
        <v>22</v>
      </c>
      <c r="Q242" s="1">
        <v>17</v>
      </c>
      <c r="R242" s="1">
        <v>31</v>
      </c>
      <c r="S242" s="1">
        <v>16</v>
      </c>
      <c r="T242" s="1">
        <v>13</v>
      </c>
      <c r="U242" s="1">
        <v>16</v>
      </c>
      <c r="V242" s="1">
        <v>8</v>
      </c>
      <c r="W242" s="1">
        <v>13</v>
      </c>
      <c r="X242" s="1">
        <v>13</v>
      </c>
      <c r="Y242" s="1">
        <v>9</v>
      </c>
    </row>
    <row r="243" spans="1:25" x14ac:dyDescent="0.3">
      <c r="A243" s="2"/>
    </row>
    <row r="244" spans="1:25" x14ac:dyDescent="0.3">
      <c r="A244" s="2"/>
    </row>
    <row r="245" spans="1:25" x14ac:dyDescent="0.3">
      <c r="A245" s="2"/>
    </row>
    <row r="246" spans="1:25" x14ac:dyDescent="0.3">
      <c r="A246" s="2"/>
    </row>
    <row r="247" spans="1:25" x14ac:dyDescent="0.3">
      <c r="A247" s="2"/>
    </row>
    <row r="248" spans="1:25" x14ac:dyDescent="0.3">
      <c r="A248" s="2"/>
    </row>
    <row r="249" spans="1:25" x14ac:dyDescent="0.3">
      <c r="A249" s="2"/>
    </row>
    <row r="250" spans="1:25" x14ac:dyDescent="0.3">
      <c r="A250" s="2"/>
    </row>
    <row r="251" spans="1:25" x14ac:dyDescent="0.3">
      <c r="A251" s="2"/>
    </row>
    <row r="252" spans="1:25" x14ac:dyDescent="0.3">
      <c r="A252" s="2"/>
    </row>
    <row r="253" spans="1:25" x14ac:dyDescent="0.3">
      <c r="A253" s="2"/>
    </row>
    <row r="254" spans="1:25" x14ac:dyDescent="0.3">
      <c r="A254" s="2"/>
    </row>
    <row r="255" spans="1:25" x14ac:dyDescent="0.3">
      <c r="A255" s="2"/>
    </row>
    <row r="256" spans="1:25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98"/>
  <sheetViews>
    <sheetView zoomScale="70" zoomScaleNormal="70" workbookViewId="0">
      <selection activeCell="B21" sqref="B21"/>
    </sheetView>
  </sheetViews>
  <sheetFormatPr defaultRowHeight="14" x14ac:dyDescent="0.3"/>
  <cols>
    <col min="1" max="1" width="18.4140625" customWidth="1"/>
    <col min="2" max="2" width="11.5" customWidth="1"/>
    <col min="3" max="3" width="14.1640625" customWidth="1"/>
    <col min="4" max="4" width="11.5" customWidth="1"/>
    <col min="5" max="5" width="14.1640625" customWidth="1"/>
    <col min="6" max="6" width="11.5" customWidth="1"/>
    <col min="7" max="7" width="14.1640625" customWidth="1"/>
    <col min="8" max="8" width="11.5" customWidth="1"/>
    <col min="9" max="9" width="14.1640625" customWidth="1"/>
    <col min="10" max="10" width="11.5" customWidth="1"/>
    <col min="11" max="11" width="14.1640625" customWidth="1"/>
    <col min="12" max="12" width="11.5" customWidth="1"/>
    <col min="13" max="13" width="14.1640625" customWidth="1"/>
    <col min="14" max="14" width="11.5" customWidth="1"/>
    <col min="15" max="15" width="14.1640625" customWidth="1"/>
    <col min="16" max="25" width="5.58203125" customWidth="1"/>
  </cols>
  <sheetData>
    <row r="1" spans="1:15" x14ac:dyDescent="0.3">
      <c r="A1" s="9"/>
      <c r="B1" s="10" t="s">
        <v>8</v>
      </c>
      <c r="C1" s="10" t="s">
        <v>9</v>
      </c>
      <c r="D1" s="10" t="s">
        <v>10</v>
      </c>
      <c r="E1" s="10" t="s">
        <v>11</v>
      </c>
      <c r="F1" s="10" t="s">
        <v>12</v>
      </c>
      <c r="G1" s="10" t="s">
        <v>13</v>
      </c>
      <c r="H1" s="10" t="s">
        <v>14</v>
      </c>
      <c r="I1" s="10" t="s">
        <v>15</v>
      </c>
      <c r="J1" s="10" t="s">
        <v>16</v>
      </c>
      <c r="K1" s="11" t="s">
        <v>17</v>
      </c>
      <c r="L1" s="1"/>
      <c r="M1" s="1"/>
      <c r="N1" s="1"/>
      <c r="O1" s="1"/>
    </row>
    <row r="2" spans="1:15" x14ac:dyDescent="0.3">
      <c r="A2" s="12" t="s">
        <v>18</v>
      </c>
      <c r="B2" s="1">
        <v>3</v>
      </c>
      <c r="C2" s="1">
        <v>3</v>
      </c>
      <c r="D2" s="1">
        <v>6</v>
      </c>
      <c r="E2" s="1">
        <v>6</v>
      </c>
      <c r="F2" s="1">
        <v>9</v>
      </c>
      <c r="G2" s="1">
        <v>9</v>
      </c>
      <c r="H2" s="1">
        <v>12</v>
      </c>
      <c r="I2" s="1">
        <v>12</v>
      </c>
      <c r="J2" s="1">
        <v>15</v>
      </c>
      <c r="K2" s="13">
        <v>15</v>
      </c>
      <c r="L2" s="1"/>
      <c r="M2" s="1"/>
      <c r="N2" s="1"/>
      <c r="O2" s="1"/>
    </row>
    <row r="3" spans="1:15" x14ac:dyDescent="0.3">
      <c r="A3" s="12">
        <v>0</v>
      </c>
      <c r="B3" s="14">
        <f>1-_xlfn.BETA.DIST(VLOOKUP($A3,NB_p!$A$2:$G$25,3,FALSE),VLOOKUP($A3,NB_r!$A$2:$G$25,3,FALSE),B$2,TRUE)</f>
        <v>0.81271186081119584</v>
      </c>
      <c r="C3" s="14">
        <f>COUNTIF(INDEX($B$33:$Y$397,0,MATCH($A3,$B$32:$Y$32,0)),"&gt;="&amp;C$2)/ROWS($A$33:$A$397)</f>
        <v>0.96986301369863015</v>
      </c>
      <c r="D3" s="14">
        <f>1-_xlfn.BETA.DIST(VLOOKUP($A3,NB_p!$A$2:$G$25,3,FALSE),VLOOKUP($A3,NB_r!$A$2:$G$25,3,FALSE),D$2,TRUE)</f>
        <v>0.5946688260314682</v>
      </c>
      <c r="E3" s="14">
        <f>COUNTIF(INDEX($B$33:$Y$397,0,MATCH($A3,$B$32:$Y$32,0)),"&gt;="&amp;E$2)/ROWS($A$33:$A$397)</f>
        <v>0.76712328767123283</v>
      </c>
      <c r="F3" s="14">
        <f>1-_xlfn.BETA.DIST(VLOOKUP($A3,NB_p!$A$2:$G$25,3,FALSE),VLOOKUP($A3,NB_r!$A$2:$G$25,3,FALSE),F$2,TRUE)</f>
        <v>0.41489889919968537</v>
      </c>
      <c r="G3" s="14">
        <f>COUNTIF(INDEX($B$33:$Y$397,0,MATCH($A3,$B$32:$Y$32,0)),"&gt;="&amp;G$2)/ROWS($A$33:$A$397)</f>
        <v>0.45479452054794522</v>
      </c>
      <c r="H3" s="14">
        <f>1-_xlfn.BETA.DIST(VLOOKUP($A3,NB_p!$A$2:$G$25,3,FALSE),VLOOKUP($A3,NB_r!$A$2:$G$25,3,FALSE),H$2,TRUE)</f>
        <v>0.28142586802598402</v>
      </c>
      <c r="I3" s="14">
        <f>COUNTIF(INDEX($B$33:$Y$397,0,MATCH($A3,$B$32:$Y$32,0)),"&gt;="&amp;I$2)/ROWS($A$33:$A$397)</f>
        <v>0.20547945205479451</v>
      </c>
      <c r="J3" s="14">
        <f>1-_xlfn.BETA.DIST(VLOOKUP($A3,NB_p!$A$2:$G$25,3,FALSE),VLOOKUP($A3,NB_r!$A$2:$G$25,3,FALSE),J$2,TRUE)</f>
        <v>0.18732881103339338</v>
      </c>
      <c r="K3" s="14">
        <f>COUNTIF(INDEX($B$33:$Y$397,0,MATCH($A3,$B$32:$Y$32,0)),"&gt;="&amp;K$2)/ROWS($A$33:$A$397)</f>
        <v>8.4931506849315067E-2</v>
      </c>
      <c r="L3" s="1"/>
      <c r="M3" s="1"/>
      <c r="N3" s="1"/>
      <c r="O3" s="1"/>
    </row>
    <row r="4" spans="1:15" x14ac:dyDescent="0.3">
      <c r="A4" s="12">
        <v>1</v>
      </c>
      <c r="B4" s="14">
        <f>1-_xlfn.BETA.DIST(VLOOKUP($A4,NB_p!$A$2:$G$25,3,FALSE),VLOOKUP($A4,NB_r!$A$2:$G$25,3,FALSE),B$2,TRUE)</f>
        <v>0.84308208005511842</v>
      </c>
      <c r="C4" s="14">
        <f>COUNTIF(INDEX($B$33:$Y$397,0,MATCH($A4,$B$32:$Y$32,0)),"&gt;="&amp;C$2)/ROWS($A$33:$A$397)</f>
        <v>0.96438356164383565</v>
      </c>
      <c r="D4" s="14">
        <f>1-_xlfn.BETA.DIST(VLOOKUP($A4,NB_p!$A$2:$G$25,3,FALSE),VLOOKUP($A4,NB_r!$A$2:$G$25,3,FALSE),D$2,TRUE)</f>
        <v>0.56896196818177391</v>
      </c>
      <c r="E4" s="14">
        <f t="shared" ref="C4:K10" si="0">COUNTIF(INDEX($B$33:$Y$397,0,MATCH($A4,$B$32:$Y$32,0)),"&gt;="&amp;E$2)/ROWS($A$33:$A$397)</f>
        <v>0.64657534246575343</v>
      </c>
      <c r="F4" s="14">
        <f>1-_xlfn.BETA.DIST(VLOOKUP($A4,NB_p!$A$2:$G$25,3,FALSE),VLOOKUP($A4,NB_r!$A$2:$G$25,3,FALSE),F$2,TRUE)</f>
        <v>0.33374107409052134</v>
      </c>
      <c r="G4" s="14">
        <f t="shared" si="0"/>
        <v>0.27123287671232876</v>
      </c>
      <c r="H4" s="14">
        <f>1-_xlfn.BETA.DIST(VLOOKUP($A4,NB_p!$A$2:$G$25,3,FALSE),VLOOKUP($A4,NB_r!$A$2:$G$25,3,FALSE),H$2,TRUE)</f>
        <v>0.17886272531722247</v>
      </c>
      <c r="I4" s="14">
        <f t="shared" si="0"/>
        <v>0.10410958904109589</v>
      </c>
      <c r="J4" s="14">
        <f>1-_xlfn.BETA.DIST(VLOOKUP($A4,NB_p!$A$2:$G$25,3,FALSE),VLOOKUP($A4,NB_r!$A$2:$G$25,3,FALSE),J$2,TRUE)</f>
        <v>9.0096919249871288E-2</v>
      </c>
      <c r="K4" s="14">
        <f t="shared" si="0"/>
        <v>3.5616438356164383E-2</v>
      </c>
      <c r="L4" s="1"/>
      <c r="M4" s="1"/>
      <c r="N4" s="1"/>
      <c r="O4" s="1"/>
    </row>
    <row r="5" spans="1:15" x14ac:dyDescent="0.3">
      <c r="A5" s="12">
        <v>2</v>
      </c>
      <c r="B5" s="14">
        <f>1-_xlfn.BETA.DIST(VLOOKUP($A5,NB_p!$A$2:$G$25,3,FALSE),VLOOKUP($A5,NB_r!$A$2:$G$25,3,FALSE),B$2,TRUE)</f>
        <v>0.90663478709900192</v>
      </c>
      <c r="C5" s="14">
        <f t="shared" si="0"/>
        <v>0.93150684931506844</v>
      </c>
      <c r="D5" s="14">
        <f>1-_xlfn.BETA.DIST(VLOOKUP($A5,NB_p!$A$2:$G$25,3,FALSE),VLOOKUP($A5,NB_r!$A$2:$G$25,3,FALSE),D$2,TRUE)</f>
        <v>0.57702076777602729</v>
      </c>
      <c r="E5" s="14">
        <f t="shared" si="0"/>
        <v>0.56712328767123288</v>
      </c>
      <c r="F5" s="14">
        <f>1-_xlfn.BETA.DIST(VLOOKUP($A5,NB_p!$A$2:$G$25,3,FALSE),VLOOKUP($A5,NB_r!$A$2:$G$25,3,FALSE),F$2,TRUE)</f>
        <v>0.25075042258946367</v>
      </c>
      <c r="G5" s="14">
        <f t="shared" si="0"/>
        <v>0.22191780821917809</v>
      </c>
      <c r="H5" s="14">
        <f>1-_xlfn.BETA.DIST(VLOOKUP($A5,NB_p!$A$2:$G$25,3,FALSE),VLOOKUP($A5,NB_r!$A$2:$G$25,3,FALSE),H$2,TRUE)</f>
        <v>8.0893896459861003E-2</v>
      </c>
      <c r="I5" s="14">
        <f t="shared" si="0"/>
        <v>7.6712328767123292E-2</v>
      </c>
      <c r="J5" s="14">
        <f>1-_xlfn.BETA.DIST(VLOOKUP($A5,NB_p!$A$2:$G$25,3,FALSE),VLOOKUP($A5,NB_r!$A$2:$G$25,3,FALSE),J$2,TRUE)</f>
        <v>2.0905351360275715E-2</v>
      </c>
      <c r="K5" s="14">
        <f t="shared" si="0"/>
        <v>2.4657534246575342E-2</v>
      </c>
      <c r="L5" s="1"/>
      <c r="M5" s="1"/>
      <c r="N5" s="1"/>
      <c r="O5" s="1"/>
    </row>
    <row r="6" spans="1:15" x14ac:dyDescent="0.3">
      <c r="A6" s="12">
        <v>3</v>
      </c>
      <c r="B6" s="14">
        <f>1-_xlfn.BETA.DIST(VLOOKUP($A6,NB_p!$A$2:$G$25,3,FALSE),VLOOKUP($A6,NB_r!$A$2:$G$25,3,FALSE),B$2,TRUE)</f>
        <v>0.88861999469479813</v>
      </c>
      <c r="C6" s="14">
        <f t="shared" si="0"/>
        <v>0.89863013698630134</v>
      </c>
      <c r="D6" s="14">
        <f>1-_xlfn.BETA.DIST(VLOOKUP($A6,NB_p!$A$2:$G$25,3,FALSE),VLOOKUP($A6,NB_r!$A$2:$G$25,3,FALSE),D$2,TRUE)</f>
        <v>0.50059582957157822</v>
      </c>
      <c r="E6" s="14">
        <f t="shared" si="0"/>
        <v>0.49315068493150682</v>
      </c>
      <c r="F6" s="14">
        <f>1-_xlfn.BETA.DIST(VLOOKUP($A6,NB_p!$A$2:$G$25,3,FALSE),VLOOKUP($A6,NB_r!$A$2:$G$25,3,FALSE),F$2,TRUE)</f>
        <v>0.17075939620622271</v>
      </c>
      <c r="G6" s="14">
        <f t="shared" si="0"/>
        <v>0.17808219178082191</v>
      </c>
      <c r="H6" s="14">
        <f>1-_xlfn.BETA.DIST(VLOOKUP($A6,NB_p!$A$2:$G$25,3,FALSE),VLOOKUP($A6,NB_r!$A$2:$G$25,3,FALSE),H$2,TRUE)</f>
        <v>3.9295374363302882E-2</v>
      </c>
      <c r="I6" s="14">
        <f t="shared" si="0"/>
        <v>3.287671232876712E-2</v>
      </c>
      <c r="J6" s="14">
        <f>1-_xlfn.BETA.DIST(VLOOKUP($A6,NB_p!$A$2:$G$25,3,FALSE),VLOOKUP($A6,NB_r!$A$2:$G$25,3,FALSE),J$2,TRUE)</f>
        <v>6.7339756122402061E-3</v>
      </c>
      <c r="K6" s="14">
        <f t="shared" si="0"/>
        <v>1.0958904109589041E-2</v>
      </c>
      <c r="L6" s="1"/>
      <c r="M6" s="1"/>
      <c r="N6" s="1"/>
      <c r="O6" s="1"/>
    </row>
    <row r="7" spans="1:15" x14ac:dyDescent="0.3">
      <c r="A7" s="12">
        <v>4</v>
      </c>
      <c r="B7" s="14">
        <f>1-_xlfn.BETA.DIST(VLOOKUP($A7,NB_p!$A$2:$G$25,3,FALSE),VLOOKUP($A7,NB_r!$A$2:$G$25,3,FALSE),B$2,TRUE)</f>
        <v>0.82764130608943565</v>
      </c>
      <c r="C7" s="14">
        <f t="shared" si="0"/>
        <v>0.88219178082191785</v>
      </c>
      <c r="D7" s="14">
        <f>1-_xlfn.BETA.DIST(VLOOKUP($A7,NB_p!$A$2:$G$25,3,FALSE),VLOOKUP($A7,NB_r!$A$2:$G$25,3,FALSE),D$2,TRUE)</f>
        <v>0.42842336400231296</v>
      </c>
      <c r="E7" s="14">
        <f t="shared" si="0"/>
        <v>0.39178082191780822</v>
      </c>
      <c r="F7" s="14">
        <f>1-_xlfn.BETA.DIST(VLOOKUP($A7,NB_p!$A$2:$G$25,3,FALSE),VLOOKUP($A7,NB_r!$A$2:$G$25,3,FALSE),F$2,TRUE)</f>
        <v>0.14984662880011324</v>
      </c>
      <c r="G7" s="14">
        <f t="shared" si="0"/>
        <v>0.12328767123287671</v>
      </c>
      <c r="H7" s="14">
        <f>1-_xlfn.BETA.DIST(VLOOKUP($A7,NB_p!$A$2:$G$25,3,FALSE),VLOOKUP($A7,NB_r!$A$2:$G$25,3,FALSE),H$2,TRUE)</f>
        <v>3.9904184756854422E-2</v>
      </c>
      <c r="I7" s="14">
        <f t="shared" si="0"/>
        <v>3.5616438356164383E-2</v>
      </c>
      <c r="J7" s="14">
        <f>1-_xlfn.BETA.DIST(VLOOKUP($A7,NB_p!$A$2:$G$25,3,FALSE),VLOOKUP($A7,NB_r!$A$2:$G$25,3,FALSE),J$2,TRUE)</f>
        <v>8.7696718822625197E-3</v>
      </c>
      <c r="K7" s="14">
        <f t="shared" si="0"/>
        <v>2.1917808219178082E-2</v>
      </c>
      <c r="L7" s="1"/>
      <c r="M7" s="1"/>
      <c r="N7" s="1"/>
      <c r="O7" s="1"/>
    </row>
    <row r="8" spans="1:15" x14ac:dyDescent="0.3">
      <c r="A8" s="12">
        <v>5</v>
      </c>
      <c r="B8" s="14">
        <f>1-_xlfn.BETA.DIST(VLOOKUP($A8,NB_p!$A$2:$G$25,3,FALSE),VLOOKUP($A8,NB_r!$A$2:$G$25,3,FALSE),B$2,TRUE)</f>
        <v>0.90693988948138082</v>
      </c>
      <c r="C8" s="14">
        <f t="shared" si="0"/>
        <v>0.95616438356164379</v>
      </c>
      <c r="D8" s="14">
        <f>1-_xlfn.BETA.DIST(VLOOKUP($A8,NB_p!$A$2:$G$25,3,FALSE),VLOOKUP($A8,NB_r!$A$2:$G$25,3,FALSE),D$2,TRUE)</f>
        <v>0.62937517321249015</v>
      </c>
      <c r="E8" s="14">
        <f t="shared" si="0"/>
        <v>0.63013698630136983</v>
      </c>
      <c r="F8" s="14">
        <f>1-_xlfn.BETA.DIST(VLOOKUP($A8,NB_p!$A$2:$G$25,3,FALSE),VLOOKUP($A8,NB_r!$A$2:$G$25,3,FALSE),F$2,TRUE)</f>
        <v>0.33984894496498352</v>
      </c>
      <c r="G8" s="14">
        <f t="shared" si="0"/>
        <v>0.30136986301369861</v>
      </c>
      <c r="H8" s="14">
        <f>1-_xlfn.BETA.DIST(VLOOKUP($A8,NB_p!$A$2:$G$25,3,FALSE),VLOOKUP($A8,NB_r!$A$2:$G$25,3,FALSE),H$2,TRUE)</f>
        <v>0.15224974105270228</v>
      </c>
      <c r="I8" s="14">
        <f t="shared" si="0"/>
        <v>0.12328767123287671</v>
      </c>
      <c r="J8" s="14">
        <f>1-_xlfn.BETA.DIST(VLOOKUP($A8,NB_p!$A$2:$G$25,3,FALSE),VLOOKUP($A8,NB_r!$A$2:$G$25,3,FALSE),J$2,TRUE)</f>
        <v>5.9514511397323888E-2</v>
      </c>
      <c r="K8" s="14">
        <f t="shared" si="0"/>
        <v>4.1095890410958902E-2</v>
      </c>
      <c r="L8" s="1"/>
      <c r="M8" s="1"/>
      <c r="N8" s="1"/>
      <c r="O8" s="1"/>
    </row>
    <row r="9" spans="1:15" x14ac:dyDescent="0.3">
      <c r="A9" s="12">
        <v>6</v>
      </c>
      <c r="B9" s="14">
        <f>1-_xlfn.BETA.DIST(VLOOKUP($A9,NB_p!$A$2:$G$25,3,FALSE),VLOOKUP($A9,NB_r!$A$2:$G$25,3,FALSE),B$2,TRUE)</f>
        <v>0.96647201650590442</v>
      </c>
      <c r="C9" s="14">
        <f t="shared" si="0"/>
        <v>0.97534246575342465</v>
      </c>
      <c r="D9" s="14">
        <f>1-_xlfn.BETA.DIST(VLOOKUP($A9,NB_p!$A$2:$G$25,3,FALSE),VLOOKUP($A9,NB_r!$A$2:$G$25,3,FALSE),D$2,TRUE)</f>
        <v>0.82299944272182524</v>
      </c>
      <c r="E9" s="14">
        <f t="shared" si="0"/>
        <v>0.8575342465753425</v>
      </c>
      <c r="F9" s="14">
        <f>1-_xlfn.BETA.DIST(VLOOKUP($A9,NB_p!$A$2:$G$25,3,FALSE),VLOOKUP($A9,NB_r!$A$2:$G$25,3,FALSE),F$2,TRUE)</f>
        <v>0.60006956890349405</v>
      </c>
      <c r="G9" s="14">
        <f t="shared" si="0"/>
        <v>0.6</v>
      </c>
      <c r="H9" s="14">
        <f>1-_xlfn.BETA.DIST(VLOOKUP($A9,NB_p!$A$2:$G$25,3,FALSE),VLOOKUP($A9,NB_r!$A$2:$G$25,3,FALSE),H$2,TRUE)</f>
        <v>0.38195943188734705</v>
      </c>
      <c r="I9" s="14">
        <f t="shared" si="0"/>
        <v>0.35342465753424657</v>
      </c>
      <c r="J9" s="14">
        <f>1-_xlfn.BETA.DIST(VLOOKUP($A9,NB_p!$A$2:$G$25,3,FALSE),VLOOKUP($A9,NB_r!$A$2:$G$25,3,FALSE),J$2,TRUE)</f>
        <v>0.21809069904844369</v>
      </c>
      <c r="K9" s="14">
        <f t="shared" si="0"/>
        <v>0.19178082191780821</v>
      </c>
      <c r="L9" s="1"/>
      <c r="M9" s="1"/>
      <c r="N9" s="1"/>
      <c r="O9" s="1"/>
    </row>
    <row r="10" spans="1:15" x14ac:dyDescent="0.3">
      <c r="A10" s="12">
        <v>23</v>
      </c>
      <c r="B10" s="14">
        <f>1-_xlfn.BETA.DIST(VLOOKUP($A10,NB_p!$A$2:$G$25,3,FALSE),VLOOKUP($A10,NB_r!$A$2:$G$25,3,FALSE),B$2,TRUE)</f>
        <v>0.96737830365073452</v>
      </c>
      <c r="C10" s="14">
        <f t="shared" si="0"/>
        <v>0.98630136986301364</v>
      </c>
      <c r="D10" s="14">
        <f>1-_xlfn.BETA.DIST(VLOOKUP($A10,NB_p!$A$2:$G$25,3,FALSE),VLOOKUP($A10,NB_r!$A$2:$G$25,3,FALSE),D$2,TRUE)</f>
        <v>0.82087515122819332</v>
      </c>
      <c r="E10" s="14">
        <f t="shared" si="0"/>
        <v>0.8849315068493151</v>
      </c>
      <c r="F10" s="14">
        <f>1-_xlfn.BETA.DIST(VLOOKUP($A10,NB_p!$A$2:$G$25,3,FALSE),VLOOKUP($A10,NB_r!$A$2:$G$25,3,FALSE),F$2,TRUE)</f>
        <v>0.58980148117747366</v>
      </c>
      <c r="G10" s="14">
        <f t="shared" si="0"/>
        <v>0.61917808219178083</v>
      </c>
      <c r="H10" s="14">
        <f>1-_xlfn.BETA.DIST(VLOOKUP($A10,NB_p!$A$2:$G$25,3,FALSE),VLOOKUP($A10,NB_r!$A$2:$G$25,3,FALSE),H$2,TRUE)</f>
        <v>0.3656674791219412</v>
      </c>
      <c r="I10" s="14">
        <f t="shared" si="0"/>
        <v>0.33150684931506852</v>
      </c>
      <c r="J10" s="14">
        <f>1-_xlfn.BETA.DIST(VLOOKUP($A10,NB_p!$A$2:$G$25,3,FALSE),VLOOKUP($A10,NB_r!$A$2:$G$25,3,FALSE),J$2,TRUE)</f>
        <v>0.20137221247735393</v>
      </c>
      <c r="K10" s="14">
        <f t="shared" si="0"/>
        <v>0.12602739726027398</v>
      </c>
      <c r="L10" s="1"/>
      <c r="M10" s="1"/>
      <c r="N10" s="1"/>
      <c r="O10" s="1"/>
    </row>
    <row r="11" spans="1:15" x14ac:dyDescent="0.3">
      <c r="A11" s="9"/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16</v>
      </c>
      <c r="G11" s="10" t="s">
        <v>17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1" t="s">
        <v>28</v>
      </c>
      <c r="N11" s="1"/>
      <c r="O11" s="1"/>
    </row>
    <row r="12" spans="1:15" x14ac:dyDescent="0.3">
      <c r="A12" s="12" t="s">
        <v>29</v>
      </c>
      <c r="B12" s="1">
        <v>5</v>
      </c>
      <c r="C12" s="1">
        <v>5</v>
      </c>
      <c r="D12" s="1">
        <v>10</v>
      </c>
      <c r="E12" s="1">
        <v>10</v>
      </c>
      <c r="F12" s="1">
        <v>15</v>
      </c>
      <c r="G12" s="1">
        <v>15</v>
      </c>
      <c r="H12" s="1">
        <v>20</v>
      </c>
      <c r="I12" s="1">
        <v>20</v>
      </c>
      <c r="J12" s="1">
        <v>25</v>
      </c>
      <c r="K12" s="1">
        <v>25</v>
      </c>
      <c r="L12" s="1">
        <v>30</v>
      </c>
      <c r="M12" s="13">
        <v>30</v>
      </c>
      <c r="N12" s="1"/>
      <c r="O12" s="1"/>
    </row>
    <row r="13" spans="1:15" x14ac:dyDescent="0.3">
      <c r="A13" s="12">
        <v>7</v>
      </c>
      <c r="B13" s="14">
        <f>1-_xlfn.BETA.DIST(VLOOKUP($A13,NB_p!$A$2:$G$25,3,FALSE),VLOOKUP($A13,NB_r!$A$2:$G$25,3,FALSE),B$12,TRUE)</f>
        <v>0.9772986643384024</v>
      </c>
      <c r="C13" s="14">
        <f>COUNTIF(INDEX($B$33:$Y$397,0,MATCH($A13,$B$32:$Y$32,0)),"&gt;="&amp;C$12)/ROWS($A$33:$A$397)</f>
        <v>0.98082191780821915</v>
      </c>
      <c r="D13" s="14">
        <f>1-_xlfn.BETA.DIST(VLOOKUP($A13,NB_p!$A$2:$G$25,3,FALSE),VLOOKUP($A13,NB_r!$A$2:$G$25,3,FALSE),D$12,TRUE)</f>
        <v>0.82843709766116858</v>
      </c>
      <c r="E13" s="14">
        <f>COUNTIF(INDEX($B$33:$Y$397,0,MATCH($A13,$B$32:$Y$32,0)),"&gt;="&amp;E$12)/ROWS($A$33:$A$397)</f>
        <v>0.81643835616438354</v>
      </c>
      <c r="F13" s="14">
        <f>1-_xlfn.BETA.DIST(VLOOKUP($A13,NB_p!$A$2:$G$25,3,FALSE),VLOOKUP($A13,NB_r!$A$2:$G$25,3,FALSE),F$12,TRUE)</f>
        <v>0.56822562651898867</v>
      </c>
      <c r="G13" s="14">
        <f>COUNTIF(INDEX($B$33:$Y$397,0,MATCH($A13,$B$32:$Y$32,0)),"&gt;="&amp;G$12)/ROWS($A$33:$A$397)</f>
        <v>0.58904109589041098</v>
      </c>
      <c r="H13" s="14">
        <f>1-_xlfn.BETA.DIST(VLOOKUP($A13,NB_p!$A$2:$G$25,3,FALSE),VLOOKUP($A13,NB_r!$A$2:$G$25,3,FALSE),H$12,TRUE)</f>
        <v>0.3216961254443651</v>
      </c>
      <c r="I13" s="14">
        <f>COUNTIF(INDEX($B$33:$Y$397,0,MATCH($A13,$B$32:$Y$32,0)),"&gt;="&amp;I$12)/ROWS($A$33:$A$397)</f>
        <v>0.33972602739726027</v>
      </c>
      <c r="J13" s="14">
        <f>1-_xlfn.BETA.DIST(VLOOKUP($A13,NB_p!$A$2:$G$25,3,FALSE),VLOOKUP($A13,NB_r!$A$2:$G$25,3,FALSE),J$12,TRUE)</f>
        <v>0.15642637592160535</v>
      </c>
      <c r="K13" s="14">
        <f>COUNTIF(INDEX($B$33:$Y$397,0,MATCH($A13,$B$32:$Y$32,0)),"&gt;="&amp;K$12)/ROWS($A$33:$A$397)</f>
        <v>0.14794520547945206</v>
      </c>
      <c r="L13" s="14">
        <f>1-_xlfn.BETA.DIST(VLOOKUP($A13,NB_p!$A$2:$G$25,3,FALSE),VLOOKUP($A13,NB_r!$A$2:$G$25,3,FALSE),L$12,TRUE)</f>
        <v>6.7600362722111118E-2</v>
      </c>
      <c r="M13" s="14">
        <f>COUNTIF(INDEX($B$33:$Y$397,0,MATCH($A13,$B$32:$Y$32,0)),"&gt;="&amp;M$12)/ROWS($A$33:$A$397)</f>
        <v>4.6575342465753428E-2</v>
      </c>
      <c r="N13" s="1"/>
      <c r="O13" s="1"/>
    </row>
    <row r="14" spans="1:15" x14ac:dyDescent="0.3">
      <c r="A14" s="12">
        <v>8</v>
      </c>
      <c r="B14" s="14">
        <f>1-_xlfn.BETA.DIST(VLOOKUP($A14,NB_p!$A$2:$G$25,3,FALSE),VLOOKUP($A14,NB_r!$A$2:$G$25,3,FALSE),B$12,TRUE)</f>
        <v>0.99745639380144901</v>
      </c>
      <c r="C14" s="14">
        <f t="shared" ref="C14:M18" si="1">COUNTIF(INDEX($B$33:$Y$397,0,MATCH($A14,$B$32:$Y$32,0)),"&gt;="&amp;C$12)/ROWS($A$33:$A$397)</f>
        <v>0.99726027397260275</v>
      </c>
      <c r="D14" s="14">
        <f>1-_xlfn.BETA.DIST(VLOOKUP($A14,NB_p!$A$2:$G$25,3,FALSE),VLOOKUP($A14,NB_r!$A$2:$G$25,3,FALSE),D$12,TRUE)</f>
        <v>0.95171720088396006</v>
      </c>
      <c r="E14" s="14">
        <f t="shared" si="1"/>
        <v>0.93698630136986305</v>
      </c>
      <c r="F14" s="14">
        <f>1-_xlfn.BETA.DIST(VLOOKUP($A14,NB_p!$A$2:$G$25,3,FALSE),VLOOKUP($A14,NB_r!$A$2:$G$25,3,FALSE),F$12,TRUE)</f>
        <v>0.78811280247066751</v>
      </c>
      <c r="G14" s="14">
        <f t="shared" si="1"/>
        <v>0.79726027397260268</v>
      </c>
      <c r="H14" s="14">
        <f>1-_xlfn.BETA.DIST(VLOOKUP($A14,NB_p!$A$2:$G$25,3,FALSE),VLOOKUP($A14,NB_r!$A$2:$G$25,3,FALSE),H$12,TRUE)</f>
        <v>0.53422282980627755</v>
      </c>
      <c r="I14" s="14">
        <f t="shared" si="1"/>
        <v>0.53698630136986303</v>
      </c>
      <c r="J14" s="14">
        <f>1-_xlfn.BETA.DIST(VLOOKUP($A14,NB_p!$A$2:$G$25,3,FALSE),VLOOKUP($A14,NB_r!$A$2:$G$25,3,FALSE),J$12,TRUE)</f>
        <v>0.29695745279276431</v>
      </c>
      <c r="K14" s="14">
        <f t="shared" si="1"/>
        <v>0.30136986301369861</v>
      </c>
      <c r="L14" s="14">
        <f>1-_xlfn.BETA.DIST(VLOOKUP($A14,NB_p!$A$2:$G$25,3,FALSE),VLOOKUP($A14,NB_r!$A$2:$G$25,3,FALSE),L$12,TRUE)</f>
        <v>0.13895802309666117</v>
      </c>
      <c r="M14" s="14">
        <f t="shared" si="1"/>
        <v>0.13698630136986301</v>
      </c>
      <c r="N14" s="1"/>
      <c r="O14" s="1"/>
    </row>
    <row r="15" spans="1:15" x14ac:dyDescent="0.3">
      <c r="A15" s="12">
        <v>19</v>
      </c>
      <c r="B15" s="14">
        <f>1-_xlfn.BETA.DIST(VLOOKUP($A15,NB_p!$A$2:$G$25,3,FALSE),VLOOKUP($A15,NB_r!$A$2:$G$25,3,FALSE),B$12,TRUE)</f>
        <v>0.99635909835857062</v>
      </c>
      <c r="C15" s="14">
        <f t="shared" si="1"/>
        <v>1</v>
      </c>
      <c r="D15" s="14">
        <f>1-_xlfn.BETA.DIST(VLOOKUP($A15,NB_p!$A$2:$G$25,3,FALSE),VLOOKUP($A15,NB_r!$A$2:$G$25,3,FALSE),D$12,TRUE)</f>
        <v>0.94030826069036511</v>
      </c>
      <c r="E15" s="14">
        <f t="shared" si="1"/>
        <v>0.98356164383561639</v>
      </c>
      <c r="F15" s="14">
        <f>1-_xlfn.BETA.DIST(VLOOKUP($A15,NB_p!$A$2:$G$25,3,FALSE),VLOOKUP($A15,NB_r!$A$2:$G$25,3,FALSE),F$12,TRUE)</f>
        <v>0.76089939860004696</v>
      </c>
      <c r="G15" s="14">
        <f t="shared" si="1"/>
        <v>0.82739726027397265</v>
      </c>
      <c r="H15" s="14">
        <f>1-_xlfn.BETA.DIST(VLOOKUP($A15,NB_p!$A$2:$G$25,3,FALSE),VLOOKUP($A15,NB_r!$A$2:$G$25,3,FALSE),H$12,TRUE)</f>
        <v>0.50323109176315883</v>
      </c>
      <c r="I15" s="14">
        <f t="shared" si="1"/>
        <v>0.49863013698630138</v>
      </c>
      <c r="J15" s="14">
        <f>1-_xlfn.BETA.DIST(VLOOKUP($A15,NB_p!$A$2:$G$25,3,FALSE),VLOOKUP($A15,NB_r!$A$2:$G$25,3,FALSE),J$12,TRUE)</f>
        <v>0.27460738936614693</v>
      </c>
      <c r="K15" s="14">
        <f t="shared" si="1"/>
        <v>0.19726027397260273</v>
      </c>
      <c r="L15" s="14">
        <f>1-_xlfn.BETA.DIST(VLOOKUP($A15,NB_p!$A$2:$G$25,3,FALSE),VLOOKUP($A15,NB_r!$A$2:$G$25,3,FALSE),L$12,TRUE)</f>
        <v>0.12723460157614186</v>
      </c>
      <c r="M15" s="14">
        <f t="shared" si="1"/>
        <v>6.575342465753424E-2</v>
      </c>
      <c r="N15" s="1"/>
      <c r="O15" s="1"/>
    </row>
    <row r="16" spans="1:15" x14ac:dyDescent="0.3">
      <c r="A16" s="12">
        <v>20</v>
      </c>
      <c r="B16" s="14">
        <f>1-_xlfn.BETA.DIST(VLOOKUP($A16,NB_p!$A$2:$G$25,3,FALSE),VLOOKUP($A16,NB_r!$A$2:$G$25,3,FALSE),B$12,TRUE)</f>
        <v>0.99334396224697163</v>
      </c>
      <c r="C16" s="14">
        <f t="shared" si="1"/>
        <v>0.99726027397260275</v>
      </c>
      <c r="D16" s="14">
        <f>1-_xlfn.BETA.DIST(VLOOKUP($A16,NB_p!$A$2:$G$25,3,FALSE),VLOOKUP($A16,NB_r!$A$2:$G$25,3,FALSE),D$12,TRUE)</f>
        <v>0.89834160337553459</v>
      </c>
      <c r="E16" s="14">
        <f t="shared" si="1"/>
        <v>0.93698630136986305</v>
      </c>
      <c r="F16" s="14">
        <f>1-_xlfn.BETA.DIST(VLOOKUP($A16,NB_p!$A$2:$G$25,3,FALSE),VLOOKUP($A16,NB_r!$A$2:$G$25,3,FALSE),F$12,TRUE)</f>
        <v>0.63980407717854704</v>
      </c>
      <c r="G16" s="14">
        <f t="shared" si="1"/>
        <v>0.64109589041095894</v>
      </c>
      <c r="H16" s="14">
        <f>1-_xlfn.BETA.DIST(VLOOKUP($A16,NB_p!$A$2:$G$25,3,FALSE),VLOOKUP($A16,NB_r!$A$2:$G$25,3,FALSE),H$12,TRUE)</f>
        <v>0.34387370783189408</v>
      </c>
      <c r="I16" s="14">
        <f t="shared" si="1"/>
        <v>0.32328767123287672</v>
      </c>
      <c r="J16" s="14">
        <f>1-_xlfn.BETA.DIST(VLOOKUP($A16,NB_p!$A$2:$G$25,3,FALSE),VLOOKUP($A16,NB_r!$A$2:$G$25,3,FALSE),J$12,TRUE)</f>
        <v>0.1440492611687918</v>
      </c>
      <c r="K16" s="14">
        <f t="shared" si="1"/>
        <v>9.8630136986301367E-2</v>
      </c>
      <c r="L16" s="14">
        <f>1-_xlfn.BETA.DIST(VLOOKUP($A16,NB_p!$A$2:$G$25,3,FALSE),VLOOKUP($A16,NB_r!$A$2:$G$25,3,FALSE),L$12,TRUE)</f>
        <v>4.9258784177794501E-2</v>
      </c>
      <c r="M16" s="14">
        <f t="shared" si="1"/>
        <v>3.8356164383561646E-2</v>
      </c>
      <c r="N16" s="1"/>
      <c r="O16" s="1"/>
    </row>
    <row r="17" spans="1:25" x14ac:dyDescent="0.3">
      <c r="A17" s="12">
        <v>21</v>
      </c>
      <c r="B17" s="14">
        <f>1-_xlfn.BETA.DIST(VLOOKUP($A17,NB_p!$A$2:$G$25,3,FALSE),VLOOKUP($A17,NB_r!$A$2:$G$25,3,FALSE),B$12,TRUE)</f>
        <v>0.988058428330022</v>
      </c>
      <c r="C17" s="14">
        <f t="shared" si="1"/>
        <v>0.99726027397260275</v>
      </c>
      <c r="D17" s="14">
        <f>1-_xlfn.BETA.DIST(VLOOKUP($A17,NB_p!$A$2:$G$25,3,FALSE),VLOOKUP($A17,NB_r!$A$2:$G$25,3,FALSE),D$12,TRUE)</f>
        <v>0.84326293524131435</v>
      </c>
      <c r="E17" s="14">
        <f t="shared" si="1"/>
        <v>0.87671232876712324</v>
      </c>
      <c r="F17" s="14">
        <f>1-_xlfn.BETA.DIST(VLOOKUP($A17,NB_p!$A$2:$G$25,3,FALSE),VLOOKUP($A17,NB_r!$A$2:$G$25,3,FALSE),F$12,TRUE)</f>
        <v>0.52141339634008088</v>
      </c>
      <c r="G17" s="14">
        <f t="shared" si="1"/>
        <v>0.51506849315068493</v>
      </c>
      <c r="H17" s="14">
        <f>1-_xlfn.BETA.DIST(VLOOKUP($A17,NB_p!$A$2:$G$25,3,FALSE),VLOOKUP($A17,NB_r!$A$2:$G$25,3,FALSE),H$12,TRUE)</f>
        <v>0.22922528535279274</v>
      </c>
      <c r="I17" s="14">
        <f t="shared" si="1"/>
        <v>0.19726027397260273</v>
      </c>
      <c r="J17" s="14">
        <f>1-_xlfn.BETA.DIST(VLOOKUP($A17,NB_p!$A$2:$G$25,3,FALSE),VLOOKUP($A17,NB_r!$A$2:$G$25,3,FALSE),J$12,TRUE)</f>
        <v>7.5832897756394457E-2</v>
      </c>
      <c r="K17" s="14">
        <f t="shared" si="1"/>
        <v>5.2054794520547946E-2</v>
      </c>
      <c r="L17" s="14">
        <f>1-_xlfn.BETA.DIST(VLOOKUP($A17,NB_p!$A$2:$G$25,3,FALSE),VLOOKUP($A17,NB_r!$A$2:$G$25,3,FALSE),L$12,TRUE)</f>
        <v>2.0046810481546218E-2</v>
      </c>
      <c r="M17" s="14">
        <f t="shared" si="1"/>
        <v>1.9178082191780823E-2</v>
      </c>
      <c r="N17" s="1"/>
      <c r="O17" s="1"/>
    </row>
    <row r="18" spans="1:25" x14ac:dyDescent="0.3">
      <c r="A18" s="12">
        <v>22</v>
      </c>
      <c r="B18" s="14">
        <f>1-_xlfn.BETA.DIST(VLOOKUP($A18,NB_p!$A$2:$G$25,3,FALSE),VLOOKUP($A18,NB_r!$A$2:$G$25,3,FALSE),B$12,TRUE)</f>
        <v>0.97066167973379092</v>
      </c>
      <c r="C18" s="14">
        <f t="shared" si="1"/>
        <v>0.989041095890411</v>
      </c>
      <c r="D18" s="14">
        <f>1-_xlfn.BETA.DIST(VLOOKUP($A18,NB_p!$A$2:$G$25,3,FALSE),VLOOKUP($A18,NB_r!$A$2:$G$25,3,FALSE),D$12,TRUE)</f>
        <v>0.69831466943284681</v>
      </c>
      <c r="E18" s="14">
        <f t="shared" si="1"/>
        <v>0.70958904109589038</v>
      </c>
      <c r="F18" s="14">
        <f>1-_xlfn.BETA.DIST(VLOOKUP($A18,NB_p!$A$2:$G$25,3,FALSE),VLOOKUP($A18,NB_r!$A$2:$G$25,3,FALSE),F$12,TRUE)</f>
        <v>0.2949995994551915</v>
      </c>
      <c r="G18" s="14">
        <f t="shared" si="1"/>
        <v>0.27397260273972601</v>
      </c>
      <c r="H18" s="14">
        <f>1-_xlfn.BETA.DIST(VLOOKUP($A18,NB_p!$A$2:$G$25,3,FALSE),VLOOKUP($A18,NB_r!$A$2:$G$25,3,FALSE),H$12,TRUE)</f>
        <v>7.6741505385539699E-2</v>
      </c>
      <c r="I18" s="14">
        <f t="shared" si="1"/>
        <v>8.2191780821917804E-2</v>
      </c>
      <c r="J18" s="14">
        <f>1-_xlfn.BETA.DIST(VLOOKUP($A18,NB_p!$A$2:$G$25,3,FALSE),VLOOKUP($A18,NB_r!$A$2:$G$25,3,FALSE),J$12,TRUE)</f>
        <v>1.3728001882885699E-2</v>
      </c>
      <c r="K18" s="14">
        <f t="shared" si="1"/>
        <v>1.643835616438356E-2</v>
      </c>
      <c r="L18" s="14">
        <f>1-_xlfn.BETA.DIST(VLOOKUP($A18,NB_p!$A$2:$G$25,3,FALSE),VLOOKUP($A18,NB_r!$A$2:$G$25,3,FALSE),L$12,TRUE)</f>
        <v>1.8472683340585716E-3</v>
      </c>
      <c r="M18" s="14">
        <f t="shared" si="1"/>
        <v>8.21917808219178E-3</v>
      </c>
      <c r="N18" s="1"/>
      <c r="O18" s="1"/>
    </row>
    <row r="19" spans="1:25" x14ac:dyDescent="0.3">
      <c r="A19" s="9"/>
      <c r="B19" s="10" t="s">
        <v>21</v>
      </c>
      <c r="C19" s="10" t="s">
        <v>22</v>
      </c>
      <c r="D19" s="10" t="s">
        <v>16</v>
      </c>
      <c r="E19" s="10" t="s">
        <v>17</v>
      </c>
      <c r="F19" s="10" t="s">
        <v>23</v>
      </c>
      <c r="G19" s="10" t="s">
        <v>24</v>
      </c>
      <c r="H19" s="10" t="s">
        <v>25</v>
      </c>
      <c r="I19" s="10" t="s">
        <v>26</v>
      </c>
      <c r="J19" s="10" t="s">
        <v>27</v>
      </c>
      <c r="K19" s="10" t="s">
        <v>28</v>
      </c>
      <c r="L19" s="10" t="s">
        <v>30</v>
      </c>
      <c r="M19" s="10" t="s">
        <v>31</v>
      </c>
      <c r="N19" s="10" t="s">
        <v>32</v>
      </c>
      <c r="O19" s="11" t="s">
        <v>33</v>
      </c>
    </row>
    <row r="20" spans="1:25" x14ac:dyDescent="0.3">
      <c r="A20" s="12" t="s">
        <v>34</v>
      </c>
      <c r="B20" s="1">
        <v>10</v>
      </c>
      <c r="C20" s="1">
        <v>10</v>
      </c>
      <c r="D20" s="1">
        <v>15</v>
      </c>
      <c r="E20" s="1">
        <v>15</v>
      </c>
      <c r="F20" s="1">
        <v>20</v>
      </c>
      <c r="G20" s="1">
        <v>20</v>
      </c>
      <c r="H20" s="1">
        <v>25</v>
      </c>
      <c r="I20" s="1">
        <v>25</v>
      </c>
      <c r="J20" s="1">
        <v>30</v>
      </c>
      <c r="K20" s="1">
        <v>30</v>
      </c>
      <c r="L20" s="1">
        <v>35</v>
      </c>
      <c r="M20" s="1">
        <v>35</v>
      </c>
      <c r="N20" s="1">
        <v>40</v>
      </c>
      <c r="O20" s="13">
        <v>40</v>
      </c>
    </row>
    <row r="21" spans="1:25" x14ac:dyDescent="0.3">
      <c r="A21" s="12">
        <v>9</v>
      </c>
      <c r="B21" s="14">
        <f>1-_xlfn.BETA.DIST(VLOOKUP($A21,NB_p!$A$2:$G$25,3,FALSE),VLOOKUP($A21,NB_r!$A$2:$G$25,3,FALSE),B$20,TRUE)</f>
        <v>0.97283655523472357</v>
      </c>
      <c r="C21" s="14">
        <f>COUNTIF(INDEX($B$33:$Y$397,0,MATCH($A21,$B$32:$Y$32,0)),"&gt;="&amp;C$20)/ROWS($A$33:$A$397)</f>
        <v>0.9780821917808219</v>
      </c>
      <c r="D21" s="14">
        <f>1-_xlfn.BETA.DIST(VLOOKUP($A21,NB_p!$A$2:$G$25,3,FALSE),VLOOKUP($A21,NB_r!$A$2:$G$25,3,FALSE),D$20,TRUE)</f>
        <v>0.84900739653342949</v>
      </c>
      <c r="E21" s="14">
        <f>COUNTIF(INDEX($B$33:$Y$397,0,MATCH($A21,$B$32:$Y$32,0)),"&gt;="&amp;E$20)/ROWS($A$33:$A$397)</f>
        <v>0.852054794520548</v>
      </c>
      <c r="F21" s="14">
        <f>1-_xlfn.BETA.DIST(VLOOKUP($A21,NB_p!$A$2:$G$25,3,FALSE),VLOOKUP($A21,NB_r!$A$2:$G$25,3,FALSE),F$20,TRUE)</f>
        <v>0.61376103919037273</v>
      </c>
      <c r="G21" s="14">
        <f>COUNTIF(INDEX($B$33:$Y$397,0,MATCH($A21,$B$32:$Y$32,0)),"&gt;="&amp;G$20)/ROWS($A$33:$A$397)</f>
        <v>0.64657534246575343</v>
      </c>
      <c r="H21" s="14">
        <f>1-_xlfn.BETA.DIST(VLOOKUP($A21,NB_p!$A$2:$G$25,3,FALSE),VLOOKUP($A21,NB_r!$A$2:$G$25,3,FALSE),H$20,TRUE)</f>
        <v>0.36042120650907161</v>
      </c>
      <c r="I21" s="14">
        <f>COUNTIF(INDEX($B$33:$Y$397,0,MATCH($A21,$B$32:$Y$32,0)),"&gt;="&amp;I$20)/ROWS($A$33:$A$397)</f>
        <v>0.34520547945205482</v>
      </c>
      <c r="J21" s="14">
        <f>1-_xlfn.BETA.DIST(VLOOKUP($A21,NB_p!$A$2:$G$25,3,FALSE),VLOOKUP($A21,NB_r!$A$2:$G$25,3,FALSE),J$20,TRUE)</f>
        <v>0.17490569988665794</v>
      </c>
      <c r="K21" s="14">
        <f>COUNTIF(INDEX($B$33:$Y$397,0,MATCH($A21,$B$32:$Y$32,0)),"&gt;="&amp;K$20)/ROWS($A$33:$A$397)</f>
        <v>0.14794520547945206</v>
      </c>
      <c r="L21" s="14">
        <f>1-_xlfn.BETA.DIST(VLOOKUP($A21,NB_p!$A$2:$G$25,3,FALSE),VLOOKUP($A21,NB_r!$A$2:$G$25,3,FALSE),L$20,TRUE)</f>
        <v>7.2078013845909727E-2</v>
      </c>
      <c r="M21" s="14">
        <f>COUNTIF(INDEX($B$33:$Y$397,0,MATCH($A21,$B$32:$Y$32,0)),"&gt;="&amp;M$20)/ROWS($A$33:$A$397)</f>
        <v>5.7534246575342465E-2</v>
      </c>
      <c r="N21" s="14">
        <f>1-_xlfn.BETA.DIST(VLOOKUP($A21,NB_p!$A$2:$G$25,3,FALSE),VLOOKUP($A21,NB_r!$A$2:$G$25,3,FALSE),N$20,TRUE)</f>
        <v>2.5890662497034311E-2</v>
      </c>
      <c r="O21" s="17">
        <f>COUNTIF(INDEX($B$33:$Y$397,0,MATCH($A21,$B$32:$Y$32,0)),"&gt;="&amp;O$20)/ROWS($A$33:$A$397)</f>
        <v>1.0958904109589041E-2</v>
      </c>
    </row>
    <row r="22" spans="1:25" x14ac:dyDescent="0.3">
      <c r="A22" s="12">
        <v>10</v>
      </c>
      <c r="B22" s="14">
        <f>1-_xlfn.BETA.DIST(VLOOKUP($A22,NB_p!$A$2:$G$25,3,FALSE),VLOOKUP($A22,NB_r!$A$2:$G$25,3,FALSE),B$20,TRUE)</f>
        <v>0.98957005408925691</v>
      </c>
      <c r="C22" s="14">
        <f t="shared" ref="C22:O30" si="2">COUNTIF(INDEX($B$33:$Y$397,0,MATCH($A22,$B$32:$Y$32,0)),"&gt;="&amp;C$20)/ROWS($A$33:$A$397)</f>
        <v>0.98356164383561639</v>
      </c>
      <c r="D22" s="14">
        <f>1-_xlfn.BETA.DIST(VLOOKUP($A22,NB_p!$A$2:$G$25,3,FALSE),VLOOKUP($A22,NB_r!$A$2:$G$25,3,FALSE),D$20,TRUE)</f>
        <v>0.89826301164358668</v>
      </c>
      <c r="E22" s="14">
        <f t="shared" si="2"/>
        <v>0.9068493150684932</v>
      </c>
      <c r="F22" s="14">
        <f>1-_xlfn.BETA.DIST(VLOOKUP($A22,NB_p!$A$2:$G$25,3,FALSE),VLOOKUP($A22,NB_r!$A$2:$G$25,3,FALSE),F$20,TRUE)</f>
        <v>0.65053610970895548</v>
      </c>
      <c r="G22" s="14">
        <f t="shared" si="2"/>
        <v>0.69589041095890414</v>
      </c>
      <c r="H22" s="14">
        <f>1-_xlfn.BETA.DIST(VLOOKUP($A22,NB_p!$A$2:$G$25,3,FALSE),VLOOKUP($A22,NB_r!$A$2:$G$25,3,FALSE),H$20,TRUE)</f>
        <v>0.34634197808123313</v>
      </c>
      <c r="I22" s="14">
        <f t="shared" si="2"/>
        <v>0.32054794520547947</v>
      </c>
      <c r="J22" s="14">
        <f>1-_xlfn.BETA.DIST(VLOOKUP($A22,NB_p!$A$2:$G$25,3,FALSE),VLOOKUP($A22,NB_r!$A$2:$G$25,3,FALSE),J$20,TRUE)</f>
        <v>0.13524240373368968</v>
      </c>
      <c r="K22" s="14">
        <f t="shared" si="2"/>
        <v>0.11232876712328767</v>
      </c>
      <c r="L22" s="14">
        <f>1-_xlfn.BETA.DIST(VLOOKUP($A22,NB_p!$A$2:$G$25,3,FALSE),VLOOKUP($A22,NB_r!$A$2:$G$25,3,FALSE),L$20,TRUE)</f>
        <v>4.0008315800736494E-2</v>
      </c>
      <c r="M22" s="14">
        <f t="shared" si="2"/>
        <v>3.287671232876712E-2</v>
      </c>
      <c r="N22" s="14">
        <f>1-_xlfn.BETA.DIST(VLOOKUP($A22,NB_p!$A$2:$G$25,3,FALSE),VLOOKUP($A22,NB_r!$A$2:$G$25,3,FALSE),N$20,TRUE)</f>
        <v>9.3195625696813611E-3</v>
      </c>
      <c r="O22" s="17">
        <f t="shared" si="2"/>
        <v>1.3698630136986301E-2</v>
      </c>
    </row>
    <row r="23" spans="1:25" x14ac:dyDescent="0.3">
      <c r="A23" s="12">
        <v>11</v>
      </c>
      <c r="B23" s="14">
        <f>1-_xlfn.BETA.DIST(VLOOKUP($A23,NB_p!$A$2:$G$25,3,FALSE),VLOOKUP($A23,NB_r!$A$2:$G$25,3,FALSE),B$20,TRUE)</f>
        <v>0.99395251654337458</v>
      </c>
      <c r="C23" s="14">
        <f t="shared" si="2"/>
        <v>0.9945205479452055</v>
      </c>
      <c r="D23" s="14">
        <f>1-_xlfn.BETA.DIST(VLOOKUP($A23,NB_p!$A$2:$G$25,3,FALSE),VLOOKUP($A23,NB_r!$A$2:$G$25,3,FALSE),D$20,TRUE)</f>
        <v>0.92716967393806027</v>
      </c>
      <c r="E23" s="14">
        <f t="shared" si="2"/>
        <v>0.9397260273972603</v>
      </c>
      <c r="F23" s="14">
        <f>1-_xlfn.BETA.DIST(VLOOKUP($A23,NB_p!$A$2:$G$25,3,FALSE),VLOOKUP($A23,NB_r!$A$2:$G$25,3,FALSE),F$20,TRUE)</f>
        <v>0.70989585191184545</v>
      </c>
      <c r="G23" s="14">
        <f t="shared" si="2"/>
        <v>0.71780821917808224</v>
      </c>
      <c r="H23" s="14">
        <f>1-_xlfn.BETA.DIST(VLOOKUP($A23,NB_p!$A$2:$G$25,3,FALSE),VLOOKUP($A23,NB_r!$A$2:$G$25,3,FALSE),H$20,TRUE)</f>
        <v>0.40270832924558464</v>
      </c>
      <c r="I23" s="14">
        <f t="shared" si="2"/>
        <v>0.40273972602739727</v>
      </c>
      <c r="J23" s="14">
        <f>1-_xlfn.BETA.DIST(VLOOKUP($A23,NB_p!$A$2:$G$25,3,FALSE),VLOOKUP($A23,NB_r!$A$2:$G$25,3,FALSE),J$20,TRUE)</f>
        <v>0.16589901113953653</v>
      </c>
      <c r="K23" s="14">
        <f t="shared" si="2"/>
        <v>0.14246575342465753</v>
      </c>
      <c r="L23" s="14">
        <f>1-_xlfn.BETA.DIST(VLOOKUP($A23,NB_p!$A$2:$G$25,3,FALSE),VLOOKUP($A23,NB_r!$A$2:$G$25,3,FALSE),L$20,TRUE)</f>
        <v>5.0884917510716221E-2</v>
      </c>
      <c r="M23" s="14">
        <f t="shared" si="2"/>
        <v>3.5616438356164383E-2</v>
      </c>
      <c r="N23" s="14">
        <f>1-_xlfn.BETA.DIST(VLOOKUP($A23,NB_p!$A$2:$G$25,3,FALSE),VLOOKUP($A23,NB_r!$A$2:$G$25,3,FALSE),N$20,TRUE)</f>
        <v>1.2058201749135522E-2</v>
      </c>
      <c r="O23" s="17">
        <f t="shared" si="2"/>
        <v>1.0958904109589041E-2</v>
      </c>
    </row>
    <row r="24" spans="1:25" x14ac:dyDescent="0.3">
      <c r="A24" s="12">
        <v>12</v>
      </c>
      <c r="B24" s="14">
        <f>1-_xlfn.BETA.DIST(VLOOKUP($A24,NB_p!$A$2:$G$25,3,FALSE),VLOOKUP($A24,NB_r!$A$2:$G$25,3,FALSE),B$20,TRUE)</f>
        <v>0.99342169378876632</v>
      </c>
      <c r="C24" s="14">
        <f t="shared" si="2"/>
        <v>0.99726027397260275</v>
      </c>
      <c r="D24" s="14">
        <f>1-_xlfn.BETA.DIST(VLOOKUP($A24,NB_p!$A$2:$G$25,3,FALSE),VLOOKUP($A24,NB_r!$A$2:$G$25,3,FALSE),D$20,TRUE)</f>
        <v>0.9320140627564002</v>
      </c>
      <c r="E24" s="14">
        <f t="shared" si="2"/>
        <v>0.95890410958904104</v>
      </c>
      <c r="F24" s="14">
        <f>1-_xlfn.BETA.DIST(VLOOKUP($A24,NB_p!$A$2:$G$25,3,FALSE),VLOOKUP($A24,NB_r!$A$2:$G$25,3,FALSE),F$20,TRUE)</f>
        <v>0.74319716249031931</v>
      </c>
      <c r="G24" s="14">
        <f t="shared" si="2"/>
        <v>0.78630136986301369</v>
      </c>
      <c r="H24" s="14">
        <f>1-_xlfn.BETA.DIST(VLOOKUP($A24,NB_p!$A$2:$G$25,3,FALSE),VLOOKUP($A24,NB_r!$A$2:$G$25,3,FALSE),H$20,TRUE)</f>
        <v>0.46646163940691565</v>
      </c>
      <c r="I24" s="14">
        <f t="shared" si="2"/>
        <v>0.42465753424657532</v>
      </c>
      <c r="J24" s="14">
        <f>1-_xlfn.BETA.DIST(VLOOKUP($A24,NB_p!$A$2:$G$25,3,FALSE),VLOOKUP($A24,NB_r!$A$2:$G$25,3,FALSE),J$20,TRUE)</f>
        <v>0.22704285018135939</v>
      </c>
      <c r="K24" s="14">
        <f t="shared" si="2"/>
        <v>0.19726027397260273</v>
      </c>
      <c r="L24" s="14">
        <f>1-_xlfn.BETA.DIST(VLOOKUP($A24,NB_p!$A$2:$G$25,3,FALSE),VLOOKUP($A24,NB_r!$A$2:$G$25,3,FALSE),L$20,TRUE)</f>
        <v>8.738893588302088E-2</v>
      </c>
      <c r="M24" s="14">
        <f t="shared" si="2"/>
        <v>7.6712328767123292E-2</v>
      </c>
      <c r="N24" s="14">
        <f>1-_xlfn.BETA.DIST(VLOOKUP($A24,NB_p!$A$2:$G$25,3,FALSE),VLOOKUP($A24,NB_r!$A$2:$G$25,3,FALSE),N$20,TRUE)</f>
        <v>2.7389219166614964E-2</v>
      </c>
      <c r="O24" s="17">
        <f t="shared" si="2"/>
        <v>2.1917808219178082E-2</v>
      </c>
    </row>
    <row r="25" spans="1:25" x14ac:dyDescent="0.3">
      <c r="A25" s="12">
        <v>13</v>
      </c>
      <c r="B25" s="14">
        <f>1-_xlfn.BETA.DIST(VLOOKUP($A25,NB_p!$A$2:$G$25,3,FALSE),VLOOKUP($A25,NB_r!$A$2:$G$25,3,FALSE),B$20,TRUE)</f>
        <v>0.99620895315804914</v>
      </c>
      <c r="C25" s="14">
        <f t="shared" si="2"/>
        <v>0.99178082191780825</v>
      </c>
      <c r="D25" s="14">
        <f>1-_xlfn.BETA.DIST(VLOOKUP($A25,NB_p!$A$2:$G$25,3,FALSE),VLOOKUP($A25,NB_r!$A$2:$G$25,3,FALSE),D$20,TRUE)</f>
        <v>0.94360212960544998</v>
      </c>
      <c r="E25" s="14">
        <f t="shared" si="2"/>
        <v>0.94794520547945205</v>
      </c>
      <c r="F25" s="14">
        <f>1-_xlfn.BETA.DIST(VLOOKUP($A25,NB_p!$A$2:$G$25,3,FALSE),VLOOKUP($A25,NB_r!$A$2:$G$25,3,FALSE),F$20,TRUE)</f>
        <v>0.74296337613730323</v>
      </c>
      <c r="G25" s="14">
        <f t="shared" si="2"/>
        <v>0.75068493150684934</v>
      </c>
      <c r="H25" s="14">
        <f>1-_xlfn.BETA.DIST(VLOOKUP($A25,NB_p!$A$2:$G$25,3,FALSE),VLOOKUP($A25,NB_r!$A$2:$G$25,3,FALSE),H$20,TRUE)</f>
        <v>0.42921910431719801</v>
      </c>
      <c r="I25" s="14">
        <f t="shared" si="2"/>
        <v>0.41643835616438357</v>
      </c>
      <c r="J25" s="14">
        <f>1-_xlfn.BETA.DIST(VLOOKUP($A25,NB_p!$A$2:$G$25,3,FALSE),VLOOKUP($A25,NB_r!$A$2:$G$25,3,FALSE),J$20,TRUE)</f>
        <v>0.175245074940659</v>
      </c>
      <c r="K25" s="14">
        <f t="shared" si="2"/>
        <v>0.15616438356164383</v>
      </c>
      <c r="L25" s="14">
        <f>1-_xlfn.BETA.DIST(VLOOKUP($A25,NB_p!$A$2:$G$25,3,FALSE),VLOOKUP($A25,NB_r!$A$2:$G$25,3,FALSE),L$20,TRUE)</f>
        <v>5.1546414563076182E-2</v>
      </c>
      <c r="M25" s="14">
        <f t="shared" si="2"/>
        <v>4.3835616438356165E-2</v>
      </c>
      <c r="N25" s="14">
        <f>1-_xlfn.BETA.DIST(VLOOKUP($A25,NB_p!$A$2:$G$25,3,FALSE),VLOOKUP($A25,NB_r!$A$2:$G$25,3,FALSE),N$20,TRUE)</f>
        <v>1.1336909418467211E-2</v>
      </c>
      <c r="O25" s="17">
        <f t="shared" si="2"/>
        <v>5.4794520547945206E-3</v>
      </c>
    </row>
    <row r="26" spans="1:25" x14ac:dyDescent="0.3">
      <c r="A26" s="12">
        <v>14</v>
      </c>
      <c r="B26" s="14">
        <f>1-_xlfn.BETA.DIST(VLOOKUP($A26,NB_p!$A$2:$G$25,3,FALSE),VLOOKUP($A26,NB_r!$A$2:$G$25,3,FALSE),B$20,TRUE)</f>
        <v>0.99763015355500784</v>
      </c>
      <c r="C26" s="14">
        <f t="shared" si="2"/>
        <v>0.99726027397260275</v>
      </c>
      <c r="D26" s="14">
        <f>1-_xlfn.BETA.DIST(VLOOKUP($A26,NB_p!$A$2:$G$25,3,FALSE),VLOOKUP($A26,NB_r!$A$2:$G$25,3,FALSE),D$20,TRUE)</f>
        <v>0.9573368050105262</v>
      </c>
      <c r="E26" s="14">
        <f t="shared" si="2"/>
        <v>0.9616438356164384</v>
      </c>
      <c r="F26" s="14">
        <f>1-_xlfn.BETA.DIST(VLOOKUP($A26,NB_p!$A$2:$G$25,3,FALSE),VLOOKUP($A26,NB_r!$A$2:$G$25,3,FALSE),F$20,TRUE)</f>
        <v>0.77831168664376427</v>
      </c>
      <c r="G26" s="14">
        <f t="shared" si="2"/>
        <v>0.76712328767123283</v>
      </c>
      <c r="H26" s="14">
        <f>1-_xlfn.BETA.DIST(VLOOKUP($A26,NB_p!$A$2:$G$25,3,FALSE),VLOOKUP($A26,NB_r!$A$2:$G$25,3,FALSE),H$20,TRUE)</f>
        <v>0.46580201732414328</v>
      </c>
      <c r="I26" s="14">
        <f t="shared" si="2"/>
        <v>0.47671232876712327</v>
      </c>
      <c r="J26" s="14">
        <f>1-_xlfn.BETA.DIST(VLOOKUP($A26,NB_p!$A$2:$G$25,3,FALSE),VLOOKUP($A26,NB_r!$A$2:$G$25,3,FALSE),J$20,TRUE)</f>
        <v>0.19414685567752288</v>
      </c>
      <c r="K26" s="14">
        <f t="shared" si="2"/>
        <v>0.17534246575342466</v>
      </c>
      <c r="L26" s="14">
        <f>1-_xlfn.BETA.DIST(VLOOKUP($A26,NB_p!$A$2:$G$25,3,FALSE),VLOOKUP($A26,NB_r!$A$2:$G$25,3,FALSE),L$20,TRUE)</f>
        <v>5.6980896301095374E-2</v>
      </c>
      <c r="M26" s="14">
        <f t="shared" si="2"/>
        <v>5.2054794520547946E-2</v>
      </c>
      <c r="N26" s="14">
        <f>1-_xlfn.BETA.DIST(VLOOKUP($A26,NB_p!$A$2:$G$25,3,FALSE),VLOOKUP($A26,NB_r!$A$2:$G$25,3,FALSE),N$20,TRUE)</f>
        <v>1.2200374562764793E-2</v>
      </c>
      <c r="O26" s="17">
        <f t="shared" si="2"/>
        <v>1.0958904109589041E-2</v>
      </c>
    </row>
    <row r="27" spans="1:25" x14ac:dyDescent="0.3">
      <c r="A27" s="12">
        <v>15</v>
      </c>
      <c r="B27" s="14">
        <f>1-_xlfn.BETA.DIST(VLOOKUP($A27,NB_p!$A$2:$G$25,3,FALSE),VLOOKUP($A27,NB_r!$A$2:$G$25,3,FALSE),B$20,TRUE)</f>
        <v>0.99366778748301476</v>
      </c>
      <c r="C27" s="14">
        <f t="shared" si="2"/>
        <v>0.99726027397260275</v>
      </c>
      <c r="D27" s="14">
        <f>1-_xlfn.BETA.DIST(VLOOKUP($A27,NB_p!$A$2:$G$25,3,FALSE),VLOOKUP($A27,NB_r!$A$2:$G$25,3,FALSE),D$20,TRUE)</f>
        <v>0.94109393747876535</v>
      </c>
      <c r="E27" s="14">
        <f t="shared" si="2"/>
        <v>0.94794520547945205</v>
      </c>
      <c r="F27" s="14">
        <f>1-_xlfn.BETA.DIST(VLOOKUP($A27,NB_p!$A$2:$G$25,3,FALSE),VLOOKUP($A27,NB_r!$A$2:$G$25,3,FALSE),F$20,TRUE)</f>
        <v>0.78315477071813056</v>
      </c>
      <c r="G27" s="14">
        <f t="shared" si="2"/>
        <v>0.78356164383561644</v>
      </c>
      <c r="H27" s="14">
        <f>1-_xlfn.BETA.DIST(VLOOKUP($A27,NB_p!$A$2:$G$25,3,FALSE),VLOOKUP($A27,NB_r!$A$2:$G$25,3,FALSE),H$20,TRUE)</f>
        <v>0.53948675763889686</v>
      </c>
      <c r="I27" s="14">
        <f t="shared" si="2"/>
        <v>0.53972602739726028</v>
      </c>
      <c r="J27" s="14">
        <f>1-_xlfn.BETA.DIST(VLOOKUP($A27,NB_p!$A$2:$G$25,3,FALSE),VLOOKUP($A27,NB_r!$A$2:$G$25,3,FALSE),J$20,TRUE)</f>
        <v>0.30348827592941185</v>
      </c>
      <c r="K27" s="14">
        <f t="shared" si="2"/>
        <v>0.32328767123287672</v>
      </c>
      <c r="L27" s="14">
        <f>1-_xlfn.BETA.DIST(VLOOKUP($A27,NB_p!$A$2:$G$25,3,FALSE),VLOOKUP($A27,NB_r!$A$2:$G$25,3,FALSE),L$20,TRUE)</f>
        <v>0.14133715690436222</v>
      </c>
      <c r="M27" s="14">
        <f t="shared" si="2"/>
        <v>0.14246575342465753</v>
      </c>
      <c r="N27" s="14">
        <f>1-_xlfn.BETA.DIST(VLOOKUP($A27,NB_p!$A$2:$G$25,3,FALSE),VLOOKUP($A27,NB_r!$A$2:$G$25,3,FALSE),N$20,TRUE)</f>
        <v>5.5725043457861112E-2</v>
      </c>
      <c r="O27" s="17">
        <f t="shared" si="2"/>
        <v>5.4794520547945202E-2</v>
      </c>
    </row>
    <row r="28" spans="1:25" x14ac:dyDescent="0.3">
      <c r="A28" s="12">
        <v>16</v>
      </c>
      <c r="B28" s="14">
        <f>1-_xlfn.BETA.DIST(VLOOKUP($A28,NB_p!$A$2:$G$25,3,FALSE),VLOOKUP($A28,NB_r!$A$2:$G$25,3,FALSE),B$20,TRUE)</f>
        <v>0.9921767924975724</v>
      </c>
      <c r="C28" s="14">
        <f t="shared" si="2"/>
        <v>0.99726027397260275</v>
      </c>
      <c r="D28" s="14">
        <f>1-_xlfn.BETA.DIST(VLOOKUP($A28,NB_p!$A$2:$G$25,3,FALSE),VLOOKUP($A28,NB_r!$A$2:$G$25,3,FALSE),D$20,TRUE)</f>
        <v>0.93342833720240037</v>
      </c>
      <c r="E28" s="14">
        <f t="shared" si="2"/>
        <v>0.9506849315068493</v>
      </c>
      <c r="F28" s="14">
        <f>1-_xlfn.BETA.DIST(VLOOKUP($A28,NB_p!$A$2:$G$25,3,FALSE),VLOOKUP($A28,NB_r!$A$2:$G$25,3,FALSE),F$20,TRUE)</f>
        <v>0.76858415381332623</v>
      </c>
      <c r="G28" s="14">
        <f t="shared" si="2"/>
        <v>0.78356164383561644</v>
      </c>
      <c r="H28" s="14">
        <f>1-_xlfn.BETA.DIST(VLOOKUP($A28,NB_p!$A$2:$G$25,3,FALSE),VLOOKUP($A28,NB_r!$A$2:$G$25,3,FALSE),H$20,TRUE)</f>
        <v>0.52527088572559832</v>
      </c>
      <c r="I28" s="14">
        <f t="shared" si="2"/>
        <v>0.50410958904109593</v>
      </c>
      <c r="J28" s="14">
        <f>1-_xlfn.BETA.DIST(VLOOKUP($A28,NB_p!$A$2:$G$25,3,FALSE),VLOOKUP($A28,NB_r!$A$2:$G$25,3,FALSE),J$20,TRUE)</f>
        <v>0.29535807976636896</v>
      </c>
      <c r="K28" s="14">
        <f t="shared" si="2"/>
        <v>0.27397260273972601</v>
      </c>
      <c r="L28" s="14">
        <f>1-_xlfn.BETA.DIST(VLOOKUP($A28,NB_p!$A$2:$G$25,3,FALSE),VLOOKUP($A28,NB_r!$A$2:$G$25,3,FALSE),L$20,TRUE)</f>
        <v>0.13874815861596745</v>
      </c>
      <c r="M28" s="14">
        <f t="shared" si="2"/>
        <v>0.11780821917808219</v>
      </c>
      <c r="N28" s="14">
        <f>1-_xlfn.BETA.DIST(VLOOKUP($A28,NB_p!$A$2:$G$25,3,FALSE),VLOOKUP($A28,NB_r!$A$2:$G$25,3,FALSE),N$20,TRUE)</f>
        <v>5.5681557809463489E-2</v>
      </c>
      <c r="O28" s="17">
        <f t="shared" si="2"/>
        <v>4.1095890410958902E-2</v>
      </c>
    </row>
    <row r="29" spans="1:25" x14ac:dyDescent="0.3">
      <c r="A29" s="12">
        <v>17</v>
      </c>
      <c r="B29" s="14">
        <f>1-_xlfn.BETA.DIST(VLOOKUP($A29,NB_p!$A$2:$G$25,3,FALSE),VLOOKUP($A29,NB_r!$A$2:$G$25,3,FALSE),B$20,TRUE)</f>
        <v>0.98365219437582352</v>
      </c>
      <c r="C29" s="14">
        <f t="shared" si="2"/>
        <v>0.99178082191780825</v>
      </c>
      <c r="D29" s="14">
        <f>1-_xlfn.BETA.DIST(VLOOKUP($A29,NB_p!$A$2:$G$25,3,FALSE),VLOOKUP($A29,NB_r!$A$2:$G$25,3,FALSE),D$20,TRUE)</f>
        <v>0.91654572033306414</v>
      </c>
      <c r="E29" s="14">
        <f t="shared" si="2"/>
        <v>0.9506849315068493</v>
      </c>
      <c r="F29" s="14">
        <f>1-_xlfn.BETA.DIST(VLOOKUP($A29,NB_p!$A$2:$G$25,3,FALSE),VLOOKUP($A29,NB_r!$A$2:$G$25,3,FALSE),F$20,TRUE)</f>
        <v>0.77756203483608077</v>
      </c>
      <c r="G29" s="14">
        <f t="shared" si="2"/>
        <v>0.80821917808219179</v>
      </c>
      <c r="H29" s="14">
        <f>1-_xlfn.BETA.DIST(VLOOKUP($A29,NB_p!$A$2:$G$25,3,FALSE),VLOOKUP($A29,NB_r!$A$2:$G$25,3,FALSE),H$20,TRUE)</f>
        <v>0.59157461568325131</v>
      </c>
      <c r="I29" s="14">
        <f t="shared" si="2"/>
        <v>0.63013698630136983</v>
      </c>
      <c r="J29" s="14">
        <f>1-_xlfn.BETA.DIST(VLOOKUP($A29,NB_p!$A$2:$G$25,3,FALSE),VLOOKUP($A29,NB_r!$A$2:$G$25,3,FALSE),J$20,TRUE)</f>
        <v>0.40493673219677129</v>
      </c>
      <c r="K29" s="14">
        <f t="shared" si="2"/>
        <v>0.37534246575342467</v>
      </c>
      <c r="L29" s="14">
        <f>1-_xlfn.BETA.DIST(VLOOKUP($A29,NB_p!$A$2:$G$25,3,FALSE),VLOOKUP($A29,NB_r!$A$2:$G$25,3,FALSE),L$20,TRUE)</f>
        <v>0.25213479107078185</v>
      </c>
      <c r="M29" s="14">
        <f t="shared" si="2"/>
        <v>0.21095890410958903</v>
      </c>
      <c r="N29" s="14">
        <f>1-_xlfn.BETA.DIST(VLOOKUP($A29,NB_p!$A$2:$G$25,3,FALSE),VLOOKUP($A29,NB_r!$A$2:$G$25,3,FALSE),N$20,TRUE)</f>
        <v>0.14460522106122986</v>
      </c>
      <c r="O29" s="17">
        <f t="shared" si="2"/>
        <v>9.8630136986301367E-2</v>
      </c>
    </row>
    <row r="30" spans="1:25" x14ac:dyDescent="0.3">
      <c r="A30" s="15">
        <v>18</v>
      </c>
      <c r="B30" s="16">
        <f>1-_xlfn.BETA.DIST(VLOOKUP($A30,NB_p!$A$2:$G$25,3,FALSE),VLOOKUP($A30,NB_r!$A$2:$G$25,3,FALSE),B$20,TRUE)</f>
        <v>0.93891744133924804</v>
      </c>
      <c r="C30" s="16">
        <f t="shared" si="2"/>
        <v>0.98356164383561639</v>
      </c>
      <c r="D30" s="16">
        <f>1-_xlfn.BETA.DIST(VLOOKUP($A30,NB_p!$A$2:$G$25,3,FALSE),VLOOKUP($A30,NB_r!$A$2:$G$25,3,FALSE),D$20,TRUE)</f>
        <v>0.79097997767335038</v>
      </c>
      <c r="E30" s="16">
        <f t="shared" si="2"/>
        <v>0.89315068493150684</v>
      </c>
      <c r="F30" s="16">
        <f>1-_xlfn.BETA.DIST(VLOOKUP($A30,NB_p!$A$2:$G$25,3,FALSE),VLOOKUP($A30,NB_r!$A$2:$G$25,3,FALSE),F$20,TRUE)</f>
        <v>0.58276883929803025</v>
      </c>
      <c r="G30" s="16">
        <f t="shared" si="2"/>
        <v>0.63287671232876708</v>
      </c>
      <c r="H30" s="16">
        <f>1-_xlfn.BETA.DIST(VLOOKUP($A30,NB_p!$A$2:$G$25,3,FALSE),VLOOKUP($A30,NB_r!$A$2:$G$25,3,FALSE),H$20,TRUE)</f>
        <v>0.37936040732296705</v>
      </c>
      <c r="I30" s="16">
        <f t="shared" si="2"/>
        <v>0.33698630136986302</v>
      </c>
      <c r="J30" s="16">
        <f>1-_xlfn.BETA.DIST(VLOOKUP($A30,NB_p!$A$2:$G$25,3,FALSE),VLOOKUP($A30,NB_r!$A$2:$G$25,3,FALSE),J$20,TRUE)</f>
        <v>0.22233895071956422</v>
      </c>
      <c r="K30" s="16">
        <f t="shared" si="2"/>
        <v>0.13972602739726028</v>
      </c>
      <c r="L30" s="16">
        <f>1-_xlfn.BETA.DIST(VLOOKUP($A30,NB_p!$A$2:$G$25,3,FALSE),VLOOKUP($A30,NB_r!$A$2:$G$25,3,FALSE),L$20,TRUE)</f>
        <v>0.11947634613720792</v>
      </c>
      <c r="M30" s="16">
        <f t="shared" si="2"/>
        <v>5.2054794520547946E-2</v>
      </c>
      <c r="N30" s="16">
        <f>1-_xlfn.BETA.DIST(VLOOKUP($A30,NB_p!$A$2:$G$25,3,FALSE),VLOOKUP($A30,NB_r!$A$2:$G$25,3,FALSE),N$20,TRUE)</f>
        <v>5.9763005921497969E-2</v>
      </c>
      <c r="O30" s="18">
        <f t="shared" si="2"/>
        <v>1.3698630136986301E-2</v>
      </c>
    </row>
    <row r="32" spans="1:25" x14ac:dyDescent="0.3">
      <c r="A32" s="1" t="s">
        <v>7</v>
      </c>
      <c r="B32" s="1">
        <v>0</v>
      </c>
      <c r="C32" s="1">
        <v>1</v>
      </c>
      <c r="D32" s="1">
        <v>2</v>
      </c>
      <c r="E32" s="1">
        <v>3</v>
      </c>
      <c r="F32" s="1">
        <v>4</v>
      </c>
      <c r="G32" s="1">
        <v>5</v>
      </c>
      <c r="H32" s="1">
        <v>6</v>
      </c>
      <c r="I32" s="1">
        <v>7</v>
      </c>
      <c r="J32" s="1">
        <v>8</v>
      </c>
      <c r="K32" s="1">
        <v>9</v>
      </c>
      <c r="L32" s="1">
        <v>10</v>
      </c>
      <c r="M32" s="1">
        <v>11</v>
      </c>
      <c r="N32" s="1">
        <v>12</v>
      </c>
      <c r="O32" s="1">
        <v>13</v>
      </c>
      <c r="P32" s="1">
        <v>14</v>
      </c>
      <c r="Q32" s="1">
        <v>15</v>
      </c>
      <c r="R32" s="1">
        <v>16</v>
      </c>
      <c r="S32" s="1">
        <v>17</v>
      </c>
      <c r="T32" s="1">
        <v>18</v>
      </c>
      <c r="U32" s="1">
        <v>19</v>
      </c>
      <c r="V32" s="1">
        <v>20</v>
      </c>
      <c r="W32" s="1">
        <v>21</v>
      </c>
      <c r="X32" s="1">
        <v>22</v>
      </c>
      <c r="Y32" s="1">
        <v>23</v>
      </c>
    </row>
    <row r="33" spans="1:25" x14ac:dyDescent="0.3">
      <c r="A33" s="2">
        <v>43466</v>
      </c>
      <c r="B33" s="1">
        <v>17</v>
      </c>
      <c r="C33" s="1">
        <v>11</v>
      </c>
      <c r="D33" s="1">
        <v>12</v>
      </c>
      <c r="E33" s="1">
        <v>10</v>
      </c>
      <c r="F33" s="1">
        <v>6</v>
      </c>
      <c r="G33" s="1">
        <v>6</v>
      </c>
      <c r="H33" s="1">
        <v>10</v>
      </c>
      <c r="I33" s="1">
        <v>8</v>
      </c>
      <c r="J33" s="1">
        <v>10</v>
      </c>
      <c r="K33" s="1">
        <v>10</v>
      </c>
      <c r="L33" s="1">
        <v>11</v>
      </c>
      <c r="M33" s="1">
        <v>19</v>
      </c>
      <c r="N33" s="1">
        <v>17</v>
      </c>
      <c r="O33" s="1">
        <v>14</v>
      </c>
      <c r="P33" s="1">
        <v>23</v>
      </c>
      <c r="Q33" s="1">
        <v>17</v>
      </c>
      <c r="R33" s="1">
        <v>23</v>
      </c>
      <c r="S33" s="1">
        <v>4</v>
      </c>
      <c r="T33" s="1">
        <v>14</v>
      </c>
      <c r="U33" s="1">
        <v>15</v>
      </c>
      <c r="V33" s="1">
        <v>13</v>
      </c>
      <c r="W33" s="1">
        <v>8</v>
      </c>
      <c r="X33" s="1">
        <v>10</v>
      </c>
      <c r="Y33" s="1">
        <v>5</v>
      </c>
    </row>
    <row r="34" spans="1:25" x14ac:dyDescent="0.3">
      <c r="A34" s="2">
        <v>43467</v>
      </c>
      <c r="B34" s="1">
        <v>11</v>
      </c>
      <c r="C34" s="1">
        <v>5</v>
      </c>
      <c r="D34" s="1">
        <v>3</v>
      </c>
      <c r="E34" s="1">
        <v>5</v>
      </c>
      <c r="F34" s="1">
        <v>2</v>
      </c>
      <c r="G34" s="1">
        <v>6</v>
      </c>
      <c r="H34" s="1">
        <v>1</v>
      </c>
      <c r="I34" s="1">
        <v>16</v>
      </c>
      <c r="J34" s="1">
        <v>20</v>
      </c>
      <c r="K34" s="1">
        <v>23</v>
      </c>
      <c r="L34" s="1">
        <v>18</v>
      </c>
      <c r="M34" s="1">
        <v>20</v>
      </c>
      <c r="N34" s="1">
        <v>29</v>
      </c>
      <c r="O34" s="1">
        <v>26</v>
      </c>
      <c r="P34" s="1">
        <v>16</v>
      </c>
      <c r="Q34" s="1">
        <v>22</v>
      </c>
      <c r="R34" s="1">
        <v>20</v>
      </c>
      <c r="S34" s="1">
        <v>34</v>
      </c>
      <c r="T34" s="1">
        <v>21</v>
      </c>
      <c r="U34" s="1">
        <v>16</v>
      </c>
      <c r="V34" s="1">
        <v>24</v>
      </c>
      <c r="W34" s="1">
        <v>5</v>
      </c>
      <c r="X34" s="1">
        <v>11</v>
      </c>
      <c r="Y34" s="1">
        <v>7</v>
      </c>
    </row>
    <row r="35" spans="1:25" x14ac:dyDescent="0.3">
      <c r="A35" s="2">
        <v>43468</v>
      </c>
      <c r="B35" s="1">
        <v>9</v>
      </c>
      <c r="C35" s="1">
        <v>3</v>
      </c>
      <c r="D35" s="1">
        <v>4</v>
      </c>
      <c r="E35" s="1">
        <v>6</v>
      </c>
      <c r="F35" s="1">
        <v>6</v>
      </c>
      <c r="G35" s="1">
        <v>8</v>
      </c>
      <c r="H35" s="1">
        <v>13</v>
      </c>
      <c r="I35" s="1">
        <v>14</v>
      </c>
      <c r="J35" s="1">
        <v>19</v>
      </c>
      <c r="K35" s="1">
        <v>36</v>
      </c>
      <c r="L35" s="1">
        <v>25</v>
      </c>
      <c r="M35" s="1">
        <v>27</v>
      </c>
      <c r="N35" s="1">
        <v>34</v>
      </c>
      <c r="O35" s="1">
        <v>23</v>
      </c>
      <c r="P35" s="1">
        <v>11</v>
      </c>
      <c r="Q35" s="1">
        <v>23</v>
      </c>
      <c r="R35" s="1">
        <v>20</v>
      </c>
      <c r="S35" s="1">
        <v>20</v>
      </c>
      <c r="T35" s="1">
        <v>26</v>
      </c>
      <c r="U35" s="1">
        <v>29</v>
      </c>
      <c r="V35" s="1">
        <v>17</v>
      </c>
      <c r="W35" s="1">
        <v>14</v>
      </c>
      <c r="X35" s="1">
        <v>11</v>
      </c>
      <c r="Y35" s="1">
        <v>14</v>
      </c>
    </row>
    <row r="36" spans="1:25" x14ac:dyDescent="0.3">
      <c r="A36" s="2">
        <v>43469</v>
      </c>
      <c r="B36" s="1">
        <v>7</v>
      </c>
      <c r="C36" s="1">
        <v>9</v>
      </c>
      <c r="D36" s="1">
        <v>4</v>
      </c>
      <c r="E36" s="1">
        <v>3</v>
      </c>
      <c r="F36" s="1">
        <v>5</v>
      </c>
      <c r="G36" s="1">
        <v>7</v>
      </c>
      <c r="H36" s="1">
        <v>23</v>
      </c>
      <c r="I36" s="1">
        <v>21</v>
      </c>
      <c r="J36" s="1">
        <v>32</v>
      </c>
      <c r="K36" s="1">
        <v>28</v>
      </c>
      <c r="L36" s="1">
        <v>22</v>
      </c>
      <c r="M36" s="1">
        <v>24</v>
      </c>
      <c r="N36" s="1">
        <v>24</v>
      </c>
      <c r="O36" s="1">
        <v>21</v>
      </c>
      <c r="P36" s="1">
        <v>24</v>
      </c>
      <c r="Q36" s="1">
        <v>29</v>
      </c>
      <c r="R36" s="1">
        <v>24</v>
      </c>
      <c r="S36" s="1">
        <v>25</v>
      </c>
      <c r="T36" s="1">
        <v>19</v>
      </c>
      <c r="U36" s="1">
        <v>23</v>
      </c>
      <c r="V36" s="1">
        <v>15</v>
      </c>
      <c r="W36" s="1">
        <v>14</v>
      </c>
      <c r="X36" s="1">
        <v>14</v>
      </c>
      <c r="Y36" s="1">
        <v>11</v>
      </c>
    </row>
    <row r="37" spans="1:25" x14ac:dyDescent="0.3">
      <c r="A37" s="2">
        <v>43470</v>
      </c>
      <c r="B37" s="1">
        <v>12</v>
      </c>
      <c r="C37" s="1">
        <v>4</v>
      </c>
      <c r="D37" s="1">
        <v>8</v>
      </c>
      <c r="E37" s="1">
        <v>7</v>
      </c>
      <c r="F37" s="1">
        <v>3</v>
      </c>
      <c r="G37" s="1">
        <v>7</v>
      </c>
      <c r="H37" s="1">
        <v>10</v>
      </c>
      <c r="I37" s="1">
        <v>9</v>
      </c>
      <c r="J37" s="1">
        <v>15</v>
      </c>
      <c r="K37" s="1">
        <v>29</v>
      </c>
      <c r="L37" s="1">
        <v>23</v>
      </c>
      <c r="M37" s="1">
        <v>23</v>
      </c>
      <c r="N37" s="1">
        <v>35</v>
      </c>
      <c r="O37" s="1">
        <v>21</v>
      </c>
      <c r="P37" s="1">
        <v>23</v>
      </c>
      <c r="Q37" s="1">
        <v>18</v>
      </c>
      <c r="R37" s="1">
        <v>15</v>
      </c>
      <c r="S37" s="1">
        <v>16</v>
      </c>
      <c r="T37" s="1">
        <v>19</v>
      </c>
      <c r="U37" s="1">
        <v>31</v>
      </c>
      <c r="V37" s="1">
        <v>13</v>
      </c>
      <c r="W37" s="1">
        <v>14</v>
      </c>
      <c r="X37" s="1">
        <v>16</v>
      </c>
      <c r="Y37" s="1">
        <v>7</v>
      </c>
    </row>
    <row r="38" spans="1:25" x14ac:dyDescent="0.3">
      <c r="A38" s="2">
        <v>43471</v>
      </c>
      <c r="B38" s="1">
        <v>6</v>
      </c>
      <c r="C38" s="1">
        <v>4</v>
      </c>
      <c r="D38" s="1">
        <v>4</v>
      </c>
      <c r="E38" s="1">
        <v>6</v>
      </c>
      <c r="F38" s="1">
        <v>16</v>
      </c>
      <c r="G38" s="1">
        <v>6</v>
      </c>
      <c r="H38" s="1">
        <v>5</v>
      </c>
      <c r="I38" s="1">
        <v>5</v>
      </c>
      <c r="J38" s="1">
        <v>14</v>
      </c>
      <c r="K38" s="1">
        <v>8</v>
      </c>
      <c r="L38" s="1">
        <v>15</v>
      </c>
      <c r="M38" s="1">
        <v>16</v>
      </c>
      <c r="N38" s="1">
        <v>18</v>
      </c>
      <c r="O38" s="1">
        <v>18</v>
      </c>
      <c r="P38" s="1">
        <v>21</v>
      </c>
      <c r="Q38" s="1">
        <v>16</v>
      </c>
      <c r="R38" s="1">
        <v>15</v>
      </c>
      <c r="S38" s="1">
        <v>9</v>
      </c>
      <c r="T38" s="1">
        <v>13</v>
      </c>
      <c r="U38" s="1">
        <v>14</v>
      </c>
      <c r="V38" s="1">
        <v>18</v>
      </c>
      <c r="W38" s="1">
        <v>12</v>
      </c>
      <c r="X38" s="1">
        <v>8</v>
      </c>
      <c r="Y38" s="1">
        <v>10</v>
      </c>
    </row>
    <row r="39" spans="1:25" x14ac:dyDescent="0.3">
      <c r="A39" s="2">
        <v>43472</v>
      </c>
      <c r="B39" s="1">
        <v>10</v>
      </c>
      <c r="C39" s="1">
        <v>5</v>
      </c>
      <c r="D39" s="1">
        <v>9</v>
      </c>
      <c r="E39" s="1">
        <v>3</v>
      </c>
      <c r="F39" s="1">
        <v>4</v>
      </c>
      <c r="G39" s="1">
        <v>7</v>
      </c>
      <c r="H39" s="1">
        <v>11</v>
      </c>
      <c r="I39" s="1">
        <v>21</v>
      </c>
      <c r="J39" s="1">
        <v>22</v>
      </c>
      <c r="K39" s="1">
        <v>35</v>
      </c>
      <c r="L39" s="1">
        <v>16</v>
      </c>
      <c r="M39" s="1">
        <v>38</v>
      </c>
      <c r="N39" s="1">
        <v>27</v>
      </c>
      <c r="O39" s="1">
        <v>27</v>
      </c>
      <c r="P39" s="1">
        <v>29</v>
      </c>
      <c r="Q39" s="1">
        <v>23</v>
      </c>
      <c r="R39" s="1">
        <v>27</v>
      </c>
      <c r="S39" s="1">
        <v>31</v>
      </c>
      <c r="T39" s="1">
        <v>24</v>
      </c>
      <c r="U39" s="1">
        <v>9</v>
      </c>
      <c r="V39" s="1">
        <v>13</v>
      </c>
      <c r="W39" s="1">
        <v>15</v>
      </c>
      <c r="X39" s="1">
        <v>10</v>
      </c>
      <c r="Y39" s="1">
        <v>13</v>
      </c>
    </row>
    <row r="40" spans="1:25" x14ac:dyDescent="0.3">
      <c r="A40" s="2">
        <v>43473</v>
      </c>
      <c r="B40" s="1">
        <v>3</v>
      </c>
      <c r="C40" s="1">
        <v>8</v>
      </c>
      <c r="D40" s="1">
        <v>4</v>
      </c>
      <c r="E40" s="1">
        <v>10</v>
      </c>
      <c r="F40" s="1">
        <v>6</v>
      </c>
      <c r="G40" s="1">
        <v>4</v>
      </c>
      <c r="H40" s="1">
        <v>5</v>
      </c>
      <c r="I40" s="1">
        <v>18</v>
      </c>
      <c r="J40" s="1">
        <v>17</v>
      </c>
      <c r="K40" s="1">
        <v>18</v>
      </c>
      <c r="L40" s="1">
        <v>22</v>
      </c>
      <c r="M40" s="1">
        <v>26</v>
      </c>
      <c r="N40" s="1">
        <v>26</v>
      </c>
      <c r="O40" s="1">
        <v>22</v>
      </c>
      <c r="P40" s="1">
        <v>18</v>
      </c>
      <c r="Q40" s="1">
        <v>21</v>
      </c>
      <c r="R40" s="1">
        <v>19</v>
      </c>
      <c r="S40" s="1">
        <v>45</v>
      </c>
      <c r="T40" s="1">
        <v>24</v>
      </c>
      <c r="U40" s="1">
        <v>15</v>
      </c>
      <c r="V40" s="1">
        <v>21</v>
      </c>
      <c r="W40" s="1">
        <v>17</v>
      </c>
      <c r="X40" s="1">
        <v>16</v>
      </c>
      <c r="Y40" s="1">
        <v>20</v>
      </c>
    </row>
    <row r="41" spans="1:25" x14ac:dyDescent="0.3">
      <c r="A41" s="2">
        <v>43474</v>
      </c>
      <c r="B41" s="1">
        <v>7</v>
      </c>
      <c r="C41" s="1">
        <v>3</v>
      </c>
      <c r="D41" s="1">
        <v>2</v>
      </c>
      <c r="E41" s="1">
        <v>10</v>
      </c>
      <c r="F41" s="1">
        <v>9</v>
      </c>
      <c r="G41" s="1">
        <v>5</v>
      </c>
      <c r="H41" s="1">
        <v>19</v>
      </c>
      <c r="I41" s="1">
        <v>25</v>
      </c>
      <c r="J41" s="1">
        <v>34</v>
      </c>
      <c r="K41" s="1">
        <v>19</v>
      </c>
      <c r="L41" s="1">
        <v>23</v>
      </c>
      <c r="M41" s="1">
        <v>20</v>
      </c>
      <c r="N41" s="1">
        <v>27</v>
      </c>
      <c r="O41" s="1">
        <v>24</v>
      </c>
      <c r="P41" s="1">
        <v>19</v>
      </c>
      <c r="Q41" s="1">
        <v>22</v>
      </c>
      <c r="R41" s="1">
        <v>31</v>
      </c>
      <c r="S41" s="1">
        <v>29</v>
      </c>
      <c r="T41" s="1">
        <v>18</v>
      </c>
      <c r="U41" s="1">
        <v>17</v>
      </c>
      <c r="V41" s="1">
        <v>14</v>
      </c>
      <c r="W41" s="1">
        <v>24</v>
      </c>
      <c r="X41" s="1">
        <v>7</v>
      </c>
      <c r="Y41" s="1">
        <v>8</v>
      </c>
    </row>
    <row r="42" spans="1:25" x14ac:dyDescent="0.3">
      <c r="A42" s="2">
        <v>43475</v>
      </c>
      <c r="B42" s="1">
        <v>5</v>
      </c>
      <c r="C42" s="1">
        <v>6</v>
      </c>
      <c r="D42" s="1">
        <v>5</v>
      </c>
      <c r="E42" s="1">
        <v>3</v>
      </c>
      <c r="F42" s="1">
        <v>7</v>
      </c>
      <c r="G42" s="1">
        <v>5</v>
      </c>
      <c r="H42" s="1">
        <v>20</v>
      </c>
      <c r="I42" s="1">
        <v>22</v>
      </c>
      <c r="J42" s="1">
        <v>21</v>
      </c>
      <c r="K42" s="1">
        <v>32</v>
      </c>
      <c r="L42" s="1">
        <v>17</v>
      </c>
      <c r="M42" s="1">
        <v>18</v>
      </c>
      <c r="N42" s="1">
        <v>24</v>
      </c>
      <c r="O42" s="1">
        <v>21</v>
      </c>
      <c r="P42" s="1">
        <v>28</v>
      </c>
      <c r="Q42" s="1">
        <v>30</v>
      </c>
      <c r="R42" s="1">
        <v>21</v>
      </c>
      <c r="S42" s="1">
        <v>34</v>
      </c>
      <c r="T42" s="1">
        <v>13</v>
      </c>
      <c r="U42" s="1">
        <v>14</v>
      </c>
      <c r="V42" s="1">
        <v>12</v>
      </c>
      <c r="W42" s="1">
        <v>14</v>
      </c>
      <c r="X42" s="1">
        <v>10</v>
      </c>
      <c r="Y42" s="1">
        <v>6</v>
      </c>
    </row>
    <row r="43" spans="1:25" x14ac:dyDescent="0.3">
      <c r="A43" s="2">
        <v>43476</v>
      </c>
      <c r="B43" s="1">
        <v>15</v>
      </c>
      <c r="C43" s="1">
        <v>7</v>
      </c>
      <c r="D43" s="1">
        <v>3</v>
      </c>
      <c r="E43" s="1">
        <v>10</v>
      </c>
      <c r="F43" s="1">
        <v>2</v>
      </c>
      <c r="G43" s="1">
        <v>3</v>
      </c>
      <c r="H43" s="1">
        <v>20</v>
      </c>
      <c r="I43" s="1">
        <v>16</v>
      </c>
      <c r="J43" s="1">
        <v>22</v>
      </c>
      <c r="K43" s="1">
        <v>24</v>
      </c>
      <c r="L43" s="1">
        <v>23</v>
      </c>
      <c r="M43" s="1">
        <v>23</v>
      </c>
      <c r="N43" s="1">
        <v>28</v>
      </c>
      <c r="O43" s="1">
        <v>27</v>
      </c>
      <c r="P43" s="1">
        <v>24</v>
      </c>
      <c r="Q43" s="1">
        <v>28</v>
      </c>
      <c r="R43" s="1">
        <v>22</v>
      </c>
      <c r="S43" s="1">
        <v>39</v>
      </c>
      <c r="T43" s="1">
        <v>39</v>
      </c>
      <c r="U43" s="1">
        <v>11</v>
      </c>
      <c r="V43" s="1">
        <v>19</v>
      </c>
      <c r="W43" s="1">
        <v>8</v>
      </c>
      <c r="X43" s="1">
        <v>12</v>
      </c>
      <c r="Y43" s="1">
        <v>12</v>
      </c>
    </row>
    <row r="44" spans="1:25" x14ac:dyDescent="0.3">
      <c r="A44" s="2">
        <v>43477</v>
      </c>
      <c r="B44" s="1">
        <v>10</v>
      </c>
      <c r="C44" s="1">
        <v>10</v>
      </c>
      <c r="D44" s="1">
        <v>3</v>
      </c>
      <c r="E44" s="1">
        <v>9</v>
      </c>
      <c r="F44" s="1">
        <v>6</v>
      </c>
      <c r="G44" s="1">
        <v>9</v>
      </c>
      <c r="H44" s="1">
        <v>3</v>
      </c>
      <c r="I44" s="1">
        <v>10</v>
      </c>
      <c r="J44" s="1">
        <v>20</v>
      </c>
      <c r="K44" s="1">
        <v>10</v>
      </c>
      <c r="L44" s="1">
        <v>20</v>
      </c>
      <c r="M44" s="1">
        <v>33</v>
      </c>
      <c r="N44" s="1">
        <v>22</v>
      </c>
      <c r="O44" s="1">
        <v>23</v>
      </c>
      <c r="P44" s="1">
        <v>28</v>
      </c>
      <c r="Q44" s="1">
        <v>22</v>
      </c>
      <c r="R44" s="1">
        <v>21</v>
      </c>
      <c r="S44" s="1">
        <v>26</v>
      </c>
      <c r="T44" s="1">
        <v>28</v>
      </c>
      <c r="U44" s="1">
        <v>18</v>
      </c>
      <c r="V44" s="1">
        <v>21</v>
      </c>
      <c r="W44" s="1">
        <v>13</v>
      </c>
      <c r="X44" s="1">
        <v>8</v>
      </c>
      <c r="Y44" s="1">
        <v>9</v>
      </c>
    </row>
    <row r="45" spans="1:25" x14ac:dyDescent="0.3">
      <c r="A45" s="2">
        <v>43478</v>
      </c>
      <c r="B45" s="1">
        <v>18</v>
      </c>
      <c r="C45" s="1">
        <v>4</v>
      </c>
      <c r="D45" s="1">
        <v>16</v>
      </c>
      <c r="E45" s="1">
        <v>7</v>
      </c>
      <c r="F45" s="1">
        <v>10</v>
      </c>
      <c r="G45" s="1">
        <v>19</v>
      </c>
      <c r="H45" s="1">
        <v>10</v>
      </c>
      <c r="I45" s="1">
        <v>15</v>
      </c>
      <c r="J45" s="1">
        <v>21</v>
      </c>
      <c r="K45" s="1">
        <v>22</v>
      </c>
      <c r="L45" s="1">
        <v>25</v>
      </c>
      <c r="M45" s="1">
        <v>11</v>
      </c>
      <c r="N45" s="1">
        <v>17</v>
      </c>
      <c r="O45" s="1">
        <v>13</v>
      </c>
      <c r="P45" s="1">
        <v>11</v>
      </c>
      <c r="Q45" s="1">
        <v>23</v>
      </c>
      <c r="R45" s="1">
        <v>15</v>
      </c>
      <c r="S45" s="1">
        <v>9</v>
      </c>
      <c r="T45" s="1">
        <v>12</v>
      </c>
      <c r="U45" s="1">
        <v>12</v>
      </c>
      <c r="V45" s="1">
        <v>22</v>
      </c>
      <c r="W45" s="1">
        <v>7</v>
      </c>
      <c r="X45" s="1">
        <v>7</v>
      </c>
      <c r="Y45" s="1">
        <v>7</v>
      </c>
    </row>
    <row r="46" spans="1:25" x14ac:dyDescent="0.3">
      <c r="A46" s="2">
        <v>43479</v>
      </c>
      <c r="B46" s="1">
        <v>5</v>
      </c>
      <c r="C46" s="1">
        <v>4</v>
      </c>
      <c r="D46" s="1">
        <v>3</v>
      </c>
      <c r="E46" s="1">
        <v>9</v>
      </c>
      <c r="F46" s="1">
        <v>3</v>
      </c>
      <c r="G46" s="1">
        <v>4</v>
      </c>
      <c r="H46" s="1">
        <v>10</v>
      </c>
      <c r="I46" s="1">
        <v>11</v>
      </c>
      <c r="J46" s="1">
        <v>32</v>
      </c>
      <c r="K46" s="1">
        <v>24</v>
      </c>
      <c r="L46" s="1">
        <v>23</v>
      </c>
      <c r="M46" s="1">
        <v>13</v>
      </c>
      <c r="N46" s="1">
        <v>25</v>
      </c>
      <c r="O46" s="1">
        <v>14</v>
      </c>
      <c r="P46" s="1">
        <v>25</v>
      </c>
      <c r="Q46" s="1">
        <v>22</v>
      </c>
      <c r="R46" s="1">
        <v>27</v>
      </c>
      <c r="S46" s="1">
        <v>42</v>
      </c>
      <c r="T46" s="1">
        <v>18</v>
      </c>
      <c r="U46" s="1">
        <v>23</v>
      </c>
      <c r="V46" s="1">
        <v>8</v>
      </c>
      <c r="W46" s="1">
        <v>18</v>
      </c>
      <c r="X46" s="1">
        <v>12</v>
      </c>
      <c r="Y46" s="1">
        <v>9</v>
      </c>
    </row>
    <row r="47" spans="1:25" x14ac:dyDescent="0.3">
      <c r="A47" s="2">
        <v>43480</v>
      </c>
      <c r="B47" s="1">
        <v>4</v>
      </c>
      <c r="C47" s="1">
        <v>6</v>
      </c>
      <c r="D47" s="1">
        <v>3</v>
      </c>
      <c r="E47" s="1">
        <v>5</v>
      </c>
      <c r="F47" s="1">
        <v>1</v>
      </c>
      <c r="G47" s="1">
        <v>6</v>
      </c>
      <c r="H47" s="1">
        <v>15</v>
      </c>
      <c r="I47" s="1">
        <v>19</v>
      </c>
      <c r="J47" s="1">
        <v>30</v>
      </c>
      <c r="K47" s="1">
        <v>20</v>
      </c>
      <c r="L47" s="1">
        <v>21</v>
      </c>
      <c r="M47" s="1">
        <v>20</v>
      </c>
      <c r="N47" s="1">
        <v>20</v>
      </c>
      <c r="O47" s="1">
        <v>17</v>
      </c>
      <c r="P47" s="1">
        <v>23</v>
      </c>
      <c r="Q47" s="1">
        <v>23</v>
      </c>
      <c r="R47" s="1">
        <v>32</v>
      </c>
      <c r="S47" s="1">
        <v>23</v>
      </c>
      <c r="T47" s="1">
        <v>15</v>
      </c>
      <c r="U47" s="1">
        <v>19</v>
      </c>
      <c r="V47" s="1">
        <v>9</v>
      </c>
      <c r="W47" s="1">
        <v>11</v>
      </c>
      <c r="X47" s="1">
        <v>9</v>
      </c>
      <c r="Y47" s="1">
        <v>8</v>
      </c>
    </row>
    <row r="48" spans="1:25" x14ac:dyDescent="0.3">
      <c r="A48" s="2">
        <v>43481</v>
      </c>
      <c r="B48" s="1">
        <v>7</v>
      </c>
      <c r="C48" s="1">
        <v>4</v>
      </c>
      <c r="D48" s="1">
        <v>6</v>
      </c>
      <c r="E48" s="1">
        <v>4</v>
      </c>
      <c r="F48" s="1">
        <v>4</v>
      </c>
      <c r="G48" s="1">
        <v>12</v>
      </c>
      <c r="H48" s="1">
        <v>13</v>
      </c>
      <c r="I48" s="1">
        <v>31</v>
      </c>
      <c r="J48" s="1">
        <v>27</v>
      </c>
      <c r="K48" s="1">
        <v>21</v>
      </c>
      <c r="L48" s="1">
        <v>28</v>
      </c>
      <c r="M48" s="1">
        <v>19</v>
      </c>
      <c r="N48" s="1">
        <v>31</v>
      </c>
      <c r="O48" s="1">
        <v>17</v>
      </c>
      <c r="P48" s="1">
        <v>24</v>
      </c>
      <c r="Q48" s="1">
        <v>25</v>
      </c>
      <c r="R48" s="1">
        <v>23</v>
      </c>
      <c r="S48" s="1">
        <v>21</v>
      </c>
      <c r="T48" s="1">
        <v>11</v>
      </c>
      <c r="U48" s="1">
        <v>19</v>
      </c>
      <c r="V48" s="1">
        <v>7</v>
      </c>
      <c r="W48" s="1">
        <v>11</v>
      </c>
      <c r="X48" s="1">
        <v>7</v>
      </c>
      <c r="Y48" s="1">
        <v>6</v>
      </c>
    </row>
    <row r="49" spans="1:25" x14ac:dyDescent="0.3">
      <c r="A49" s="2">
        <v>43482</v>
      </c>
      <c r="B49" s="1">
        <v>4</v>
      </c>
      <c r="C49" s="1">
        <v>4</v>
      </c>
      <c r="D49" s="1">
        <v>2</v>
      </c>
      <c r="E49" s="1">
        <v>9</v>
      </c>
      <c r="F49" s="1">
        <v>4</v>
      </c>
      <c r="G49" s="1">
        <v>8</v>
      </c>
      <c r="H49" s="1">
        <v>10</v>
      </c>
      <c r="I49" s="1">
        <v>16</v>
      </c>
      <c r="J49" s="1">
        <v>20</v>
      </c>
      <c r="K49" s="1">
        <v>27</v>
      </c>
      <c r="L49" s="1">
        <v>19</v>
      </c>
      <c r="M49" s="1">
        <v>21</v>
      </c>
      <c r="N49" s="1">
        <v>18</v>
      </c>
      <c r="O49" s="1">
        <v>20</v>
      </c>
      <c r="P49" s="1">
        <v>18</v>
      </c>
      <c r="Q49" s="1">
        <v>24</v>
      </c>
      <c r="R49" s="1">
        <v>30</v>
      </c>
      <c r="S49" s="1">
        <v>33</v>
      </c>
      <c r="T49" s="1">
        <v>21</v>
      </c>
      <c r="U49" s="1">
        <v>13</v>
      </c>
      <c r="V49" s="1">
        <v>6</v>
      </c>
      <c r="W49" s="1">
        <v>18</v>
      </c>
      <c r="X49" s="1">
        <v>7</v>
      </c>
      <c r="Y49" s="1">
        <v>8</v>
      </c>
    </row>
    <row r="50" spans="1:25" x14ac:dyDescent="0.3">
      <c r="A50" s="2">
        <v>43483</v>
      </c>
      <c r="B50" s="1">
        <v>5</v>
      </c>
      <c r="C50" s="1">
        <v>9</v>
      </c>
      <c r="D50" s="1">
        <v>11</v>
      </c>
      <c r="E50" s="1">
        <v>10</v>
      </c>
      <c r="F50" s="1">
        <v>5</v>
      </c>
      <c r="G50" s="1">
        <v>6</v>
      </c>
      <c r="H50" s="1">
        <v>9</v>
      </c>
      <c r="I50" s="1">
        <v>22</v>
      </c>
      <c r="J50" s="1">
        <v>18</v>
      </c>
      <c r="K50" s="1">
        <v>26</v>
      </c>
      <c r="L50" s="1">
        <v>29</v>
      </c>
      <c r="M50" s="1">
        <v>18</v>
      </c>
      <c r="N50" s="1">
        <v>29</v>
      </c>
      <c r="O50" s="1">
        <v>16</v>
      </c>
      <c r="P50" s="1">
        <v>26</v>
      </c>
      <c r="Q50" s="1">
        <v>37</v>
      </c>
      <c r="R50" s="1">
        <v>30</v>
      </c>
      <c r="S50" s="1">
        <v>29</v>
      </c>
      <c r="T50" s="1">
        <v>8</v>
      </c>
      <c r="U50" s="1">
        <v>24</v>
      </c>
      <c r="V50" s="1">
        <v>19</v>
      </c>
      <c r="W50" s="1">
        <v>13</v>
      </c>
      <c r="X50" s="1">
        <v>13</v>
      </c>
      <c r="Y50" s="1">
        <v>12</v>
      </c>
    </row>
    <row r="51" spans="1:25" x14ac:dyDescent="0.3">
      <c r="A51" s="2">
        <v>43484</v>
      </c>
      <c r="B51" s="1">
        <v>9</v>
      </c>
      <c r="C51" s="1">
        <v>5</v>
      </c>
      <c r="D51" s="1">
        <v>3</v>
      </c>
      <c r="E51" s="1">
        <v>0</v>
      </c>
      <c r="F51" s="1">
        <v>3</v>
      </c>
      <c r="G51" s="1">
        <v>7</v>
      </c>
      <c r="H51" s="1">
        <v>2</v>
      </c>
      <c r="I51" s="1">
        <v>8</v>
      </c>
      <c r="J51" s="1">
        <v>22</v>
      </c>
      <c r="K51" s="1">
        <v>17</v>
      </c>
      <c r="L51" s="1">
        <v>27</v>
      </c>
      <c r="M51" s="1">
        <v>16</v>
      </c>
      <c r="N51" s="1">
        <v>21</v>
      </c>
      <c r="O51" s="1">
        <v>19</v>
      </c>
      <c r="P51" s="1">
        <v>21</v>
      </c>
      <c r="Q51" s="1">
        <v>22</v>
      </c>
      <c r="R51" s="1">
        <v>9</v>
      </c>
      <c r="S51" s="1">
        <v>15</v>
      </c>
      <c r="T51" s="1">
        <v>14</v>
      </c>
      <c r="U51" s="1">
        <v>24</v>
      </c>
      <c r="V51" s="1">
        <v>30</v>
      </c>
      <c r="W51" s="1">
        <v>16</v>
      </c>
      <c r="X51" s="1">
        <v>10</v>
      </c>
      <c r="Y51" s="1">
        <v>9</v>
      </c>
    </row>
    <row r="52" spans="1:25" x14ac:dyDescent="0.3">
      <c r="A52" s="2">
        <v>43485</v>
      </c>
      <c r="B52" s="1">
        <v>14</v>
      </c>
      <c r="C52" s="1">
        <v>16</v>
      </c>
      <c r="D52" s="1">
        <v>8</v>
      </c>
      <c r="E52" s="1">
        <v>4</v>
      </c>
      <c r="F52" s="1">
        <v>6</v>
      </c>
      <c r="G52" s="1">
        <v>5</v>
      </c>
      <c r="H52" s="1">
        <v>5</v>
      </c>
      <c r="I52" s="1">
        <v>11</v>
      </c>
      <c r="J52" s="1">
        <v>10</v>
      </c>
      <c r="K52" s="1">
        <v>14</v>
      </c>
      <c r="L52" s="1">
        <v>19</v>
      </c>
      <c r="M52" s="1">
        <v>15</v>
      </c>
      <c r="N52" s="1">
        <v>22</v>
      </c>
      <c r="O52" s="1">
        <v>18</v>
      </c>
      <c r="P52" s="1">
        <v>21</v>
      </c>
      <c r="Q52" s="1">
        <v>14</v>
      </c>
      <c r="R52" s="1">
        <v>18</v>
      </c>
      <c r="S52" s="1">
        <v>29</v>
      </c>
      <c r="T52" s="1">
        <v>17</v>
      </c>
      <c r="U52" s="1">
        <v>20</v>
      </c>
      <c r="V52" s="1">
        <v>17</v>
      </c>
      <c r="W52" s="1">
        <v>7</v>
      </c>
      <c r="X52" s="1">
        <v>14</v>
      </c>
      <c r="Y52" s="1">
        <v>6</v>
      </c>
    </row>
    <row r="53" spans="1:25" x14ac:dyDescent="0.3">
      <c r="A53" s="2">
        <v>43486</v>
      </c>
      <c r="B53" s="1">
        <v>11</v>
      </c>
      <c r="C53" s="1">
        <v>7</v>
      </c>
      <c r="D53" s="1">
        <v>4</v>
      </c>
      <c r="E53" s="1">
        <v>13</v>
      </c>
      <c r="F53" s="1">
        <v>12</v>
      </c>
      <c r="G53" s="1">
        <v>15</v>
      </c>
      <c r="H53" s="1">
        <v>16</v>
      </c>
      <c r="I53" s="1">
        <v>21</v>
      </c>
      <c r="J53" s="1">
        <v>27</v>
      </c>
      <c r="K53" s="1">
        <v>25</v>
      </c>
      <c r="L53" s="1">
        <v>31</v>
      </c>
      <c r="M53" s="1">
        <v>25</v>
      </c>
      <c r="N53" s="1">
        <v>35</v>
      </c>
      <c r="O53" s="1">
        <v>25</v>
      </c>
      <c r="P53" s="1">
        <v>25</v>
      </c>
      <c r="Q53" s="1">
        <v>21</v>
      </c>
      <c r="R53" s="1">
        <v>28</v>
      </c>
      <c r="S53" s="1">
        <v>27</v>
      </c>
      <c r="T53" s="1">
        <v>22</v>
      </c>
      <c r="U53" s="1">
        <v>17</v>
      </c>
      <c r="V53" s="1">
        <v>18</v>
      </c>
      <c r="W53" s="1">
        <v>13</v>
      </c>
      <c r="X53" s="1">
        <v>13</v>
      </c>
      <c r="Y53" s="1">
        <v>13</v>
      </c>
    </row>
    <row r="54" spans="1:25" x14ac:dyDescent="0.3">
      <c r="A54" s="2">
        <v>43487</v>
      </c>
      <c r="B54" s="1">
        <v>9</v>
      </c>
      <c r="C54" s="1">
        <v>12</v>
      </c>
      <c r="D54" s="1">
        <v>10</v>
      </c>
      <c r="E54" s="1">
        <v>4</v>
      </c>
      <c r="F54" s="1">
        <v>4</v>
      </c>
      <c r="G54" s="1">
        <v>11</v>
      </c>
      <c r="H54" s="1">
        <v>25</v>
      </c>
      <c r="I54" s="1">
        <v>23</v>
      </c>
      <c r="J54" s="1">
        <v>38</v>
      </c>
      <c r="K54" s="1">
        <v>38</v>
      </c>
      <c r="L54" s="1">
        <v>29</v>
      </c>
      <c r="M54" s="1">
        <v>24</v>
      </c>
      <c r="N54" s="1">
        <v>24</v>
      </c>
      <c r="O54" s="1">
        <v>23</v>
      </c>
      <c r="P54" s="1">
        <v>27</v>
      </c>
      <c r="Q54" s="1">
        <v>40</v>
      </c>
      <c r="R54" s="1">
        <v>38</v>
      </c>
      <c r="S54" s="1">
        <v>29</v>
      </c>
      <c r="T54" s="1">
        <v>33</v>
      </c>
      <c r="U54" s="1">
        <v>14</v>
      </c>
      <c r="V54" s="1">
        <v>21</v>
      </c>
      <c r="W54" s="1">
        <v>23</v>
      </c>
      <c r="X54" s="1">
        <v>15</v>
      </c>
      <c r="Y54" s="1">
        <v>6</v>
      </c>
    </row>
    <row r="55" spans="1:25" x14ac:dyDescent="0.3">
      <c r="A55" s="2">
        <v>43488</v>
      </c>
      <c r="B55" s="1">
        <v>6</v>
      </c>
      <c r="C55" s="1">
        <v>4</v>
      </c>
      <c r="D55" s="1">
        <v>11</v>
      </c>
      <c r="E55" s="1">
        <v>12</v>
      </c>
      <c r="F55" s="1">
        <v>9</v>
      </c>
      <c r="G55" s="1">
        <v>6</v>
      </c>
      <c r="H55" s="1">
        <v>14</v>
      </c>
      <c r="I55" s="1">
        <v>27</v>
      </c>
      <c r="J55" s="1">
        <v>19</v>
      </c>
      <c r="K55" s="1">
        <v>21</v>
      </c>
      <c r="L55" s="1">
        <v>27</v>
      </c>
      <c r="M55" s="1">
        <v>26</v>
      </c>
      <c r="N55" s="1">
        <v>30</v>
      </c>
      <c r="O55" s="1">
        <v>31</v>
      </c>
      <c r="P55" s="1">
        <v>16</v>
      </c>
      <c r="Q55" s="1">
        <v>25</v>
      </c>
      <c r="R55" s="1">
        <v>25</v>
      </c>
      <c r="S55" s="1">
        <v>30</v>
      </c>
      <c r="T55" s="1">
        <v>22</v>
      </c>
      <c r="U55" s="1">
        <v>19</v>
      </c>
      <c r="V55" s="1">
        <v>22</v>
      </c>
      <c r="W55" s="1">
        <v>19</v>
      </c>
      <c r="X55" s="1">
        <v>13</v>
      </c>
      <c r="Y55" s="1">
        <v>10</v>
      </c>
    </row>
    <row r="56" spans="1:25" x14ac:dyDescent="0.3">
      <c r="A56" s="2">
        <v>43489</v>
      </c>
      <c r="B56" s="1">
        <v>4</v>
      </c>
      <c r="C56" s="1">
        <v>8</v>
      </c>
      <c r="D56" s="1">
        <v>11</v>
      </c>
      <c r="E56" s="1">
        <v>7</v>
      </c>
      <c r="F56" s="1">
        <v>5</v>
      </c>
      <c r="G56" s="1">
        <v>5</v>
      </c>
      <c r="H56" s="1">
        <v>9</v>
      </c>
      <c r="I56" s="1">
        <v>24</v>
      </c>
      <c r="J56" s="1">
        <v>38</v>
      </c>
      <c r="K56" s="1">
        <v>37</v>
      </c>
      <c r="L56" s="1">
        <v>19</v>
      </c>
      <c r="M56" s="1">
        <v>34</v>
      </c>
      <c r="N56" s="1">
        <v>34</v>
      </c>
      <c r="O56" s="1">
        <v>33</v>
      </c>
      <c r="P56" s="1">
        <v>26</v>
      </c>
      <c r="Q56" s="1">
        <v>33</v>
      </c>
      <c r="R56" s="1">
        <v>27</v>
      </c>
      <c r="S56" s="1">
        <v>36</v>
      </c>
      <c r="T56" s="1">
        <v>35</v>
      </c>
      <c r="U56" s="1">
        <v>28</v>
      </c>
      <c r="V56" s="1">
        <v>14</v>
      </c>
      <c r="W56" s="1">
        <v>15</v>
      </c>
      <c r="X56" s="1">
        <v>12</v>
      </c>
      <c r="Y56" s="1">
        <v>8</v>
      </c>
    </row>
    <row r="57" spans="1:25" x14ac:dyDescent="0.3">
      <c r="A57" s="2">
        <v>43490</v>
      </c>
      <c r="B57" s="1">
        <v>10</v>
      </c>
      <c r="C57" s="1">
        <v>9</v>
      </c>
      <c r="D57" s="1">
        <v>5</v>
      </c>
      <c r="E57" s="1">
        <v>7</v>
      </c>
      <c r="F57" s="1">
        <v>5</v>
      </c>
      <c r="G57" s="1">
        <v>7</v>
      </c>
      <c r="H57" s="1">
        <v>12</v>
      </c>
      <c r="I57" s="1">
        <v>32</v>
      </c>
      <c r="J57" s="1">
        <v>32</v>
      </c>
      <c r="K57" s="1">
        <v>20</v>
      </c>
      <c r="L57" s="1">
        <v>18</v>
      </c>
      <c r="M57" s="1">
        <v>24</v>
      </c>
      <c r="N57" s="1">
        <v>23</v>
      </c>
      <c r="O57" s="1">
        <v>16</v>
      </c>
      <c r="P57" s="1">
        <v>24</v>
      </c>
      <c r="Q57" s="1">
        <v>30</v>
      </c>
      <c r="R57" s="1">
        <v>29</v>
      </c>
      <c r="S57" s="1">
        <v>41</v>
      </c>
      <c r="T57" s="1">
        <v>26</v>
      </c>
      <c r="U57" s="1">
        <v>25</v>
      </c>
      <c r="V57" s="1">
        <v>14</v>
      </c>
      <c r="W57" s="1">
        <v>19</v>
      </c>
      <c r="X57" s="1">
        <v>19</v>
      </c>
      <c r="Y57" s="1">
        <v>13</v>
      </c>
    </row>
    <row r="58" spans="1:25" x14ac:dyDescent="0.3">
      <c r="A58" s="2">
        <v>43491</v>
      </c>
      <c r="B58" s="1">
        <v>7</v>
      </c>
      <c r="C58" s="1">
        <v>5</v>
      </c>
      <c r="D58" s="1">
        <v>7</v>
      </c>
      <c r="E58" s="1">
        <v>8</v>
      </c>
      <c r="F58" s="1">
        <v>7</v>
      </c>
      <c r="G58" s="1">
        <v>4</v>
      </c>
      <c r="H58" s="1">
        <v>16</v>
      </c>
      <c r="I58" s="1">
        <v>19</v>
      </c>
      <c r="J58" s="1">
        <v>18</v>
      </c>
      <c r="K58" s="1">
        <v>16</v>
      </c>
      <c r="L58" s="1">
        <v>14</v>
      </c>
      <c r="M58" s="1">
        <v>21</v>
      </c>
      <c r="N58" s="1">
        <v>21</v>
      </c>
      <c r="O58" s="1">
        <v>29</v>
      </c>
      <c r="P58" s="1">
        <v>20</v>
      </c>
      <c r="Q58" s="1">
        <v>16</v>
      </c>
      <c r="R58" s="1">
        <v>19</v>
      </c>
      <c r="S58" s="1">
        <v>11</v>
      </c>
      <c r="T58" s="1">
        <v>15</v>
      </c>
      <c r="U58" s="1">
        <v>24</v>
      </c>
      <c r="V58" s="1">
        <v>21</v>
      </c>
      <c r="W58" s="1">
        <v>11</v>
      </c>
      <c r="X58" s="1">
        <v>12</v>
      </c>
      <c r="Y58" s="1">
        <v>11</v>
      </c>
    </row>
    <row r="59" spans="1:25" x14ac:dyDescent="0.3">
      <c r="A59" s="2">
        <v>43492</v>
      </c>
      <c r="B59" s="1">
        <v>9</v>
      </c>
      <c r="C59" s="1">
        <v>6</v>
      </c>
      <c r="D59" s="1">
        <v>6</v>
      </c>
      <c r="E59" s="1">
        <v>4</v>
      </c>
      <c r="F59" s="1">
        <v>10</v>
      </c>
      <c r="G59" s="1">
        <v>4</v>
      </c>
      <c r="H59" s="1">
        <v>9</v>
      </c>
      <c r="I59" s="1">
        <v>10</v>
      </c>
      <c r="J59" s="1">
        <v>18</v>
      </c>
      <c r="K59" s="1">
        <v>15</v>
      </c>
      <c r="L59" s="1">
        <v>17</v>
      </c>
      <c r="M59" s="1">
        <v>15</v>
      </c>
      <c r="N59" s="1">
        <v>13</v>
      </c>
      <c r="O59" s="1">
        <v>23</v>
      </c>
      <c r="P59" s="1">
        <v>21</v>
      </c>
      <c r="Q59" s="1">
        <v>18</v>
      </c>
      <c r="R59" s="1">
        <v>25</v>
      </c>
      <c r="S59" s="1">
        <v>18</v>
      </c>
      <c r="T59" s="1">
        <v>17</v>
      </c>
      <c r="U59" s="1">
        <v>10</v>
      </c>
      <c r="V59" s="1">
        <v>12</v>
      </c>
      <c r="W59" s="1">
        <v>8</v>
      </c>
      <c r="X59" s="1">
        <v>9</v>
      </c>
      <c r="Y59" s="1">
        <v>17</v>
      </c>
    </row>
    <row r="60" spans="1:25" x14ac:dyDescent="0.3">
      <c r="A60" s="2">
        <v>43493</v>
      </c>
      <c r="B60" s="1">
        <v>4</v>
      </c>
      <c r="C60" s="1">
        <v>7</v>
      </c>
      <c r="D60" s="1">
        <v>8</v>
      </c>
      <c r="E60" s="1">
        <v>11</v>
      </c>
      <c r="F60" s="1">
        <v>1</v>
      </c>
      <c r="G60" s="1">
        <v>8</v>
      </c>
      <c r="H60" s="1">
        <v>12</v>
      </c>
      <c r="I60" s="1">
        <v>11</v>
      </c>
      <c r="J60" s="1">
        <v>19</v>
      </c>
      <c r="K60" s="1">
        <v>25</v>
      </c>
      <c r="L60" s="1">
        <v>34</v>
      </c>
      <c r="M60" s="1">
        <v>23</v>
      </c>
      <c r="N60" s="1">
        <v>24</v>
      </c>
      <c r="O60" s="1">
        <v>24</v>
      </c>
      <c r="P60" s="1">
        <v>27</v>
      </c>
      <c r="Q60" s="1">
        <v>30</v>
      </c>
      <c r="R60" s="1">
        <v>31</v>
      </c>
      <c r="S60" s="1">
        <v>27</v>
      </c>
      <c r="T60" s="1">
        <v>18</v>
      </c>
      <c r="U60" s="1">
        <v>24</v>
      </c>
      <c r="V60" s="1">
        <v>17</v>
      </c>
      <c r="W60" s="1">
        <v>13</v>
      </c>
      <c r="X60" s="1">
        <v>14</v>
      </c>
      <c r="Y60" s="1">
        <v>12</v>
      </c>
    </row>
    <row r="61" spans="1:25" x14ac:dyDescent="0.3">
      <c r="A61" s="2">
        <v>43494</v>
      </c>
      <c r="B61" s="1">
        <v>7</v>
      </c>
      <c r="C61" s="1">
        <v>1</v>
      </c>
      <c r="D61" s="1">
        <v>13</v>
      </c>
      <c r="E61" s="1">
        <v>9</v>
      </c>
      <c r="F61" s="1">
        <v>4</v>
      </c>
      <c r="G61" s="1">
        <v>1</v>
      </c>
      <c r="H61" s="1">
        <v>6</v>
      </c>
      <c r="I61" s="1">
        <v>12</v>
      </c>
      <c r="J61" s="1">
        <v>12</v>
      </c>
      <c r="K61" s="1">
        <v>14</v>
      </c>
      <c r="L61" s="1">
        <v>17</v>
      </c>
      <c r="M61" s="1">
        <v>18</v>
      </c>
      <c r="N61" s="1">
        <v>19</v>
      </c>
      <c r="O61" s="1">
        <v>19</v>
      </c>
      <c r="P61" s="1">
        <v>49</v>
      </c>
      <c r="Q61" s="1">
        <v>28</v>
      </c>
      <c r="R61" s="1">
        <v>58</v>
      </c>
      <c r="S61" s="1">
        <v>89</v>
      </c>
      <c r="T61" s="1">
        <v>38</v>
      </c>
      <c r="U61" s="1">
        <v>20</v>
      </c>
      <c r="V61" s="1">
        <v>12</v>
      </c>
      <c r="W61" s="1">
        <v>15</v>
      </c>
      <c r="X61" s="1">
        <v>5</v>
      </c>
      <c r="Y61" s="1">
        <v>7</v>
      </c>
    </row>
    <row r="62" spans="1:25" x14ac:dyDescent="0.3">
      <c r="A62" s="2">
        <v>43495</v>
      </c>
      <c r="B62" s="1">
        <v>12</v>
      </c>
      <c r="C62" s="1">
        <v>11</v>
      </c>
      <c r="D62" s="1">
        <v>5</v>
      </c>
      <c r="E62" s="1">
        <v>5</v>
      </c>
      <c r="F62" s="1">
        <v>3</v>
      </c>
      <c r="G62" s="1">
        <v>10</v>
      </c>
      <c r="H62" s="1">
        <v>13</v>
      </c>
      <c r="I62" s="1">
        <v>29</v>
      </c>
      <c r="J62" s="1">
        <v>24</v>
      </c>
      <c r="K62" s="1">
        <v>28</v>
      </c>
      <c r="L62" s="1">
        <v>24</v>
      </c>
      <c r="M62" s="1">
        <v>20</v>
      </c>
      <c r="N62" s="1">
        <v>25</v>
      </c>
      <c r="O62" s="1">
        <v>18</v>
      </c>
      <c r="P62" s="1">
        <v>42</v>
      </c>
      <c r="Q62" s="1">
        <v>28</v>
      </c>
      <c r="R62" s="1">
        <v>31</v>
      </c>
      <c r="S62" s="1">
        <v>23</v>
      </c>
      <c r="T62" s="1">
        <v>24</v>
      </c>
      <c r="U62" s="1">
        <v>16</v>
      </c>
      <c r="V62" s="1">
        <v>15</v>
      </c>
      <c r="W62" s="1">
        <v>12</v>
      </c>
      <c r="X62" s="1">
        <v>12</v>
      </c>
      <c r="Y62" s="1">
        <v>8</v>
      </c>
    </row>
    <row r="63" spans="1:25" x14ac:dyDescent="0.3">
      <c r="A63" s="2">
        <v>43496</v>
      </c>
      <c r="B63" s="1">
        <v>3</v>
      </c>
      <c r="C63" s="1">
        <v>4</v>
      </c>
      <c r="D63" s="1">
        <v>5</v>
      </c>
      <c r="E63" s="1">
        <v>6</v>
      </c>
      <c r="F63" s="1">
        <v>2</v>
      </c>
      <c r="G63" s="1">
        <v>10</v>
      </c>
      <c r="H63" s="1">
        <v>17</v>
      </c>
      <c r="I63" s="1">
        <v>21</v>
      </c>
      <c r="J63" s="1">
        <v>27</v>
      </c>
      <c r="K63" s="1">
        <v>25</v>
      </c>
      <c r="L63" s="1">
        <v>40</v>
      </c>
      <c r="M63" s="1">
        <v>31</v>
      </c>
      <c r="N63" s="1">
        <v>21</v>
      </c>
      <c r="O63" s="1">
        <v>27</v>
      </c>
      <c r="P63" s="1">
        <v>24</v>
      </c>
      <c r="Q63" s="1">
        <v>25</v>
      </c>
      <c r="R63" s="1">
        <v>22</v>
      </c>
      <c r="S63" s="1">
        <v>25</v>
      </c>
      <c r="T63" s="1">
        <v>23</v>
      </c>
      <c r="U63" s="1">
        <v>12</v>
      </c>
      <c r="V63" s="1">
        <v>16</v>
      </c>
      <c r="W63" s="1">
        <v>11</v>
      </c>
      <c r="X63" s="1">
        <v>4</v>
      </c>
      <c r="Y63" s="1">
        <v>9</v>
      </c>
    </row>
    <row r="64" spans="1:25" x14ac:dyDescent="0.3">
      <c r="A64" s="2">
        <v>43497</v>
      </c>
      <c r="B64" s="1">
        <v>3</v>
      </c>
      <c r="C64" s="1">
        <v>5</v>
      </c>
      <c r="D64" s="1">
        <v>9</v>
      </c>
      <c r="E64" s="1">
        <v>5</v>
      </c>
      <c r="F64" s="1">
        <v>2</v>
      </c>
      <c r="G64" s="1">
        <v>6</v>
      </c>
      <c r="H64" s="1">
        <v>21</v>
      </c>
      <c r="I64" s="1">
        <v>21</v>
      </c>
      <c r="J64" s="1">
        <v>23</v>
      </c>
      <c r="K64" s="1">
        <v>23</v>
      </c>
      <c r="L64" s="1">
        <v>22</v>
      </c>
      <c r="M64" s="1">
        <v>35</v>
      </c>
      <c r="N64" s="1">
        <v>35</v>
      </c>
      <c r="O64" s="1">
        <v>32</v>
      </c>
      <c r="P64" s="1">
        <v>39</v>
      </c>
      <c r="Q64" s="1">
        <v>42</v>
      </c>
      <c r="R64" s="1">
        <v>38</v>
      </c>
      <c r="S64" s="1">
        <v>34</v>
      </c>
      <c r="T64" s="1">
        <v>30</v>
      </c>
      <c r="U64" s="1">
        <v>18</v>
      </c>
      <c r="V64" s="1">
        <v>22</v>
      </c>
      <c r="W64" s="1">
        <v>13</v>
      </c>
      <c r="X64" s="1">
        <v>22</v>
      </c>
      <c r="Y64" s="1">
        <v>11</v>
      </c>
    </row>
    <row r="65" spans="1:25" x14ac:dyDescent="0.3">
      <c r="A65" s="2">
        <v>43498</v>
      </c>
      <c r="B65" s="1">
        <v>13</v>
      </c>
      <c r="C65" s="1">
        <v>7</v>
      </c>
      <c r="D65" s="1">
        <v>7</v>
      </c>
      <c r="E65" s="1">
        <v>6</v>
      </c>
      <c r="F65" s="1">
        <v>7</v>
      </c>
      <c r="G65" s="1">
        <v>5</v>
      </c>
      <c r="H65" s="1">
        <v>6</v>
      </c>
      <c r="I65" s="1">
        <v>9</v>
      </c>
      <c r="J65" s="1">
        <v>14</v>
      </c>
      <c r="K65" s="1">
        <v>37</v>
      </c>
      <c r="L65" s="1">
        <v>22</v>
      </c>
      <c r="M65" s="1">
        <v>28</v>
      </c>
      <c r="N65" s="1">
        <v>33</v>
      </c>
      <c r="O65" s="1">
        <v>29</v>
      </c>
      <c r="P65" s="1">
        <v>27</v>
      </c>
      <c r="Q65" s="1">
        <v>37</v>
      </c>
      <c r="R65" s="1">
        <v>29</v>
      </c>
      <c r="S65" s="1">
        <v>17</v>
      </c>
      <c r="T65" s="1">
        <v>29</v>
      </c>
      <c r="U65" s="1">
        <v>19</v>
      </c>
      <c r="V65" s="1">
        <v>12</v>
      </c>
      <c r="W65" s="1">
        <v>31</v>
      </c>
      <c r="X65" s="1">
        <v>14</v>
      </c>
      <c r="Y65" s="1">
        <v>21</v>
      </c>
    </row>
    <row r="66" spans="1:25" x14ac:dyDescent="0.3">
      <c r="A66" s="2">
        <v>43499</v>
      </c>
      <c r="B66" s="1">
        <v>12</v>
      </c>
      <c r="C66" s="1">
        <v>11</v>
      </c>
      <c r="D66" s="1">
        <v>10</v>
      </c>
      <c r="E66" s="1">
        <v>8</v>
      </c>
      <c r="F66" s="1">
        <v>6</v>
      </c>
      <c r="G66" s="1">
        <v>5</v>
      </c>
      <c r="H66" s="1">
        <v>4</v>
      </c>
      <c r="I66" s="1">
        <v>11</v>
      </c>
      <c r="J66" s="1">
        <v>14</v>
      </c>
      <c r="K66" s="1">
        <v>16</v>
      </c>
      <c r="L66" s="1">
        <v>17</v>
      </c>
      <c r="M66" s="1">
        <v>21</v>
      </c>
      <c r="N66" s="1">
        <v>21</v>
      </c>
      <c r="O66" s="1">
        <v>25</v>
      </c>
      <c r="P66" s="1">
        <v>21</v>
      </c>
      <c r="Q66" s="1">
        <v>25</v>
      </c>
      <c r="R66" s="1">
        <v>26</v>
      </c>
      <c r="S66" s="1">
        <v>13</v>
      </c>
      <c r="T66" s="1">
        <v>19</v>
      </c>
      <c r="U66" s="1">
        <v>14</v>
      </c>
      <c r="V66" s="1">
        <v>15</v>
      </c>
      <c r="W66" s="1">
        <v>10</v>
      </c>
      <c r="X66" s="1">
        <v>12</v>
      </c>
      <c r="Y66" s="1">
        <v>7</v>
      </c>
    </row>
    <row r="67" spans="1:25" x14ac:dyDescent="0.3">
      <c r="A67" s="2">
        <v>43500</v>
      </c>
      <c r="B67" s="1">
        <v>8</v>
      </c>
      <c r="C67" s="1">
        <v>3</v>
      </c>
      <c r="D67" s="1">
        <v>12</v>
      </c>
      <c r="E67" s="1">
        <v>6</v>
      </c>
      <c r="F67" s="1">
        <v>7</v>
      </c>
      <c r="G67" s="1">
        <v>11</v>
      </c>
      <c r="H67" s="1">
        <v>12</v>
      </c>
      <c r="I67" s="1">
        <v>18</v>
      </c>
      <c r="J67" s="1">
        <v>30</v>
      </c>
      <c r="K67" s="1">
        <v>28</v>
      </c>
      <c r="L67" s="1">
        <v>30</v>
      </c>
      <c r="M67" s="1">
        <v>26</v>
      </c>
      <c r="N67" s="1">
        <v>31</v>
      </c>
      <c r="O67" s="1">
        <v>23</v>
      </c>
      <c r="P67" s="1">
        <v>33</v>
      </c>
      <c r="Q67" s="1">
        <v>29</v>
      </c>
      <c r="R67" s="1">
        <v>34</v>
      </c>
      <c r="S67" s="1">
        <v>30</v>
      </c>
      <c r="T67" s="1">
        <v>31</v>
      </c>
      <c r="U67" s="1">
        <v>25</v>
      </c>
      <c r="V67" s="1">
        <v>15</v>
      </c>
      <c r="W67" s="1">
        <v>20</v>
      </c>
      <c r="X67" s="1">
        <v>8</v>
      </c>
      <c r="Y67" s="1">
        <v>6</v>
      </c>
    </row>
    <row r="68" spans="1:25" x14ac:dyDescent="0.3">
      <c r="A68" s="2">
        <v>43501</v>
      </c>
      <c r="B68" s="1">
        <v>10</v>
      </c>
      <c r="C68" s="1">
        <v>8</v>
      </c>
      <c r="D68" s="1">
        <v>2</v>
      </c>
      <c r="E68" s="1">
        <v>10</v>
      </c>
      <c r="F68" s="1">
        <v>8</v>
      </c>
      <c r="G68" s="1">
        <v>12</v>
      </c>
      <c r="H68" s="1">
        <v>15</v>
      </c>
      <c r="I68" s="1">
        <v>22</v>
      </c>
      <c r="J68" s="1">
        <v>32</v>
      </c>
      <c r="K68" s="1">
        <v>33</v>
      </c>
      <c r="L68" s="1">
        <v>26</v>
      </c>
      <c r="M68" s="1">
        <v>25</v>
      </c>
      <c r="N68" s="1">
        <v>23</v>
      </c>
      <c r="O68" s="1">
        <v>26</v>
      </c>
      <c r="P68" s="1">
        <v>25</v>
      </c>
      <c r="Q68" s="1">
        <v>37</v>
      </c>
      <c r="R68" s="1">
        <v>19</v>
      </c>
      <c r="S68" s="1">
        <v>26</v>
      </c>
      <c r="T68" s="1">
        <v>31</v>
      </c>
      <c r="U68" s="1">
        <v>15</v>
      </c>
      <c r="V68" s="1">
        <v>19</v>
      </c>
      <c r="W68" s="1">
        <v>16</v>
      </c>
      <c r="X68" s="1">
        <v>7</v>
      </c>
      <c r="Y68" s="1">
        <v>7</v>
      </c>
    </row>
    <row r="69" spans="1:25" x14ac:dyDescent="0.3">
      <c r="A69" s="2">
        <v>43502</v>
      </c>
      <c r="B69" s="1">
        <v>6</v>
      </c>
      <c r="C69" s="1">
        <v>4</v>
      </c>
      <c r="D69" s="1">
        <v>4</v>
      </c>
      <c r="E69" s="1">
        <v>5</v>
      </c>
      <c r="F69" s="1">
        <v>4</v>
      </c>
      <c r="G69" s="1">
        <v>6</v>
      </c>
      <c r="H69" s="1">
        <v>12</v>
      </c>
      <c r="I69" s="1">
        <v>23</v>
      </c>
      <c r="J69" s="1">
        <v>22</v>
      </c>
      <c r="K69" s="1">
        <v>22</v>
      </c>
      <c r="L69" s="1">
        <v>17</v>
      </c>
      <c r="M69" s="1">
        <v>18</v>
      </c>
      <c r="N69" s="1">
        <v>25</v>
      </c>
      <c r="O69" s="1">
        <v>23</v>
      </c>
      <c r="P69" s="1">
        <v>14</v>
      </c>
      <c r="Q69" s="1">
        <v>21</v>
      </c>
      <c r="R69" s="1">
        <v>33</v>
      </c>
      <c r="S69" s="1">
        <v>39</v>
      </c>
      <c r="T69" s="1">
        <v>29</v>
      </c>
      <c r="U69" s="1">
        <v>23</v>
      </c>
      <c r="V69" s="1">
        <v>21</v>
      </c>
      <c r="W69" s="1">
        <v>11</v>
      </c>
      <c r="X69" s="1">
        <v>10</v>
      </c>
      <c r="Y69" s="1">
        <v>10</v>
      </c>
    </row>
    <row r="70" spans="1:25" x14ac:dyDescent="0.3">
      <c r="A70" s="2">
        <v>43503</v>
      </c>
      <c r="B70" s="1">
        <v>8</v>
      </c>
      <c r="C70" s="1">
        <v>5</v>
      </c>
      <c r="D70" s="1">
        <v>5</v>
      </c>
      <c r="E70" s="1">
        <v>6</v>
      </c>
      <c r="F70" s="1">
        <v>5</v>
      </c>
      <c r="G70" s="1">
        <v>9</v>
      </c>
      <c r="H70" s="1">
        <v>9</v>
      </c>
      <c r="I70" s="1">
        <v>13</v>
      </c>
      <c r="J70" s="1">
        <v>27</v>
      </c>
      <c r="K70" s="1">
        <v>22</v>
      </c>
      <c r="L70" s="1">
        <v>23</v>
      </c>
      <c r="M70" s="1">
        <v>20</v>
      </c>
      <c r="N70" s="1">
        <v>23</v>
      </c>
      <c r="O70" s="1">
        <v>24</v>
      </c>
      <c r="P70" s="1">
        <v>17</v>
      </c>
      <c r="Q70" s="1">
        <v>18</v>
      </c>
      <c r="R70" s="1">
        <v>29</v>
      </c>
      <c r="S70" s="1">
        <v>28</v>
      </c>
      <c r="T70" s="1">
        <v>22</v>
      </c>
      <c r="U70" s="1">
        <v>22</v>
      </c>
      <c r="V70" s="1">
        <v>22</v>
      </c>
      <c r="W70" s="1">
        <v>13</v>
      </c>
      <c r="X70" s="1">
        <v>18</v>
      </c>
      <c r="Y70" s="1">
        <v>5</v>
      </c>
    </row>
    <row r="71" spans="1:25" x14ac:dyDescent="0.3">
      <c r="A71" s="2">
        <v>43504</v>
      </c>
      <c r="B71" s="1">
        <v>3</v>
      </c>
      <c r="C71" s="1">
        <v>6</v>
      </c>
      <c r="D71" s="1">
        <v>10</v>
      </c>
      <c r="E71" s="1">
        <v>5</v>
      </c>
      <c r="F71" s="1">
        <v>6</v>
      </c>
      <c r="G71" s="1">
        <v>10</v>
      </c>
      <c r="H71" s="1">
        <v>13</v>
      </c>
      <c r="I71" s="1">
        <v>16</v>
      </c>
      <c r="J71" s="1">
        <v>16</v>
      </c>
      <c r="K71" s="1">
        <v>20</v>
      </c>
      <c r="L71" s="1">
        <v>22</v>
      </c>
      <c r="M71" s="1">
        <v>31</v>
      </c>
      <c r="N71" s="1">
        <v>17</v>
      </c>
      <c r="O71" s="1">
        <v>28</v>
      </c>
      <c r="P71" s="1">
        <v>30</v>
      </c>
      <c r="Q71" s="1">
        <v>15</v>
      </c>
      <c r="R71" s="1">
        <v>17</v>
      </c>
      <c r="S71" s="1">
        <v>36</v>
      </c>
      <c r="T71" s="1">
        <v>28</v>
      </c>
      <c r="U71" s="1">
        <v>16</v>
      </c>
      <c r="V71" s="1">
        <v>11</v>
      </c>
      <c r="W71" s="1">
        <v>25</v>
      </c>
      <c r="X71" s="1">
        <v>14</v>
      </c>
      <c r="Y71" s="1">
        <v>10</v>
      </c>
    </row>
    <row r="72" spans="1:25" x14ac:dyDescent="0.3">
      <c r="A72" s="2">
        <v>43505</v>
      </c>
      <c r="B72" s="1">
        <v>14</v>
      </c>
      <c r="C72" s="1">
        <v>7</v>
      </c>
      <c r="D72" s="1">
        <v>4</v>
      </c>
      <c r="E72" s="1">
        <v>4</v>
      </c>
      <c r="F72" s="1">
        <v>4</v>
      </c>
      <c r="G72" s="1">
        <v>8</v>
      </c>
      <c r="H72" s="1">
        <v>7</v>
      </c>
      <c r="I72" s="1">
        <v>14</v>
      </c>
      <c r="J72" s="1">
        <v>16</v>
      </c>
      <c r="K72" s="1">
        <v>19</v>
      </c>
      <c r="L72" s="1">
        <v>21</v>
      </c>
      <c r="M72" s="1">
        <v>27</v>
      </c>
      <c r="N72" s="1">
        <v>29</v>
      </c>
      <c r="O72" s="1">
        <v>17</v>
      </c>
      <c r="P72" s="1">
        <v>17</v>
      </c>
      <c r="Q72" s="1">
        <v>21</v>
      </c>
      <c r="R72" s="1">
        <v>23</v>
      </c>
      <c r="S72" s="1">
        <v>26</v>
      </c>
      <c r="T72" s="1">
        <v>26</v>
      </c>
      <c r="U72" s="1">
        <v>23</v>
      </c>
      <c r="V72" s="1">
        <v>13</v>
      </c>
      <c r="W72" s="1">
        <v>24</v>
      </c>
      <c r="X72" s="1">
        <v>10</v>
      </c>
      <c r="Y72" s="1">
        <v>10</v>
      </c>
    </row>
    <row r="73" spans="1:25" x14ac:dyDescent="0.3">
      <c r="A73" s="2">
        <v>43506</v>
      </c>
      <c r="B73" s="1">
        <v>10</v>
      </c>
      <c r="C73" s="1">
        <v>10</v>
      </c>
      <c r="D73" s="1">
        <v>7</v>
      </c>
      <c r="E73" s="1">
        <v>5</v>
      </c>
      <c r="F73" s="1">
        <v>0</v>
      </c>
      <c r="G73" s="1">
        <v>4</v>
      </c>
      <c r="H73" s="1">
        <v>5</v>
      </c>
      <c r="I73" s="1">
        <v>10</v>
      </c>
      <c r="J73" s="1">
        <v>14</v>
      </c>
      <c r="K73" s="1">
        <v>12</v>
      </c>
      <c r="L73" s="1">
        <v>21</v>
      </c>
      <c r="M73" s="1">
        <v>29</v>
      </c>
      <c r="N73" s="1">
        <v>18</v>
      </c>
      <c r="O73" s="1">
        <v>23</v>
      </c>
      <c r="P73" s="1">
        <v>19</v>
      </c>
      <c r="Q73" s="1">
        <v>13</v>
      </c>
      <c r="R73" s="1">
        <v>19</v>
      </c>
      <c r="S73" s="1">
        <v>17</v>
      </c>
      <c r="T73" s="1">
        <v>15</v>
      </c>
      <c r="U73" s="1">
        <v>17</v>
      </c>
      <c r="V73" s="1">
        <v>8</v>
      </c>
      <c r="W73" s="1">
        <v>7</v>
      </c>
      <c r="X73" s="1">
        <v>14</v>
      </c>
      <c r="Y73" s="1">
        <v>28</v>
      </c>
    </row>
    <row r="74" spans="1:25" x14ac:dyDescent="0.3">
      <c r="A74" s="2">
        <v>43507</v>
      </c>
      <c r="B74" s="1">
        <v>24</v>
      </c>
      <c r="C74" s="1">
        <v>9</v>
      </c>
      <c r="D74" s="1">
        <v>5</v>
      </c>
      <c r="E74" s="1">
        <v>9</v>
      </c>
      <c r="F74" s="1">
        <v>15</v>
      </c>
      <c r="G74" s="1">
        <v>5</v>
      </c>
      <c r="H74" s="1">
        <v>10</v>
      </c>
      <c r="I74" s="1">
        <v>21</v>
      </c>
      <c r="J74" s="1">
        <v>24</v>
      </c>
      <c r="K74" s="1">
        <v>16</v>
      </c>
      <c r="L74" s="1">
        <v>21</v>
      </c>
      <c r="M74" s="1">
        <v>21</v>
      </c>
      <c r="N74" s="1">
        <v>19</v>
      </c>
      <c r="O74" s="1">
        <v>29</v>
      </c>
      <c r="P74" s="1">
        <v>24</v>
      </c>
      <c r="Q74" s="1">
        <v>26</v>
      </c>
      <c r="R74" s="1">
        <v>21</v>
      </c>
      <c r="S74" s="1">
        <v>17</v>
      </c>
      <c r="T74" s="1">
        <v>14</v>
      </c>
      <c r="U74" s="1">
        <v>17</v>
      </c>
      <c r="V74" s="1">
        <v>14</v>
      </c>
      <c r="W74" s="1">
        <v>15</v>
      </c>
      <c r="X74" s="1">
        <v>5</v>
      </c>
      <c r="Y74" s="1">
        <v>19</v>
      </c>
    </row>
    <row r="75" spans="1:25" x14ac:dyDescent="0.3">
      <c r="A75" s="2">
        <v>43508</v>
      </c>
      <c r="B75" s="1">
        <v>17</v>
      </c>
      <c r="C75" s="1">
        <v>9</v>
      </c>
      <c r="D75" s="1">
        <v>3</v>
      </c>
      <c r="E75" s="1">
        <v>1</v>
      </c>
      <c r="F75" s="1">
        <v>5</v>
      </c>
      <c r="G75" s="1">
        <v>11</v>
      </c>
      <c r="H75" s="1">
        <v>10</v>
      </c>
      <c r="I75" s="1">
        <v>15</v>
      </c>
      <c r="J75" s="1">
        <v>28</v>
      </c>
      <c r="K75" s="1">
        <v>50</v>
      </c>
      <c r="L75" s="1">
        <v>62</v>
      </c>
      <c r="M75" s="1">
        <v>45</v>
      </c>
      <c r="N75" s="1">
        <v>37</v>
      </c>
      <c r="O75" s="1">
        <v>41</v>
      </c>
      <c r="P75" s="1">
        <v>18</v>
      </c>
      <c r="Q75" s="1">
        <v>30</v>
      </c>
      <c r="R75" s="1">
        <v>35</v>
      </c>
      <c r="S75" s="1">
        <v>24</v>
      </c>
      <c r="T75" s="1">
        <v>20</v>
      </c>
      <c r="U75" s="1">
        <v>26</v>
      </c>
      <c r="V75" s="1">
        <v>20</v>
      </c>
      <c r="W75" s="1">
        <v>12</v>
      </c>
      <c r="X75" s="1">
        <v>6</v>
      </c>
      <c r="Y75" s="1">
        <v>9</v>
      </c>
    </row>
    <row r="76" spans="1:25" x14ac:dyDescent="0.3">
      <c r="A76" s="2">
        <v>43509</v>
      </c>
      <c r="B76" s="1">
        <v>11</v>
      </c>
      <c r="C76" s="1">
        <v>3</v>
      </c>
      <c r="D76" s="1">
        <v>6</v>
      </c>
      <c r="E76" s="1">
        <v>5</v>
      </c>
      <c r="F76" s="1">
        <v>12</v>
      </c>
      <c r="G76" s="1">
        <v>13</v>
      </c>
      <c r="H76" s="1">
        <v>28</v>
      </c>
      <c r="I76" s="1">
        <v>54</v>
      </c>
      <c r="J76" s="1">
        <v>45</v>
      </c>
      <c r="K76" s="1">
        <v>31</v>
      </c>
      <c r="L76" s="1">
        <v>34</v>
      </c>
      <c r="M76" s="1">
        <v>26</v>
      </c>
      <c r="N76" s="1">
        <v>21</v>
      </c>
      <c r="O76" s="1">
        <v>18</v>
      </c>
      <c r="P76" s="1">
        <v>30</v>
      </c>
      <c r="Q76" s="1">
        <v>19</v>
      </c>
      <c r="R76" s="1">
        <v>24</v>
      </c>
      <c r="S76" s="1">
        <v>26</v>
      </c>
      <c r="T76" s="1">
        <v>21</v>
      </c>
      <c r="U76" s="1">
        <v>28</v>
      </c>
      <c r="V76" s="1">
        <v>22</v>
      </c>
      <c r="W76" s="1">
        <v>25</v>
      </c>
      <c r="X76" s="1">
        <v>21</v>
      </c>
      <c r="Y76" s="1">
        <v>15</v>
      </c>
    </row>
    <row r="77" spans="1:25" x14ac:dyDescent="0.3">
      <c r="A77" s="2">
        <v>43510</v>
      </c>
      <c r="B77" s="1">
        <v>1</v>
      </c>
      <c r="C77" s="1">
        <v>5</v>
      </c>
      <c r="D77" s="1">
        <v>6</v>
      </c>
      <c r="E77" s="1">
        <v>2</v>
      </c>
      <c r="F77" s="1">
        <v>7</v>
      </c>
      <c r="G77" s="1">
        <v>12</v>
      </c>
      <c r="H77" s="1">
        <v>10</v>
      </c>
      <c r="I77" s="1">
        <v>32</v>
      </c>
      <c r="J77" s="1">
        <v>33</v>
      </c>
      <c r="K77" s="1">
        <v>15</v>
      </c>
      <c r="L77" s="1">
        <v>21</v>
      </c>
      <c r="M77" s="1">
        <v>27</v>
      </c>
      <c r="N77" s="1">
        <v>24</v>
      </c>
      <c r="O77" s="1">
        <v>34</v>
      </c>
      <c r="P77" s="1">
        <v>24</v>
      </c>
      <c r="Q77" s="1">
        <v>24</v>
      </c>
      <c r="R77" s="1">
        <v>28</v>
      </c>
      <c r="S77" s="1">
        <v>25</v>
      </c>
      <c r="T77" s="1">
        <v>23</v>
      </c>
      <c r="U77" s="1">
        <v>18</v>
      </c>
      <c r="V77" s="1">
        <v>10</v>
      </c>
      <c r="W77" s="1">
        <v>23</v>
      </c>
      <c r="X77" s="1">
        <v>11</v>
      </c>
      <c r="Y77" s="1">
        <v>5</v>
      </c>
    </row>
    <row r="78" spans="1:25" x14ac:dyDescent="0.3">
      <c r="A78" s="2">
        <v>43511</v>
      </c>
      <c r="B78" s="1">
        <v>11</v>
      </c>
      <c r="C78" s="1">
        <v>4</v>
      </c>
      <c r="D78" s="1">
        <v>8</v>
      </c>
      <c r="E78" s="1">
        <v>5</v>
      </c>
      <c r="F78" s="1">
        <v>4</v>
      </c>
      <c r="G78" s="1">
        <v>5</v>
      </c>
      <c r="H78" s="1">
        <v>5</v>
      </c>
      <c r="I78" s="1">
        <v>17</v>
      </c>
      <c r="J78" s="1">
        <v>35</v>
      </c>
      <c r="K78" s="1">
        <v>24</v>
      </c>
      <c r="L78" s="1">
        <v>29</v>
      </c>
      <c r="M78" s="1">
        <v>23</v>
      </c>
      <c r="N78" s="1">
        <v>25</v>
      </c>
      <c r="O78" s="1">
        <v>26</v>
      </c>
      <c r="P78" s="1">
        <v>23</v>
      </c>
      <c r="Q78" s="1">
        <v>25</v>
      </c>
      <c r="R78" s="1">
        <v>19</v>
      </c>
      <c r="S78" s="1">
        <v>21</v>
      </c>
      <c r="T78" s="1">
        <v>19</v>
      </c>
      <c r="U78" s="1">
        <v>34</v>
      </c>
      <c r="V78" s="1">
        <v>22</v>
      </c>
      <c r="W78" s="1">
        <v>20</v>
      </c>
      <c r="X78" s="1">
        <v>10</v>
      </c>
      <c r="Y78" s="1">
        <v>8</v>
      </c>
    </row>
    <row r="79" spans="1:25" x14ac:dyDescent="0.3">
      <c r="A79" s="2">
        <v>43512</v>
      </c>
      <c r="B79" s="1">
        <v>8</v>
      </c>
      <c r="C79" s="1">
        <v>7</v>
      </c>
      <c r="D79" s="1">
        <v>9</v>
      </c>
      <c r="E79" s="1">
        <v>7</v>
      </c>
      <c r="F79" s="1">
        <v>5</v>
      </c>
      <c r="G79" s="1">
        <v>3</v>
      </c>
      <c r="H79" s="1">
        <v>6</v>
      </c>
      <c r="I79" s="1">
        <v>6</v>
      </c>
      <c r="J79" s="1">
        <v>18</v>
      </c>
      <c r="K79" s="1">
        <v>21</v>
      </c>
      <c r="L79" s="1">
        <v>13</v>
      </c>
      <c r="M79" s="1">
        <v>11</v>
      </c>
      <c r="N79" s="1">
        <v>17</v>
      </c>
      <c r="O79" s="1">
        <v>18</v>
      </c>
      <c r="P79" s="1">
        <v>20</v>
      </c>
      <c r="Q79" s="1">
        <v>13</v>
      </c>
      <c r="R79" s="1">
        <v>12</v>
      </c>
      <c r="S79" s="1">
        <v>15</v>
      </c>
      <c r="T79" s="1">
        <v>17</v>
      </c>
      <c r="U79" s="1">
        <v>20</v>
      </c>
      <c r="V79" s="1">
        <v>13</v>
      </c>
      <c r="W79" s="1">
        <v>8</v>
      </c>
      <c r="X79" s="1">
        <v>16</v>
      </c>
      <c r="Y79" s="1">
        <v>6</v>
      </c>
    </row>
    <row r="80" spans="1:25" x14ac:dyDescent="0.3">
      <c r="A80" s="2">
        <v>43513</v>
      </c>
      <c r="B80" s="1">
        <v>7</v>
      </c>
      <c r="C80" s="1">
        <v>4</v>
      </c>
      <c r="D80" s="1">
        <v>11</v>
      </c>
      <c r="E80" s="1">
        <v>8</v>
      </c>
      <c r="F80" s="1">
        <v>6</v>
      </c>
      <c r="G80" s="1">
        <v>5</v>
      </c>
      <c r="H80" s="1">
        <v>5</v>
      </c>
      <c r="I80" s="1">
        <v>10</v>
      </c>
      <c r="J80" s="1">
        <v>19</v>
      </c>
      <c r="K80" s="1">
        <v>21</v>
      </c>
      <c r="L80" s="1">
        <v>15</v>
      </c>
      <c r="M80" s="1">
        <v>16</v>
      </c>
      <c r="N80" s="1">
        <v>16</v>
      </c>
      <c r="O80" s="1">
        <v>13</v>
      </c>
      <c r="P80" s="1">
        <v>22</v>
      </c>
      <c r="Q80" s="1">
        <v>14</v>
      </c>
      <c r="R80" s="1">
        <v>14</v>
      </c>
      <c r="S80" s="1">
        <v>11</v>
      </c>
      <c r="T80" s="1">
        <v>9</v>
      </c>
      <c r="U80" s="1">
        <v>17</v>
      </c>
      <c r="V80" s="1">
        <v>13</v>
      </c>
      <c r="W80" s="1">
        <v>18</v>
      </c>
      <c r="X80" s="1">
        <v>9</v>
      </c>
      <c r="Y80" s="1">
        <v>5</v>
      </c>
    </row>
    <row r="81" spans="1:25" x14ac:dyDescent="0.3">
      <c r="A81" s="2">
        <v>43514</v>
      </c>
      <c r="B81" s="1">
        <v>11</v>
      </c>
      <c r="C81" s="1">
        <v>3</v>
      </c>
      <c r="D81" s="1">
        <v>6</v>
      </c>
      <c r="E81" s="1">
        <v>2</v>
      </c>
      <c r="F81" s="1">
        <v>5</v>
      </c>
      <c r="G81" s="1">
        <v>5</v>
      </c>
      <c r="H81" s="1">
        <v>10</v>
      </c>
      <c r="I81" s="1">
        <v>15</v>
      </c>
      <c r="J81" s="1">
        <v>19</v>
      </c>
      <c r="K81" s="1">
        <v>15</v>
      </c>
      <c r="L81" s="1">
        <v>20</v>
      </c>
      <c r="M81" s="1">
        <v>31</v>
      </c>
      <c r="N81" s="1">
        <v>16</v>
      </c>
      <c r="O81" s="1">
        <v>16</v>
      </c>
      <c r="P81" s="1">
        <v>16</v>
      </c>
      <c r="Q81" s="1">
        <v>20</v>
      </c>
      <c r="R81" s="1">
        <v>28</v>
      </c>
      <c r="S81" s="1">
        <v>31</v>
      </c>
      <c r="T81" s="1">
        <v>20</v>
      </c>
      <c r="U81" s="1">
        <v>31</v>
      </c>
      <c r="V81" s="1">
        <v>13</v>
      </c>
      <c r="W81" s="1">
        <v>16</v>
      </c>
      <c r="X81" s="1">
        <v>8</v>
      </c>
      <c r="Y81" s="1">
        <v>6</v>
      </c>
    </row>
    <row r="82" spans="1:25" x14ac:dyDescent="0.3">
      <c r="A82" s="2">
        <v>43515</v>
      </c>
      <c r="B82" s="1">
        <v>1</v>
      </c>
      <c r="C82" s="1">
        <v>6</v>
      </c>
      <c r="D82" s="1">
        <v>4</v>
      </c>
      <c r="E82" s="1">
        <v>3</v>
      </c>
      <c r="F82" s="1">
        <v>3</v>
      </c>
      <c r="G82" s="1">
        <v>7</v>
      </c>
      <c r="H82" s="1">
        <v>11</v>
      </c>
      <c r="I82" s="1">
        <v>17</v>
      </c>
      <c r="J82" s="1">
        <v>17</v>
      </c>
      <c r="K82" s="1">
        <v>21</v>
      </c>
      <c r="L82" s="1">
        <v>29</v>
      </c>
      <c r="M82" s="1">
        <v>25</v>
      </c>
      <c r="N82" s="1">
        <v>26</v>
      </c>
      <c r="O82" s="1">
        <v>27</v>
      </c>
      <c r="P82" s="1">
        <v>29</v>
      </c>
      <c r="Q82" s="1">
        <v>31</v>
      </c>
      <c r="R82" s="1">
        <v>18</v>
      </c>
      <c r="S82" s="1">
        <v>18</v>
      </c>
      <c r="T82" s="1">
        <v>20</v>
      </c>
      <c r="U82" s="1">
        <v>22</v>
      </c>
      <c r="V82" s="1">
        <v>16</v>
      </c>
      <c r="W82" s="1">
        <v>11</v>
      </c>
      <c r="X82" s="1">
        <v>14</v>
      </c>
      <c r="Y82" s="1">
        <v>7</v>
      </c>
    </row>
    <row r="83" spans="1:25" x14ac:dyDescent="0.3">
      <c r="A83" s="2">
        <v>43516</v>
      </c>
      <c r="B83" s="1">
        <v>9</v>
      </c>
      <c r="C83" s="1">
        <v>7</v>
      </c>
      <c r="D83" s="1">
        <v>4</v>
      </c>
      <c r="E83" s="1">
        <v>4</v>
      </c>
      <c r="F83" s="1">
        <v>7</v>
      </c>
      <c r="G83" s="1">
        <v>6</v>
      </c>
      <c r="H83" s="1">
        <v>5</v>
      </c>
      <c r="I83" s="1">
        <v>8</v>
      </c>
      <c r="J83" s="1">
        <v>17</v>
      </c>
      <c r="K83" s="1">
        <v>17</v>
      </c>
      <c r="L83" s="1">
        <v>19</v>
      </c>
      <c r="M83" s="1">
        <v>58</v>
      </c>
      <c r="N83" s="1">
        <v>78</v>
      </c>
      <c r="O83" s="1">
        <v>29</v>
      </c>
      <c r="P83" s="1">
        <v>27</v>
      </c>
      <c r="Q83" s="1">
        <v>42</v>
      </c>
      <c r="R83" s="1">
        <v>33</v>
      </c>
      <c r="S83" s="1">
        <v>24</v>
      </c>
      <c r="T83" s="1">
        <v>22</v>
      </c>
      <c r="U83" s="1">
        <v>10</v>
      </c>
      <c r="V83" s="1">
        <v>17</v>
      </c>
      <c r="W83" s="1">
        <v>15</v>
      </c>
      <c r="X83" s="1">
        <v>12</v>
      </c>
      <c r="Y83" s="1">
        <v>12</v>
      </c>
    </row>
    <row r="84" spans="1:25" x14ac:dyDescent="0.3">
      <c r="A84" s="2">
        <v>43517</v>
      </c>
      <c r="B84" s="1">
        <v>4</v>
      </c>
      <c r="C84" s="1">
        <v>6</v>
      </c>
      <c r="D84" s="1">
        <v>4</v>
      </c>
      <c r="E84" s="1">
        <v>6</v>
      </c>
      <c r="F84" s="1">
        <v>10</v>
      </c>
      <c r="G84" s="1">
        <v>8</v>
      </c>
      <c r="H84" s="1">
        <v>10</v>
      </c>
      <c r="I84" s="1">
        <v>15</v>
      </c>
      <c r="J84" s="1">
        <v>17</v>
      </c>
      <c r="K84" s="1">
        <v>23</v>
      </c>
      <c r="L84" s="1">
        <v>31</v>
      </c>
      <c r="M84" s="1">
        <v>27</v>
      </c>
      <c r="N84" s="1">
        <v>20</v>
      </c>
      <c r="O84" s="1">
        <v>24</v>
      </c>
      <c r="P84" s="1">
        <v>25</v>
      </c>
      <c r="Q84" s="1">
        <v>24</v>
      </c>
      <c r="R84" s="1">
        <v>20</v>
      </c>
      <c r="S84" s="1">
        <v>27</v>
      </c>
      <c r="T84" s="1">
        <v>30</v>
      </c>
      <c r="U84" s="1">
        <v>24</v>
      </c>
      <c r="V84" s="1">
        <v>11</v>
      </c>
      <c r="W84" s="1">
        <v>8</v>
      </c>
      <c r="X84" s="1">
        <v>17</v>
      </c>
      <c r="Y84" s="1">
        <v>5</v>
      </c>
    </row>
    <row r="85" spans="1:25" x14ac:dyDescent="0.3">
      <c r="A85" s="2">
        <v>43518</v>
      </c>
      <c r="B85" s="1">
        <v>6</v>
      </c>
      <c r="C85" s="1">
        <v>4</v>
      </c>
      <c r="D85" s="1">
        <v>7</v>
      </c>
      <c r="E85" s="1">
        <v>9</v>
      </c>
      <c r="F85" s="1">
        <v>4</v>
      </c>
      <c r="G85" s="1">
        <v>7</v>
      </c>
      <c r="H85" s="1">
        <v>14</v>
      </c>
      <c r="I85" s="1">
        <v>10</v>
      </c>
      <c r="J85" s="1">
        <v>15</v>
      </c>
      <c r="K85" s="1">
        <v>18</v>
      </c>
      <c r="L85" s="1">
        <v>20</v>
      </c>
      <c r="M85" s="1">
        <v>18</v>
      </c>
      <c r="N85" s="1">
        <v>23</v>
      </c>
      <c r="O85" s="1">
        <v>21</v>
      </c>
      <c r="P85" s="1">
        <v>25</v>
      </c>
      <c r="Q85" s="1">
        <v>33</v>
      </c>
      <c r="R85" s="1">
        <v>24</v>
      </c>
      <c r="S85" s="1">
        <v>18</v>
      </c>
      <c r="T85" s="1">
        <v>17</v>
      </c>
      <c r="U85" s="1">
        <v>22</v>
      </c>
      <c r="V85" s="1">
        <v>15</v>
      </c>
      <c r="W85" s="1">
        <v>12</v>
      </c>
      <c r="X85" s="1">
        <v>13</v>
      </c>
      <c r="Y85" s="1">
        <v>11</v>
      </c>
    </row>
    <row r="86" spans="1:25" x14ac:dyDescent="0.3">
      <c r="A86" s="2">
        <v>43519</v>
      </c>
      <c r="B86" s="1">
        <v>7</v>
      </c>
      <c r="C86" s="1">
        <v>9</v>
      </c>
      <c r="D86" s="1">
        <v>4</v>
      </c>
      <c r="E86" s="1">
        <v>3</v>
      </c>
      <c r="F86" s="1">
        <v>9</v>
      </c>
      <c r="G86" s="1">
        <v>6</v>
      </c>
      <c r="H86" s="1">
        <v>4</v>
      </c>
      <c r="I86" s="1">
        <v>8</v>
      </c>
      <c r="J86" s="1">
        <v>6</v>
      </c>
      <c r="K86" s="1">
        <v>19</v>
      </c>
      <c r="L86" s="1">
        <v>10</v>
      </c>
      <c r="M86" s="1">
        <v>11</v>
      </c>
      <c r="N86" s="1">
        <v>12</v>
      </c>
      <c r="O86" s="1">
        <v>9</v>
      </c>
      <c r="P86" s="1">
        <v>17</v>
      </c>
      <c r="Q86" s="1">
        <v>21</v>
      </c>
      <c r="R86" s="1">
        <v>25</v>
      </c>
      <c r="S86" s="1">
        <v>13</v>
      </c>
      <c r="T86" s="1">
        <v>8</v>
      </c>
      <c r="U86" s="1">
        <v>37</v>
      </c>
      <c r="V86" s="1">
        <v>20</v>
      </c>
      <c r="W86" s="1">
        <v>20</v>
      </c>
      <c r="X86" s="1">
        <v>15</v>
      </c>
      <c r="Y86" s="1">
        <v>14</v>
      </c>
    </row>
    <row r="87" spans="1:25" x14ac:dyDescent="0.3">
      <c r="A87" s="2">
        <v>43520</v>
      </c>
      <c r="B87" s="1">
        <v>3</v>
      </c>
      <c r="C87" s="1">
        <v>13</v>
      </c>
      <c r="D87" s="1">
        <v>6</v>
      </c>
      <c r="E87" s="1">
        <v>13</v>
      </c>
      <c r="F87" s="1">
        <v>11</v>
      </c>
      <c r="G87" s="1">
        <v>3</v>
      </c>
      <c r="H87" s="1">
        <v>9</v>
      </c>
      <c r="I87" s="1">
        <v>10</v>
      </c>
      <c r="J87" s="1">
        <v>12</v>
      </c>
      <c r="K87" s="1">
        <v>16</v>
      </c>
      <c r="L87" s="1">
        <v>14</v>
      </c>
      <c r="M87" s="1">
        <v>15</v>
      </c>
      <c r="N87" s="1">
        <v>21</v>
      </c>
      <c r="O87" s="1">
        <v>9</v>
      </c>
      <c r="P87" s="1">
        <v>19</v>
      </c>
      <c r="Q87" s="1">
        <v>8</v>
      </c>
      <c r="R87" s="1">
        <v>22</v>
      </c>
      <c r="S87" s="1">
        <v>12</v>
      </c>
      <c r="T87" s="1">
        <v>22</v>
      </c>
      <c r="U87" s="1">
        <v>24</v>
      </c>
      <c r="V87" s="1">
        <v>19</v>
      </c>
      <c r="W87" s="1">
        <v>20</v>
      </c>
      <c r="X87" s="1">
        <v>35</v>
      </c>
      <c r="Y87" s="1">
        <v>21</v>
      </c>
    </row>
    <row r="88" spans="1:25" x14ac:dyDescent="0.3">
      <c r="A88" s="2">
        <v>43521</v>
      </c>
      <c r="B88" s="1">
        <v>6</v>
      </c>
      <c r="C88" s="1">
        <v>6</v>
      </c>
      <c r="D88" s="1">
        <v>7</v>
      </c>
      <c r="E88" s="1">
        <v>6</v>
      </c>
      <c r="F88" s="1">
        <v>12</v>
      </c>
      <c r="G88" s="1">
        <v>30</v>
      </c>
      <c r="H88" s="1">
        <v>39</v>
      </c>
      <c r="I88" s="1">
        <v>37</v>
      </c>
      <c r="J88" s="1">
        <v>52</v>
      </c>
      <c r="K88" s="1">
        <v>77</v>
      </c>
      <c r="L88" s="1">
        <v>45</v>
      </c>
      <c r="M88" s="1">
        <v>53</v>
      </c>
      <c r="N88" s="1">
        <v>58</v>
      </c>
      <c r="O88" s="1">
        <v>32</v>
      </c>
      <c r="P88" s="1">
        <v>47</v>
      </c>
      <c r="Q88" s="1">
        <v>46</v>
      </c>
      <c r="R88" s="1">
        <v>18</v>
      </c>
      <c r="S88" s="1">
        <v>36</v>
      </c>
      <c r="T88" s="1">
        <v>16</v>
      </c>
      <c r="U88" s="1">
        <v>22</v>
      </c>
      <c r="V88" s="1">
        <v>9</v>
      </c>
      <c r="W88" s="1">
        <v>16</v>
      </c>
      <c r="X88" s="1">
        <v>8</v>
      </c>
      <c r="Y88" s="1">
        <v>12</v>
      </c>
    </row>
    <row r="89" spans="1:25" x14ac:dyDescent="0.3">
      <c r="A89" s="2">
        <v>43522</v>
      </c>
      <c r="B89" s="1">
        <v>6</v>
      </c>
      <c r="C89" s="1">
        <v>2</v>
      </c>
      <c r="D89" s="1">
        <v>3</v>
      </c>
      <c r="E89" s="1">
        <v>8</v>
      </c>
      <c r="F89" s="1">
        <v>3</v>
      </c>
      <c r="G89" s="1">
        <v>2</v>
      </c>
      <c r="H89" s="1">
        <v>14</v>
      </c>
      <c r="I89" s="1">
        <v>24</v>
      </c>
      <c r="J89" s="1">
        <v>25</v>
      </c>
      <c r="K89" s="1">
        <v>21</v>
      </c>
      <c r="L89" s="1">
        <v>21</v>
      </c>
      <c r="M89" s="1">
        <v>25</v>
      </c>
      <c r="N89" s="1">
        <v>15</v>
      </c>
      <c r="O89" s="1">
        <v>34</v>
      </c>
      <c r="P89" s="1">
        <v>23</v>
      </c>
      <c r="Q89" s="1">
        <v>25</v>
      </c>
      <c r="R89" s="1">
        <v>30</v>
      </c>
      <c r="S89" s="1">
        <v>18</v>
      </c>
      <c r="T89" s="1">
        <v>18</v>
      </c>
      <c r="U89" s="1">
        <v>24</v>
      </c>
      <c r="V89" s="1">
        <v>15</v>
      </c>
      <c r="W89" s="1">
        <v>15</v>
      </c>
      <c r="X89" s="1">
        <v>10</v>
      </c>
      <c r="Y89" s="1">
        <v>12</v>
      </c>
    </row>
    <row r="90" spans="1:25" x14ac:dyDescent="0.3">
      <c r="A90" s="2">
        <v>43523</v>
      </c>
      <c r="B90" s="1">
        <v>5</v>
      </c>
      <c r="C90" s="1">
        <v>6</v>
      </c>
      <c r="D90" s="1">
        <v>4</v>
      </c>
      <c r="E90" s="1">
        <v>3</v>
      </c>
      <c r="F90" s="1">
        <v>1</v>
      </c>
      <c r="G90" s="1">
        <v>3</v>
      </c>
      <c r="H90" s="1">
        <v>5</v>
      </c>
      <c r="I90" s="1">
        <v>15</v>
      </c>
      <c r="J90" s="1">
        <v>22</v>
      </c>
      <c r="K90" s="1">
        <v>27</v>
      </c>
      <c r="L90" s="1">
        <v>21</v>
      </c>
      <c r="M90" s="1">
        <v>18</v>
      </c>
      <c r="N90" s="1">
        <v>23</v>
      </c>
      <c r="O90" s="1">
        <v>23</v>
      </c>
      <c r="P90" s="1">
        <v>25</v>
      </c>
      <c r="Q90" s="1">
        <v>17</v>
      </c>
      <c r="R90" s="1">
        <v>20</v>
      </c>
      <c r="S90" s="1">
        <v>28</v>
      </c>
      <c r="T90" s="1">
        <v>25</v>
      </c>
      <c r="U90" s="1">
        <v>17</v>
      </c>
      <c r="V90" s="1">
        <v>12</v>
      </c>
      <c r="W90" s="1">
        <v>14</v>
      </c>
      <c r="X90" s="1">
        <v>8</v>
      </c>
      <c r="Y90" s="1">
        <v>3</v>
      </c>
    </row>
    <row r="91" spans="1:25" x14ac:dyDescent="0.3">
      <c r="A91" s="2">
        <v>43524</v>
      </c>
      <c r="B91" s="1">
        <v>6</v>
      </c>
      <c r="C91" s="1">
        <v>7</v>
      </c>
      <c r="D91" s="1">
        <v>4</v>
      </c>
      <c r="E91" s="1">
        <v>3</v>
      </c>
      <c r="F91" s="1">
        <v>8</v>
      </c>
      <c r="G91" s="1">
        <v>14</v>
      </c>
      <c r="H91" s="1">
        <v>30</v>
      </c>
      <c r="I91" s="1">
        <v>35</v>
      </c>
      <c r="J91" s="1">
        <v>35</v>
      </c>
      <c r="K91" s="1">
        <v>15</v>
      </c>
      <c r="L91" s="1">
        <v>26</v>
      </c>
      <c r="M91" s="1">
        <v>22</v>
      </c>
      <c r="N91" s="1">
        <v>24</v>
      </c>
      <c r="O91" s="1">
        <v>34</v>
      </c>
      <c r="P91" s="1">
        <v>20</v>
      </c>
      <c r="Q91" s="1">
        <v>20</v>
      </c>
      <c r="R91" s="1">
        <v>24</v>
      </c>
      <c r="S91" s="1">
        <v>19</v>
      </c>
      <c r="T91" s="1">
        <v>28</v>
      </c>
      <c r="U91" s="1">
        <v>15</v>
      </c>
      <c r="V91" s="1">
        <v>11</v>
      </c>
      <c r="W91" s="1">
        <v>12</v>
      </c>
      <c r="X91" s="1">
        <v>8</v>
      </c>
      <c r="Y91" s="1">
        <v>11</v>
      </c>
    </row>
    <row r="92" spans="1:25" x14ac:dyDescent="0.3">
      <c r="A92" s="2">
        <v>43525</v>
      </c>
      <c r="B92" s="1">
        <v>12</v>
      </c>
      <c r="C92" s="1">
        <v>6</v>
      </c>
      <c r="D92" s="1">
        <v>13</v>
      </c>
      <c r="E92" s="1">
        <v>14</v>
      </c>
      <c r="F92" s="1">
        <v>21</v>
      </c>
      <c r="G92" s="1">
        <v>19</v>
      </c>
      <c r="H92" s="1">
        <v>27</v>
      </c>
      <c r="I92" s="1">
        <v>28</v>
      </c>
      <c r="J92" s="1">
        <v>22</v>
      </c>
      <c r="K92" s="1">
        <v>27</v>
      </c>
      <c r="L92" s="1">
        <v>22</v>
      </c>
      <c r="M92" s="1">
        <v>24</v>
      </c>
      <c r="N92" s="1">
        <v>20</v>
      </c>
      <c r="O92" s="1">
        <v>29</v>
      </c>
      <c r="P92" s="1">
        <v>15</v>
      </c>
      <c r="Q92" s="1">
        <v>27</v>
      </c>
      <c r="R92" s="1">
        <v>20</v>
      </c>
      <c r="S92" s="1">
        <v>32</v>
      </c>
      <c r="T92" s="1">
        <v>26</v>
      </c>
      <c r="U92" s="1">
        <v>23</v>
      </c>
      <c r="V92" s="1">
        <v>22</v>
      </c>
      <c r="W92" s="1">
        <v>15</v>
      </c>
      <c r="X92" s="1">
        <v>16</v>
      </c>
      <c r="Y92" s="1">
        <v>23</v>
      </c>
    </row>
    <row r="93" spans="1:25" x14ac:dyDescent="0.3">
      <c r="A93" s="2">
        <v>43526</v>
      </c>
      <c r="B93" s="1">
        <v>30</v>
      </c>
      <c r="C93" s="1">
        <v>32</v>
      </c>
      <c r="D93" s="1">
        <v>20</v>
      </c>
      <c r="E93" s="1">
        <v>16</v>
      </c>
      <c r="F93" s="1">
        <v>8</v>
      </c>
      <c r="G93" s="1">
        <v>17</v>
      </c>
      <c r="H93" s="1">
        <v>23</v>
      </c>
      <c r="I93" s="1">
        <v>17</v>
      </c>
      <c r="J93" s="1">
        <v>17</v>
      </c>
      <c r="K93" s="1">
        <v>13</v>
      </c>
      <c r="L93" s="1">
        <v>22</v>
      </c>
      <c r="M93" s="1">
        <v>29</v>
      </c>
      <c r="N93" s="1">
        <v>20</v>
      </c>
      <c r="O93" s="1">
        <v>22</v>
      </c>
      <c r="P93" s="1">
        <v>26</v>
      </c>
      <c r="Q93" s="1">
        <v>15</v>
      </c>
      <c r="R93" s="1">
        <v>13</v>
      </c>
      <c r="S93" s="1">
        <v>30</v>
      </c>
      <c r="T93" s="1">
        <v>25</v>
      </c>
      <c r="U93" s="1">
        <v>26</v>
      </c>
      <c r="V93" s="1">
        <v>16</v>
      </c>
      <c r="W93" s="1">
        <v>15</v>
      </c>
      <c r="X93" s="1">
        <v>14</v>
      </c>
      <c r="Y93" s="1">
        <v>12</v>
      </c>
    </row>
    <row r="94" spans="1:25" x14ac:dyDescent="0.3">
      <c r="A94" s="2">
        <v>43527</v>
      </c>
      <c r="B94" s="1">
        <v>7</v>
      </c>
      <c r="C94" s="1">
        <v>9</v>
      </c>
      <c r="D94" s="1">
        <v>9</v>
      </c>
      <c r="E94" s="1">
        <v>15</v>
      </c>
      <c r="F94" s="1">
        <v>6</v>
      </c>
      <c r="G94" s="1">
        <v>4</v>
      </c>
      <c r="H94" s="1">
        <v>9</v>
      </c>
      <c r="I94" s="1">
        <v>4</v>
      </c>
      <c r="J94" s="1">
        <v>18</v>
      </c>
      <c r="K94" s="1">
        <v>11</v>
      </c>
      <c r="L94" s="1">
        <v>16</v>
      </c>
      <c r="M94" s="1">
        <v>16</v>
      </c>
      <c r="N94" s="1">
        <v>25</v>
      </c>
      <c r="O94" s="1">
        <v>23</v>
      </c>
      <c r="P94" s="1">
        <v>19</v>
      </c>
      <c r="Q94" s="1">
        <v>15</v>
      </c>
      <c r="R94" s="1">
        <v>25</v>
      </c>
      <c r="S94" s="1">
        <v>19</v>
      </c>
      <c r="T94" s="1">
        <v>15</v>
      </c>
      <c r="U94" s="1">
        <v>43</v>
      </c>
      <c r="V94" s="1">
        <v>50</v>
      </c>
      <c r="W94" s="1">
        <v>52</v>
      </c>
      <c r="X94" s="1">
        <v>35</v>
      </c>
      <c r="Y94" s="1">
        <v>37</v>
      </c>
    </row>
    <row r="95" spans="1:25" x14ac:dyDescent="0.3">
      <c r="A95" s="2">
        <v>43528</v>
      </c>
      <c r="B95" s="1">
        <v>30</v>
      </c>
      <c r="C95" s="1">
        <v>21</v>
      </c>
      <c r="D95" s="1">
        <v>8</v>
      </c>
      <c r="E95" s="1">
        <v>11</v>
      </c>
      <c r="F95" s="1">
        <v>10</v>
      </c>
      <c r="G95" s="1">
        <v>16</v>
      </c>
      <c r="H95" s="1">
        <v>18</v>
      </c>
      <c r="I95" s="1">
        <v>36</v>
      </c>
      <c r="J95" s="1">
        <v>44</v>
      </c>
      <c r="K95" s="1">
        <v>49</v>
      </c>
      <c r="L95" s="1">
        <v>24</v>
      </c>
      <c r="M95" s="1">
        <v>27</v>
      </c>
      <c r="N95" s="1">
        <v>21</v>
      </c>
      <c r="O95" s="1">
        <v>29</v>
      </c>
      <c r="P95" s="1">
        <v>19</v>
      </c>
      <c r="Q95" s="1">
        <v>34</v>
      </c>
      <c r="R95" s="1">
        <v>31</v>
      </c>
      <c r="S95" s="1">
        <v>25</v>
      </c>
      <c r="T95" s="1">
        <v>13</v>
      </c>
      <c r="U95" s="1">
        <v>22</v>
      </c>
      <c r="V95" s="1">
        <v>24</v>
      </c>
      <c r="W95" s="1">
        <v>25</v>
      </c>
      <c r="X95" s="1">
        <v>12</v>
      </c>
      <c r="Y95" s="1">
        <v>6</v>
      </c>
    </row>
    <row r="96" spans="1:25" x14ac:dyDescent="0.3">
      <c r="A96" s="2">
        <v>43529</v>
      </c>
      <c r="B96" s="1">
        <v>6</v>
      </c>
      <c r="C96" s="1">
        <v>4</v>
      </c>
      <c r="D96" s="1">
        <v>5</v>
      </c>
      <c r="E96" s="1">
        <v>8</v>
      </c>
      <c r="F96" s="1">
        <v>5</v>
      </c>
      <c r="G96" s="1">
        <v>13</v>
      </c>
      <c r="H96" s="1">
        <v>16</v>
      </c>
      <c r="I96" s="1">
        <v>15</v>
      </c>
      <c r="J96" s="1">
        <v>28</v>
      </c>
      <c r="K96" s="1">
        <v>29</v>
      </c>
      <c r="L96" s="1">
        <v>28</v>
      </c>
      <c r="M96" s="1">
        <v>24</v>
      </c>
      <c r="N96" s="1">
        <v>31</v>
      </c>
      <c r="O96" s="1">
        <v>26</v>
      </c>
      <c r="P96" s="1">
        <v>26</v>
      </c>
      <c r="Q96" s="1">
        <v>33</v>
      </c>
      <c r="R96" s="1">
        <v>22</v>
      </c>
      <c r="S96" s="1">
        <v>33</v>
      </c>
      <c r="T96" s="1">
        <v>13</v>
      </c>
      <c r="U96" s="1">
        <v>23</v>
      </c>
      <c r="V96" s="1">
        <v>12</v>
      </c>
      <c r="W96" s="1">
        <v>19</v>
      </c>
      <c r="X96" s="1">
        <v>10</v>
      </c>
      <c r="Y96" s="1">
        <v>9</v>
      </c>
    </row>
    <row r="97" spans="1:25" x14ac:dyDescent="0.3">
      <c r="A97" s="2">
        <v>43530</v>
      </c>
      <c r="B97" s="1">
        <v>16</v>
      </c>
      <c r="C97" s="1">
        <v>6</v>
      </c>
      <c r="D97" s="1">
        <v>7</v>
      </c>
      <c r="E97" s="1">
        <v>2</v>
      </c>
      <c r="F97" s="1">
        <v>4</v>
      </c>
      <c r="G97" s="1">
        <v>11</v>
      </c>
      <c r="H97" s="1">
        <v>8</v>
      </c>
      <c r="I97" s="1">
        <v>33</v>
      </c>
      <c r="J97" s="1">
        <v>18</v>
      </c>
      <c r="K97" s="1">
        <v>22</v>
      </c>
      <c r="L97" s="1">
        <v>22</v>
      </c>
      <c r="M97" s="1">
        <v>20</v>
      </c>
      <c r="N97" s="1">
        <v>24</v>
      </c>
      <c r="O97" s="1">
        <v>32</v>
      </c>
      <c r="P97" s="1">
        <v>28</v>
      </c>
      <c r="Q97" s="1">
        <v>29</v>
      </c>
      <c r="R97" s="1">
        <v>21</v>
      </c>
      <c r="S97" s="1">
        <v>26</v>
      </c>
      <c r="T97" s="1">
        <v>32</v>
      </c>
      <c r="U97" s="1">
        <v>23</v>
      </c>
      <c r="V97" s="1">
        <v>20</v>
      </c>
      <c r="W97" s="1">
        <v>10</v>
      </c>
      <c r="X97" s="1">
        <v>9</v>
      </c>
      <c r="Y97" s="1">
        <v>12</v>
      </c>
    </row>
    <row r="98" spans="1:25" x14ac:dyDescent="0.3">
      <c r="A98" s="2">
        <v>43531</v>
      </c>
      <c r="B98" s="1">
        <v>5</v>
      </c>
      <c r="C98" s="1">
        <v>7</v>
      </c>
      <c r="D98" s="1">
        <v>4</v>
      </c>
      <c r="E98" s="1">
        <v>6</v>
      </c>
      <c r="F98" s="1">
        <v>5</v>
      </c>
      <c r="G98" s="1">
        <v>3</v>
      </c>
      <c r="H98" s="1">
        <v>8</v>
      </c>
      <c r="I98" s="1">
        <v>15</v>
      </c>
      <c r="J98" s="1">
        <v>20</v>
      </c>
      <c r="K98" s="1">
        <v>24</v>
      </c>
      <c r="L98" s="1">
        <v>33</v>
      </c>
      <c r="M98" s="1">
        <v>24</v>
      </c>
      <c r="N98" s="1">
        <v>23</v>
      </c>
      <c r="O98" s="1">
        <v>27</v>
      </c>
      <c r="P98" s="1">
        <v>18</v>
      </c>
      <c r="Q98" s="1">
        <v>25</v>
      </c>
      <c r="R98" s="1">
        <v>24</v>
      </c>
      <c r="S98" s="1">
        <v>22</v>
      </c>
      <c r="T98" s="1">
        <v>15</v>
      </c>
      <c r="U98" s="1">
        <v>26</v>
      </c>
      <c r="V98" s="1">
        <v>17</v>
      </c>
      <c r="W98" s="1">
        <v>14</v>
      </c>
      <c r="X98" s="1">
        <v>10</v>
      </c>
      <c r="Y98" s="1">
        <v>12</v>
      </c>
    </row>
    <row r="99" spans="1:25" x14ac:dyDescent="0.3">
      <c r="A99" s="2">
        <v>43532</v>
      </c>
      <c r="B99" s="1">
        <v>9</v>
      </c>
      <c r="C99" s="1">
        <v>7</v>
      </c>
      <c r="D99" s="1">
        <v>4</v>
      </c>
      <c r="E99" s="1">
        <v>4</v>
      </c>
      <c r="F99" s="1">
        <v>5</v>
      </c>
      <c r="G99" s="1">
        <v>3</v>
      </c>
      <c r="H99" s="1">
        <v>7</v>
      </c>
      <c r="I99" s="1">
        <v>21</v>
      </c>
      <c r="J99" s="1">
        <v>18</v>
      </c>
      <c r="K99" s="1">
        <v>16</v>
      </c>
      <c r="L99" s="1">
        <v>25</v>
      </c>
      <c r="M99" s="1">
        <v>24</v>
      </c>
      <c r="N99" s="1">
        <v>25</v>
      </c>
      <c r="O99" s="1">
        <v>26</v>
      </c>
      <c r="P99" s="1">
        <v>17</v>
      </c>
      <c r="Q99" s="1">
        <v>30</v>
      </c>
      <c r="R99" s="1">
        <v>35</v>
      </c>
      <c r="S99" s="1">
        <v>28</v>
      </c>
      <c r="T99" s="1">
        <v>21</v>
      </c>
      <c r="U99" s="1">
        <v>18</v>
      </c>
      <c r="V99" s="1">
        <v>10</v>
      </c>
      <c r="W99" s="1">
        <v>12</v>
      </c>
      <c r="X99" s="1">
        <v>10</v>
      </c>
      <c r="Y99" s="1">
        <v>7</v>
      </c>
    </row>
    <row r="100" spans="1:25" x14ac:dyDescent="0.3">
      <c r="A100" s="2">
        <v>43533</v>
      </c>
      <c r="B100" s="1">
        <v>19</v>
      </c>
      <c r="C100" s="1">
        <v>6</v>
      </c>
      <c r="D100" s="1">
        <v>12</v>
      </c>
      <c r="E100" s="1">
        <v>3</v>
      </c>
      <c r="F100" s="1">
        <v>4</v>
      </c>
      <c r="G100" s="1">
        <v>11</v>
      </c>
      <c r="H100" s="1">
        <v>9</v>
      </c>
      <c r="I100" s="1">
        <v>13</v>
      </c>
      <c r="J100" s="1">
        <v>24</v>
      </c>
      <c r="K100" s="1">
        <v>24</v>
      </c>
      <c r="L100" s="1">
        <v>25</v>
      </c>
      <c r="M100" s="1">
        <v>20</v>
      </c>
      <c r="N100" s="1">
        <v>23</v>
      </c>
      <c r="O100" s="1">
        <v>27</v>
      </c>
      <c r="P100" s="1">
        <v>19</v>
      </c>
      <c r="Q100" s="1">
        <v>16</v>
      </c>
      <c r="R100" s="1">
        <v>20</v>
      </c>
      <c r="S100" s="1">
        <v>30</v>
      </c>
      <c r="T100" s="1">
        <v>22</v>
      </c>
      <c r="U100" s="1">
        <v>15</v>
      </c>
      <c r="V100" s="1">
        <v>16</v>
      </c>
      <c r="W100" s="1">
        <v>26</v>
      </c>
      <c r="X100" s="1">
        <v>10</v>
      </c>
      <c r="Y100" s="1">
        <v>4</v>
      </c>
    </row>
    <row r="101" spans="1:25" x14ac:dyDescent="0.3">
      <c r="A101" s="2">
        <v>43534</v>
      </c>
      <c r="B101" s="1">
        <v>14</v>
      </c>
      <c r="C101" s="1">
        <v>13</v>
      </c>
      <c r="D101" s="1">
        <v>0</v>
      </c>
      <c r="E101" s="1">
        <v>10</v>
      </c>
      <c r="F101" s="1">
        <v>6</v>
      </c>
      <c r="G101" s="1">
        <v>9</v>
      </c>
      <c r="H101" s="1">
        <v>7</v>
      </c>
      <c r="I101" s="1">
        <v>8</v>
      </c>
      <c r="J101" s="1">
        <v>15</v>
      </c>
      <c r="K101" s="1">
        <v>14</v>
      </c>
      <c r="L101" s="1">
        <v>16</v>
      </c>
      <c r="M101" s="1">
        <v>17</v>
      </c>
      <c r="N101" s="1">
        <v>15</v>
      </c>
      <c r="O101" s="1">
        <v>5</v>
      </c>
      <c r="P101" s="1">
        <v>14</v>
      </c>
      <c r="Q101" s="1">
        <v>21</v>
      </c>
      <c r="R101" s="1">
        <v>21</v>
      </c>
      <c r="S101" s="1">
        <v>17</v>
      </c>
      <c r="T101" s="1">
        <v>19</v>
      </c>
      <c r="U101" s="1">
        <v>20</v>
      </c>
      <c r="V101" s="1">
        <v>22</v>
      </c>
      <c r="W101" s="1">
        <v>10</v>
      </c>
      <c r="X101" s="1">
        <v>9</v>
      </c>
      <c r="Y101" s="1">
        <v>8</v>
      </c>
    </row>
    <row r="102" spans="1:25" x14ac:dyDescent="0.3">
      <c r="A102" s="2">
        <v>43535</v>
      </c>
      <c r="B102" s="1">
        <v>6</v>
      </c>
      <c r="C102" s="1">
        <v>4</v>
      </c>
      <c r="D102" s="1">
        <v>13</v>
      </c>
      <c r="E102" s="1">
        <v>9</v>
      </c>
      <c r="F102" s="1">
        <v>8</v>
      </c>
      <c r="G102" s="1">
        <v>8</v>
      </c>
      <c r="H102" s="1">
        <v>11</v>
      </c>
      <c r="I102" s="1">
        <v>17</v>
      </c>
      <c r="J102" s="1">
        <v>15</v>
      </c>
      <c r="K102" s="1">
        <v>24</v>
      </c>
      <c r="L102" s="1">
        <v>17</v>
      </c>
      <c r="M102" s="1">
        <v>22</v>
      </c>
      <c r="N102" s="1">
        <v>32</v>
      </c>
      <c r="O102" s="1">
        <v>19</v>
      </c>
      <c r="P102" s="1">
        <v>24</v>
      </c>
      <c r="Q102" s="1">
        <v>19</v>
      </c>
      <c r="R102" s="1">
        <v>24</v>
      </c>
      <c r="S102" s="1">
        <v>32</v>
      </c>
      <c r="T102" s="1">
        <v>18</v>
      </c>
      <c r="U102" s="1">
        <v>19</v>
      </c>
      <c r="V102" s="1">
        <v>16</v>
      </c>
      <c r="W102" s="1">
        <v>19</v>
      </c>
      <c r="X102" s="1">
        <v>12</v>
      </c>
      <c r="Y102" s="1">
        <v>7</v>
      </c>
    </row>
    <row r="103" spans="1:25" x14ac:dyDescent="0.3">
      <c r="A103" s="2">
        <v>43536</v>
      </c>
      <c r="B103" s="1">
        <v>8</v>
      </c>
      <c r="C103" s="1">
        <v>3</v>
      </c>
      <c r="D103" s="1">
        <v>7</v>
      </c>
      <c r="E103" s="1">
        <v>2</v>
      </c>
      <c r="F103" s="1">
        <v>5</v>
      </c>
      <c r="G103" s="1">
        <v>9</v>
      </c>
      <c r="H103" s="1">
        <v>17</v>
      </c>
      <c r="I103" s="1">
        <v>34</v>
      </c>
      <c r="J103" s="1">
        <v>36</v>
      </c>
      <c r="K103" s="1">
        <v>39</v>
      </c>
      <c r="L103" s="1">
        <v>15</v>
      </c>
      <c r="M103" s="1">
        <v>21</v>
      </c>
      <c r="N103" s="1">
        <v>20</v>
      </c>
      <c r="O103" s="1">
        <v>13</v>
      </c>
      <c r="P103" s="1">
        <v>21</v>
      </c>
      <c r="Q103" s="1">
        <v>32</v>
      </c>
      <c r="R103" s="1">
        <v>23</v>
      </c>
      <c r="S103" s="1">
        <v>41</v>
      </c>
      <c r="T103" s="1">
        <v>16</v>
      </c>
      <c r="U103" s="1">
        <v>18</v>
      </c>
      <c r="V103" s="1">
        <v>15</v>
      </c>
      <c r="W103" s="1">
        <v>12</v>
      </c>
      <c r="X103" s="1">
        <v>2</v>
      </c>
      <c r="Y103" s="1">
        <v>9</v>
      </c>
    </row>
    <row r="104" spans="1:25" x14ac:dyDescent="0.3">
      <c r="A104" s="2">
        <v>43537</v>
      </c>
      <c r="B104" s="1">
        <v>5</v>
      </c>
      <c r="C104" s="1">
        <v>6</v>
      </c>
      <c r="D104" s="1">
        <v>5</v>
      </c>
      <c r="E104" s="1">
        <v>2</v>
      </c>
      <c r="F104" s="1">
        <v>5</v>
      </c>
      <c r="G104" s="1">
        <v>10</v>
      </c>
      <c r="H104" s="1">
        <v>14</v>
      </c>
      <c r="I104" s="1">
        <v>13</v>
      </c>
      <c r="J104" s="1">
        <v>22</v>
      </c>
      <c r="K104" s="1">
        <v>25</v>
      </c>
      <c r="L104" s="1">
        <v>10</v>
      </c>
      <c r="M104" s="1">
        <v>16</v>
      </c>
      <c r="N104" s="1">
        <v>23</v>
      </c>
      <c r="O104" s="1">
        <v>18</v>
      </c>
      <c r="P104" s="1">
        <v>20</v>
      </c>
      <c r="Q104" s="1">
        <v>21</v>
      </c>
      <c r="R104" s="1">
        <v>20</v>
      </c>
      <c r="S104" s="1">
        <v>24</v>
      </c>
      <c r="T104" s="1">
        <v>17</v>
      </c>
      <c r="U104" s="1">
        <v>27</v>
      </c>
      <c r="V104" s="1">
        <v>15</v>
      </c>
      <c r="W104" s="1">
        <v>13</v>
      </c>
      <c r="X104" s="1">
        <v>10</v>
      </c>
      <c r="Y104" s="1">
        <v>10</v>
      </c>
    </row>
    <row r="105" spans="1:25" x14ac:dyDescent="0.3">
      <c r="A105" s="2">
        <v>43538</v>
      </c>
      <c r="B105" s="1">
        <v>4</v>
      </c>
      <c r="C105" s="1">
        <v>2</v>
      </c>
      <c r="D105" s="1">
        <v>3</v>
      </c>
      <c r="E105" s="1">
        <v>7</v>
      </c>
      <c r="F105" s="1">
        <v>9</v>
      </c>
      <c r="G105" s="1">
        <v>6</v>
      </c>
      <c r="H105" s="1">
        <v>11</v>
      </c>
      <c r="I105" s="1">
        <v>17</v>
      </c>
      <c r="J105" s="1">
        <v>21</v>
      </c>
      <c r="K105" s="1">
        <v>16</v>
      </c>
      <c r="L105" s="1">
        <v>22</v>
      </c>
      <c r="M105" s="1">
        <v>20</v>
      </c>
      <c r="N105" s="1">
        <v>16</v>
      </c>
      <c r="O105" s="1">
        <v>29</v>
      </c>
      <c r="P105" s="1">
        <v>30</v>
      </c>
      <c r="Q105" s="1">
        <v>30</v>
      </c>
      <c r="R105" s="1">
        <v>25</v>
      </c>
      <c r="S105" s="1">
        <v>21</v>
      </c>
      <c r="T105" s="1">
        <v>16</v>
      </c>
      <c r="U105" s="1">
        <v>20</v>
      </c>
      <c r="V105" s="1">
        <v>17</v>
      </c>
      <c r="W105" s="1">
        <v>13</v>
      </c>
      <c r="X105" s="1">
        <v>11</v>
      </c>
      <c r="Y105" s="1">
        <v>15</v>
      </c>
    </row>
    <row r="106" spans="1:25" x14ac:dyDescent="0.3">
      <c r="A106" s="2">
        <v>43539</v>
      </c>
      <c r="B106" s="1">
        <v>4</v>
      </c>
      <c r="C106" s="1">
        <v>5</v>
      </c>
      <c r="D106" s="1">
        <v>8</v>
      </c>
      <c r="E106" s="1">
        <v>2</v>
      </c>
      <c r="F106" s="1">
        <v>10</v>
      </c>
      <c r="G106" s="1">
        <v>4</v>
      </c>
      <c r="H106" s="1">
        <v>17</v>
      </c>
      <c r="I106" s="1">
        <v>24</v>
      </c>
      <c r="J106" s="1">
        <v>24</v>
      </c>
      <c r="K106" s="1">
        <v>19</v>
      </c>
      <c r="L106" s="1">
        <v>25</v>
      </c>
      <c r="M106" s="1">
        <v>26</v>
      </c>
      <c r="N106" s="1">
        <v>21</v>
      </c>
      <c r="O106" s="1">
        <v>32</v>
      </c>
      <c r="P106" s="1">
        <v>36</v>
      </c>
      <c r="Q106" s="1">
        <v>32</v>
      </c>
      <c r="R106" s="1">
        <v>32</v>
      </c>
      <c r="S106" s="1">
        <v>25</v>
      </c>
      <c r="T106" s="1">
        <v>24</v>
      </c>
      <c r="U106" s="1">
        <v>36</v>
      </c>
      <c r="V106" s="1">
        <v>31</v>
      </c>
      <c r="W106" s="1">
        <v>24</v>
      </c>
      <c r="X106" s="1">
        <v>15</v>
      </c>
      <c r="Y106" s="1">
        <v>11</v>
      </c>
    </row>
    <row r="107" spans="1:25" x14ac:dyDescent="0.3">
      <c r="A107" s="2">
        <v>43540</v>
      </c>
      <c r="B107" s="1">
        <v>17</v>
      </c>
      <c r="C107" s="1">
        <v>5</v>
      </c>
      <c r="D107" s="1">
        <v>10</v>
      </c>
      <c r="E107" s="1">
        <v>6</v>
      </c>
      <c r="F107" s="1">
        <v>4</v>
      </c>
      <c r="G107" s="1">
        <v>2</v>
      </c>
      <c r="H107" s="1">
        <v>7</v>
      </c>
      <c r="I107" s="1">
        <v>6</v>
      </c>
      <c r="J107" s="1">
        <v>10</v>
      </c>
      <c r="K107" s="1">
        <v>12</v>
      </c>
      <c r="L107" s="1">
        <v>26</v>
      </c>
      <c r="M107" s="1">
        <v>18</v>
      </c>
      <c r="N107" s="1">
        <v>25</v>
      </c>
      <c r="O107" s="1">
        <v>24</v>
      </c>
      <c r="P107" s="1">
        <v>15</v>
      </c>
      <c r="Q107" s="1">
        <v>20</v>
      </c>
      <c r="R107" s="1">
        <v>16</v>
      </c>
      <c r="S107" s="1">
        <v>19</v>
      </c>
      <c r="T107" s="1">
        <v>17</v>
      </c>
      <c r="U107" s="1">
        <v>16</v>
      </c>
      <c r="V107" s="1">
        <v>15</v>
      </c>
      <c r="W107" s="1">
        <v>15</v>
      </c>
      <c r="X107" s="1">
        <v>7</v>
      </c>
      <c r="Y107" s="1">
        <v>19</v>
      </c>
    </row>
    <row r="108" spans="1:25" x14ac:dyDescent="0.3">
      <c r="A108" s="2">
        <v>43541</v>
      </c>
      <c r="B108" s="1">
        <v>17</v>
      </c>
      <c r="C108" s="1">
        <v>6</v>
      </c>
      <c r="D108" s="1">
        <v>5</v>
      </c>
      <c r="E108" s="1">
        <v>6</v>
      </c>
      <c r="F108" s="1">
        <v>9</v>
      </c>
      <c r="G108" s="1">
        <v>7</v>
      </c>
      <c r="H108" s="1">
        <v>7</v>
      </c>
      <c r="I108" s="1">
        <v>8</v>
      </c>
      <c r="J108" s="1">
        <v>9</v>
      </c>
      <c r="K108" s="1">
        <v>15</v>
      </c>
      <c r="L108" s="1">
        <v>24</v>
      </c>
      <c r="M108" s="1">
        <v>15</v>
      </c>
      <c r="N108" s="1">
        <v>24</v>
      </c>
      <c r="O108" s="1">
        <v>16</v>
      </c>
      <c r="P108" s="1">
        <v>18</v>
      </c>
      <c r="Q108" s="1">
        <v>22</v>
      </c>
      <c r="R108" s="1">
        <v>22</v>
      </c>
      <c r="S108" s="1">
        <v>12</v>
      </c>
      <c r="T108" s="1">
        <v>21</v>
      </c>
      <c r="U108" s="1">
        <v>23</v>
      </c>
      <c r="V108" s="1">
        <v>12</v>
      </c>
      <c r="W108" s="1">
        <v>16</v>
      </c>
      <c r="X108" s="1">
        <v>9</v>
      </c>
      <c r="Y108" s="1">
        <v>10</v>
      </c>
    </row>
    <row r="109" spans="1:25" x14ac:dyDescent="0.3">
      <c r="A109" s="2">
        <v>43542</v>
      </c>
      <c r="B109" s="1">
        <v>7</v>
      </c>
      <c r="C109" s="1">
        <v>12</v>
      </c>
      <c r="D109" s="1">
        <v>9</v>
      </c>
      <c r="E109" s="1">
        <v>9</v>
      </c>
      <c r="F109" s="1">
        <v>6</v>
      </c>
      <c r="G109" s="1">
        <v>7</v>
      </c>
      <c r="H109" s="1">
        <v>11</v>
      </c>
      <c r="I109" s="1">
        <v>11</v>
      </c>
      <c r="J109" s="1">
        <v>11</v>
      </c>
      <c r="K109" s="1">
        <v>20</v>
      </c>
      <c r="L109" s="1">
        <v>22</v>
      </c>
      <c r="M109" s="1">
        <v>25</v>
      </c>
      <c r="N109" s="1">
        <v>19</v>
      </c>
      <c r="O109" s="1">
        <v>19</v>
      </c>
      <c r="P109" s="1">
        <v>24</v>
      </c>
      <c r="Q109" s="1">
        <v>22</v>
      </c>
      <c r="R109" s="1">
        <v>18</v>
      </c>
      <c r="S109" s="1">
        <v>26</v>
      </c>
      <c r="T109" s="1">
        <v>25</v>
      </c>
      <c r="U109" s="1">
        <v>25</v>
      </c>
      <c r="V109" s="1">
        <v>17</v>
      </c>
      <c r="W109" s="1">
        <v>11</v>
      </c>
      <c r="X109" s="1">
        <v>10</v>
      </c>
      <c r="Y109" s="1">
        <v>7</v>
      </c>
    </row>
    <row r="110" spans="1:25" x14ac:dyDescent="0.3">
      <c r="A110" s="2">
        <v>43543</v>
      </c>
      <c r="B110" s="1">
        <v>2</v>
      </c>
      <c r="C110" s="1">
        <v>4</v>
      </c>
      <c r="D110" s="1">
        <v>5</v>
      </c>
      <c r="E110" s="1">
        <v>5</v>
      </c>
      <c r="F110" s="1">
        <v>5</v>
      </c>
      <c r="G110" s="1">
        <v>6</v>
      </c>
      <c r="H110" s="1">
        <v>4</v>
      </c>
      <c r="I110" s="1">
        <v>26</v>
      </c>
      <c r="J110" s="1">
        <v>32</v>
      </c>
      <c r="K110" s="1">
        <v>36</v>
      </c>
      <c r="L110" s="1">
        <v>16</v>
      </c>
      <c r="M110" s="1">
        <v>23</v>
      </c>
      <c r="N110" s="1">
        <v>25</v>
      </c>
      <c r="O110" s="1">
        <v>30</v>
      </c>
      <c r="P110" s="1">
        <v>30</v>
      </c>
      <c r="Q110" s="1">
        <v>21</v>
      </c>
      <c r="R110" s="1">
        <v>35</v>
      </c>
      <c r="S110" s="1">
        <v>35</v>
      </c>
      <c r="T110" s="1">
        <v>6</v>
      </c>
      <c r="U110" s="1">
        <v>21</v>
      </c>
      <c r="V110" s="1">
        <v>15</v>
      </c>
      <c r="W110" s="1">
        <v>13</v>
      </c>
      <c r="X110" s="1">
        <v>10</v>
      </c>
      <c r="Y110" s="1">
        <v>2</v>
      </c>
    </row>
    <row r="111" spans="1:25" x14ac:dyDescent="0.3">
      <c r="A111" s="2">
        <v>43544</v>
      </c>
      <c r="B111" s="1">
        <v>11</v>
      </c>
      <c r="C111" s="1">
        <v>5</v>
      </c>
      <c r="D111" s="1">
        <v>6</v>
      </c>
      <c r="E111" s="1">
        <v>17</v>
      </c>
      <c r="F111" s="1">
        <v>6</v>
      </c>
      <c r="G111" s="1">
        <v>3</v>
      </c>
      <c r="H111" s="1">
        <v>6</v>
      </c>
      <c r="I111" s="1">
        <v>24</v>
      </c>
      <c r="J111" s="1">
        <v>33</v>
      </c>
      <c r="K111" s="1">
        <v>26</v>
      </c>
      <c r="L111" s="1">
        <v>23</v>
      </c>
      <c r="M111" s="1">
        <v>19</v>
      </c>
      <c r="N111" s="1">
        <v>24</v>
      </c>
      <c r="O111" s="1">
        <v>21</v>
      </c>
      <c r="P111" s="1">
        <v>25</v>
      </c>
      <c r="Q111" s="1">
        <v>33</v>
      </c>
      <c r="R111" s="1">
        <v>34</v>
      </c>
      <c r="S111" s="1">
        <v>41</v>
      </c>
      <c r="T111" s="1">
        <v>22</v>
      </c>
      <c r="U111" s="1">
        <v>28</v>
      </c>
      <c r="V111" s="1">
        <v>20</v>
      </c>
      <c r="W111" s="1">
        <v>11</v>
      </c>
      <c r="X111" s="1">
        <v>8</v>
      </c>
      <c r="Y111" s="1">
        <v>5</v>
      </c>
    </row>
    <row r="112" spans="1:25" x14ac:dyDescent="0.3">
      <c r="A112" s="2">
        <v>43545</v>
      </c>
      <c r="B112" s="1">
        <v>5</v>
      </c>
      <c r="C112" s="1">
        <v>4</v>
      </c>
      <c r="D112" s="1">
        <v>3</v>
      </c>
      <c r="E112" s="1">
        <v>3</v>
      </c>
      <c r="F112" s="1">
        <v>3</v>
      </c>
      <c r="G112" s="1">
        <v>6</v>
      </c>
      <c r="H112" s="1">
        <v>20</v>
      </c>
      <c r="I112" s="1">
        <v>22</v>
      </c>
      <c r="J112" s="1">
        <v>21</v>
      </c>
      <c r="K112" s="1">
        <v>23</v>
      </c>
      <c r="L112" s="1">
        <v>20</v>
      </c>
      <c r="M112" s="1">
        <v>16</v>
      </c>
      <c r="N112" s="1">
        <v>14</v>
      </c>
      <c r="O112" s="1">
        <v>22</v>
      </c>
      <c r="P112" s="1">
        <v>19</v>
      </c>
      <c r="Q112" s="1">
        <v>16</v>
      </c>
      <c r="R112" s="1">
        <v>26</v>
      </c>
      <c r="S112" s="1">
        <v>26</v>
      </c>
      <c r="T112" s="1">
        <v>17</v>
      </c>
      <c r="U112" s="1">
        <v>23</v>
      </c>
      <c r="V112" s="1">
        <v>12</v>
      </c>
      <c r="W112" s="1">
        <v>20</v>
      </c>
      <c r="X112" s="1">
        <v>25</v>
      </c>
      <c r="Y112" s="1">
        <v>14</v>
      </c>
    </row>
    <row r="113" spans="1:25" x14ac:dyDescent="0.3">
      <c r="A113" s="2">
        <v>43546</v>
      </c>
      <c r="B113" s="1">
        <v>5</v>
      </c>
      <c r="C113" s="1">
        <v>3</v>
      </c>
      <c r="D113" s="1">
        <v>6</v>
      </c>
      <c r="E113" s="1">
        <v>8</v>
      </c>
      <c r="F113" s="1">
        <v>3</v>
      </c>
      <c r="G113" s="1">
        <v>3</v>
      </c>
      <c r="H113" s="1">
        <v>6</v>
      </c>
      <c r="I113" s="1">
        <v>22</v>
      </c>
      <c r="J113" s="1">
        <v>44</v>
      </c>
      <c r="K113" s="1">
        <v>27</v>
      </c>
      <c r="L113" s="1">
        <v>23</v>
      </c>
      <c r="M113" s="1">
        <v>28</v>
      </c>
      <c r="N113" s="1">
        <v>34</v>
      </c>
      <c r="O113" s="1">
        <v>23</v>
      </c>
      <c r="P113" s="1">
        <v>25</v>
      </c>
      <c r="Q113" s="1">
        <v>24</v>
      </c>
      <c r="R113" s="1">
        <v>27</v>
      </c>
      <c r="S113" s="1">
        <v>26</v>
      </c>
      <c r="T113" s="1">
        <v>12</v>
      </c>
      <c r="U113" s="1">
        <v>13</v>
      </c>
      <c r="V113" s="1">
        <v>24</v>
      </c>
      <c r="W113" s="1">
        <v>14</v>
      </c>
      <c r="X113" s="1">
        <v>10</v>
      </c>
      <c r="Y113" s="1">
        <v>11</v>
      </c>
    </row>
    <row r="114" spans="1:25" x14ac:dyDescent="0.3">
      <c r="A114" s="2">
        <v>43547</v>
      </c>
      <c r="B114" s="1">
        <v>9</v>
      </c>
      <c r="C114" s="1">
        <v>7</v>
      </c>
      <c r="D114" s="1">
        <v>5</v>
      </c>
      <c r="E114" s="1">
        <v>8</v>
      </c>
      <c r="F114" s="1">
        <v>2</v>
      </c>
      <c r="G114" s="1">
        <v>9</v>
      </c>
      <c r="H114" s="1">
        <v>6</v>
      </c>
      <c r="I114" s="1">
        <v>7</v>
      </c>
      <c r="J114" s="1">
        <v>24</v>
      </c>
      <c r="K114" s="1">
        <v>21</v>
      </c>
      <c r="L114" s="1">
        <v>22</v>
      </c>
      <c r="M114" s="1">
        <v>19</v>
      </c>
      <c r="N114" s="1">
        <v>20</v>
      </c>
      <c r="O114" s="1">
        <v>24</v>
      </c>
      <c r="P114" s="1">
        <v>20</v>
      </c>
      <c r="Q114" s="1">
        <v>15</v>
      </c>
      <c r="R114" s="1">
        <v>23</v>
      </c>
      <c r="S114" s="1">
        <v>30</v>
      </c>
      <c r="T114" s="1">
        <v>17</v>
      </c>
      <c r="U114" s="1">
        <v>17</v>
      </c>
      <c r="V114" s="1">
        <v>18</v>
      </c>
      <c r="W114" s="1">
        <v>18</v>
      </c>
      <c r="X114" s="1">
        <v>13</v>
      </c>
      <c r="Y114" s="1">
        <v>4</v>
      </c>
    </row>
    <row r="115" spans="1:25" x14ac:dyDescent="0.3">
      <c r="A115" s="2">
        <v>43548</v>
      </c>
      <c r="B115" s="1">
        <v>14</v>
      </c>
      <c r="C115" s="1">
        <v>11</v>
      </c>
      <c r="D115" s="1">
        <v>4</v>
      </c>
      <c r="E115" s="1">
        <v>4</v>
      </c>
      <c r="F115" s="1">
        <v>2</v>
      </c>
      <c r="G115" s="1">
        <v>5</v>
      </c>
      <c r="H115" s="1">
        <v>5</v>
      </c>
      <c r="I115" s="1">
        <v>11</v>
      </c>
      <c r="J115" s="1">
        <v>9</v>
      </c>
      <c r="K115" s="1">
        <v>18</v>
      </c>
      <c r="L115" s="1">
        <v>14</v>
      </c>
      <c r="M115" s="1">
        <v>24</v>
      </c>
      <c r="N115" s="1">
        <v>24</v>
      </c>
      <c r="O115" s="1">
        <v>22</v>
      </c>
      <c r="P115" s="1">
        <v>16</v>
      </c>
      <c r="Q115" s="1">
        <v>22</v>
      </c>
      <c r="R115" s="1">
        <v>28</v>
      </c>
      <c r="S115" s="1">
        <v>21</v>
      </c>
      <c r="T115" s="1">
        <v>18</v>
      </c>
      <c r="U115" s="1">
        <v>18</v>
      </c>
      <c r="V115" s="1">
        <v>12</v>
      </c>
      <c r="W115" s="1">
        <v>18</v>
      </c>
      <c r="X115" s="1">
        <v>7</v>
      </c>
      <c r="Y115" s="1">
        <v>11</v>
      </c>
    </row>
    <row r="116" spans="1:25" x14ac:dyDescent="0.3">
      <c r="A116" s="2">
        <v>43549</v>
      </c>
      <c r="B116" s="1">
        <v>9</v>
      </c>
      <c r="C116" s="1">
        <v>4</v>
      </c>
      <c r="D116" s="1">
        <v>2</v>
      </c>
      <c r="E116" s="1">
        <v>2</v>
      </c>
      <c r="F116" s="1">
        <v>1</v>
      </c>
      <c r="G116" s="1">
        <v>6</v>
      </c>
      <c r="H116" s="1">
        <v>18</v>
      </c>
      <c r="I116" s="1">
        <v>17</v>
      </c>
      <c r="J116" s="1">
        <v>19</v>
      </c>
      <c r="K116" s="1">
        <v>26</v>
      </c>
      <c r="L116" s="1">
        <v>16</v>
      </c>
      <c r="M116" s="1">
        <v>27</v>
      </c>
      <c r="N116" s="1">
        <v>12</v>
      </c>
      <c r="O116" s="1">
        <v>22</v>
      </c>
      <c r="P116" s="1">
        <v>16</v>
      </c>
      <c r="Q116" s="1">
        <v>21</v>
      </c>
      <c r="R116" s="1">
        <v>15</v>
      </c>
      <c r="S116" s="1">
        <v>29</v>
      </c>
      <c r="T116" s="1">
        <v>28</v>
      </c>
      <c r="U116" s="1">
        <v>18</v>
      </c>
      <c r="V116" s="1">
        <v>14</v>
      </c>
      <c r="W116" s="1">
        <v>9</v>
      </c>
      <c r="X116" s="1">
        <v>10</v>
      </c>
      <c r="Y116" s="1">
        <v>14</v>
      </c>
    </row>
    <row r="117" spans="1:25" x14ac:dyDescent="0.3">
      <c r="A117" s="2">
        <v>43550</v>
      </c>
      <c r="B117" s="1">
        <v>7</v>
      </c>
      <c r="C117" s="1">
        <v>5</v>
      </c>
      <c r="D117" s="1">
        <v>7</v>
      </c>
      <c r="E117" s="1">
        <v>4</v>
      </c>
      <c r="F117" s="1">
        <v>7</v>
      </c>
      <c r="G117" s="1">
        <v>10</v>
      </c>
      <c r="H117" s="1">
        <v>4</v>
      </c>
      <c r="I117" s="1">
        <v>15</v>
      </c>
      <c r="J117" s="1">
        <v>23</v>
      </c>
      <c r="K117" s="1">
        <v>19</v>
      </c>
      <c r="L117" s="1">
        <v>27</v>
      </c>
      <c r="M117" s="1">
        <v>16</v>
      </c>
      <c r="N117" s="1">
        <v>25</v>
      </c>
      <c r="O117" s="1">
        <v>25</v>
      </c>
      <c r="P117" s="1">
        <v>28</v>
      </c>
      <c r="Q117" s="1">
        <v>20</v>
      </c>
      <c r="R117" s="1">
        <v>22</v>
      </c>
      <c r="S117" s="1">
        <v>22</v>
      </c>
      <c r="T117" s="1">
        <v>25</v>
      </c>
      <c r="U117" s="1">
        <v>23</v>
      </c>
      <c r="V117" s="1">
        <v>10</v>
      </c>
      <c r="W117" s="1">
        <v>21</v>
      </c>
      <c r="X117" s="1">
        <v>9</v>
      </c>
      <c r="Y117" s="1">
        <v>11</v>
      </c>
    </row>
    <row r="118" spans="1:25" x14ac:dyDescent="0.3">
      <c r="A118" s="2">
        <v>43551</v>
      </c>
      <c r="B118" s="1">
        <v>9</v>
      </c>
      <c r="C118" s="1">
        <v>7</v>
      </c>
      <c r="D118" s="1">
        <v>7</v>
      </c>
      <c r="E118" s="1">
        <v>3</v>
      </c>
      <c r="F118" s="1">
        <v>1</v>
      </c>
      <c r="G118" s="1">
        <v>9</v>
      </c>
      <c r="H118" s="1">
        <v>2</v>
      </c>
      <c r="I118" s="1">
        <v>18</v>
      </c>
      <c r="J118" s="1">
        <v>29</v>
      </c>
      <c r="K118" s="1">
        <v>13</v>
      </c>
      <c r="L118" s="1">
        <v>21</v>
      </c>
      <c r="M118" s="1">
        <v>33</v>
      </c>
      <c r="N118" s="1">
        <v>24</v>
      </c>
      <c r="O118" s="1">
        <v>26</v>
      </c>
      <c r="P118" s="1">
        <v>33</v>
      </c>
      <c r="Q118" s="1">
        <v>26</v>
      </c>
      <c r="R118" s="1">
        <v>24</v>
      </c>
      <c r="S118" s="1">
        <v>28</v>
      </c>
      <c r="T118" s="1">
        <v>21</v>
      </c>
      <c r="U118" s="1">
        <v>19</v>
      </c>
      <c r="V118" s="1">
        <v>11</v>
      </c>
      <c r="W118" s="1">
        <v>9</v>
      </c>
      <c r="X118" s="1">
        <v>8</v>
      </c>
      <c r="Y118" s="1">
        <v>6</v>
      </c>
    </row>
    <row r="119" spans="1:25" x14ac:dyDescent="0.3">
      <c r="A119" s="2">
        <v>43552</v>
      </c>
      <c r="B119" s="1">
        <v>4</v>
      </c>
      <c r="C119" s="1">
        <v>5</v>
      </c>
      <c r="D119" s="1">
        <v>4</v>
      </c>
      <c r="E119" s="1">
        <v>2</v>
      </c>
      <c r="F119" s="1">
        <v>6</v>
      </c>
      <c r="G119" s="1">
        <v>8</v>
      </c>
      <c r="H119" s="1">
        <v>10</v>
      </c>
      <c r="I119" s="1">
        <v>23</v>
      </c>
      <c r="J119" s="1">
        <v>19</v>
      </c>
      <c r="K119" s="1">
        <v>39</v>
      </c>
      <c r="L119" s="1">
        <v>30</v>
      </c>
      <c r="M119" s="1">
        <v>28</v>
      </c>
      <c r="N119" s="1">
        <v>23</v>
      </c>
      <c r="O119" s="1">
        <v>16</v>
      </c>
      <c r="P119" s="1">
        <v>32</v>
      </c>
      <c r="Q119" s="1">
        <v>25</v>
      </c>
      <c r="R119" s="1">
        <v>22</v>
      </c>
      <c r="S119" s="1">
        <v>28</v>
      </c>
      <c r="T119" s="1">
        <v>22</v>
      </c>
      <c r="U119" s="1">
        <v>18</v>
      </c>
      <c r="V119" s="1">
        <v>20</v>
      </c>
      <c r="W119" s="1">
        <v>19</v>
      </c>
      <c r="X119" s="1">
        <v>6</v>
      </c>
      <c r="Y119" s="1">
        <v>3</v>
      </c>
    </row>
    <row r="120" spans="1:25" x14ac:dyDescent="0.3">
      <c r="A120" s="2">
        <v>43553</v>
      </c>
      <c r="B120" s="1">
        <v>5</v>
      </c>
      <c r="C120" s="1">
        <v>5</v>
      </c>
      <c r="D120" s="1">
        <v>4</v>
      </c>
      <c r="E120" s="1">
        <v>2</v>
      </c>
      <c r="F120" s="1">
        <v>4</v>
      </c>
      <c r="G120" s="1">
        <v>4</v>
      </c>
      <c r="H120" s="1">
        <v>9</v>
      </c>
      <c r="I120" s="1">
        <v>15</v>
      </c>
      <c r="J120" s="1">
        <v>20</v>
      </c>
      <c r="K120" s="1">
        <v>25</v>
      </c>
      <c r="L120" s="1">
        <v>24</v>
      </c>
      <c r="M120" s="1">
        <v>20</v>
      </c>
      <c r="N120" s="1">
        <v>21</v>
      </c>
      <c r="O120" s="1">
        <v>38</v>
      </c>
      <c r="P120" s="1">
        <v>26</v>
      </c>
      <c r="Q120" s="1">
        <v>29</v>
      </c>
      <c r="R120" s="1">
        <v>23</v>
      </c>
      <c r="S120" s="1">
        <v>26</v>
      </c>
      <c r="T120" s="1">
        <v>13</v>
      </c>
      <c r="U120" s="1">
        <v>19</v>
      </c>
      <c r="V120" s="1">
        <v>11</v>
      </c>
      <c r="W120" s="1">
        <v>15</v>
      </c>
      <c r="X120" s="1">
        <v>14</v>
      </c>
      <c r="Y120" s="1">
        <v>6</v>
      </c>
    </row>
    <row r="121" spans="1:25" x14ac:dyDescent="0.3">
      <c r="A121" s="2">
        <v>43554</v>
      </c>
      <c r="B121" s="1">
        <v>5</v>
      </c>
      <c r="C121" s="1">
        <v>4</v>
      </c>
      <c r="D121" s="1">
        <v>9</v>
      </c>
      <c r="E121" s="1">
        <v>7</v>
      </c>
      <c r="F121" s="1">
        <v>2</v>
      </c>
      <c r="G121" s="1">
        <v>4</v>
      </c>
      <c r="H121" s="1">
        <v>5</v>
      </c>
      <c r="I121" s="1">
        <v>7</v>
      </c>
      <c r="J121" s="1">
        <v>17</v>
      </c>
      <c r="K121" s="1">
        <v>16</v>
      </c>
      <c r="L121" s="1">
        <v>20</v>
      </c>
      <c r="M121" s="1">
        <v>27</v>
      </c>
      <c r="N121" s="1">
        <v>36</v>
      </c>
      <c r="O121" s="1">
        <v>20</v>
      </c>
      <c r="P121" s="1">
        <v>21</v>
      </c>
      <c r="Q121" s="1">
        <v>25</v>
      </c>
      <c r="R121" s="1">
        <v>23</v>
      </c>
      <c r="S121" s="1">
        <v>21</v>
      </c>
      <c r="T121" s="1">
        <v>19</v>
      </c>
      <c r="U121" s="1">
        <v>20</v>
      </c>
      <c r="V121" s="1">
        <v>29</v>
      </c>
      <c r="W121" s="1">
        <v>18</v>
      </c>
      <c r="X121" s="1">
        <v>24</v>
      </c>
      <c r="Y121" s="1">
        <v>10</v>
      </c>
    </row>
    <row r="122" spans="1:25" x14ac:dyDescent="0.3">
      <c r="A122" s="2">
        <v>43555</v>
      </c>
      <c r="B122" s="1">
        <v>12</v>
      </c>
      <c r="C122" s="1">
        <v>20</v>
      </c>
      <c r="D122" s="1">
        <v>6</v>
      </c>
      <c r="E122" s="1">
        <v>4</v>
      </c>
      <c r="F122" s="1">
        <v>2</v>
      </c>
      <c r="G122" s="1">
        <v>7</v>
      </c>
      <c r="H122" s="1">
        <v>6</v>
      </c>
      <c r="I122" s="1">
        <v>9</v>
      </c>
      <c r="J122" s="1">
        <v>17</v>
      </c>
      <c r="K122" s="1">
        <v>18</v>
      </c>
      <c r="L122" s="1">
        <v>9</v>
      </c>
      <c r="M122" s="1">
        <v>25</v>
      </c>
      <c r="N122" s="1">
        <v>17</v>
      </c>
      <c r="O122" s="1">
        <v>20</v>
      </c>
      <c r="P122" s="1">
        <v>16</v>
      </c>
      <c r="Q122" s="1">
        <v>26</v>
      </c>
      <c r="R122" s="1">
        <v>15</v>
      </c>
      <c r="S122" s="1">
        <v>20</v>
      </c>
      <c r="T122" s="1">
        <v>18</v>
      </c>
      <c r="U122" s="1">
        <v>13</v>
      </c>
      <c r="V122" s="1">
        <v>18</v>
      </c>
      <c r="W122" s="1">
        <v>19</v>
      </c>
      <c r="X122" s="1">
        <v>13</v>
      </c>
      <c r="Y122" s="1">
        <v>13</v>
      </c>
    </row>
    <row r="123" spans="1:25" x14ac:dyDescent="0.3">
      <c r="A123" s="2">
        <v>43556</v>
      </c>
      <c r="B123" s="1">
        <v>6</v>
      </c>
      <c r="C123" s="1">
        <v>12</v>
      </c>
      <c r="D123" s="1">
        <v>6</v>
      </c>
      <c r="E123" s="1">
        <v>3</v>
      </c>
      <c r="F123" s="1">
        <v>4</v>
      </c>
      <c r="G123" s="1">
        <v>5</v>
      </c>
      <c r="H123" s="1">
        <v>11</v>
      </c>
      <c r="I123" s="1">
        <v>26</v>
      </c>
      <c r="J123" s="1">
        <v>19</v>
      </c>
      <c r="K123" s="1">
        <v>29</v>
      </c>
      <c r="L123" s="1">
        <v>17</v>
      </c>
      <c r="M123" s="1">
        <v>29</v>
      </c>
      <c r="N123" s="1">
        <v>16</v>
      </c>
      <c r="O123" s="1">
        <v>15</v>
      </c>
      <c r="P123" s="1">
        <v>14</v>
      </c>
      <c r="Q123" s="1">
        <v>34</v>
      </c>
      <c r="R123" s="1">
        <v>32</v>
      </c>
      <c r="S123" s="1">
        <v>30</v>
      </c>
      <c r="T123" s="1">
        <v>32</v>
      </c>
      <c r="U123" s="1">
        <v>15</v>
      </c>
      <c r="V123" s="1">
        <v>10</v>
      </c>
      <c r="W123" s="1">
        <v>11</v>
      </c>
      <c r="X123" s="1">
        <v>9</v>
      </c>
      <c r="Y123" s="1">
        <v>8</v>
      </c>
    </row>
    <row r="124" spans="1:25" x14ac:dyDescent="0.3">
      <c r="A124" s="2">
        <v>43557</v>
      </c>
      <c r="B124" s="1">
        <v>9</v>
      </c>
      <c r="C124" s="1">
        <v>3</v>
      </c>
      <c r="D124" s="1">
        <v>4</v>
      </c>
      <c r="E124" s="1">
        <v>1</v>
      </c>
      <c r="F124" s="1">
        <v>4</v>
      </c>
      <c r="G124" s="1">
        <v>10</v>
      </c>
      <c r="H124" s="1">
        <v>16</v>
      </c>
      <c r="I124" s="1">
        <v>16</v>
      </c>
      <c r="J124" s="1">
        <v>30</v>
      </c>
      <c r="K124" s="1">
        <v>31</v>
      </c>
      <c r="L124" s="1">
        <v>22</v>
      </c>
      <c r="M124" s="1">
        <v>22</v>
      </c>
      <c r="N124" s="1">
        <v>20</v>
      </c>
      <c r="O124" s="1">
        <v>30</v>
      </c>
      <c r="P124" s="1">
        <v>16</v>
      </c>
      <c r="Q124" s="1">
        <v>35</v>
      </c>
      <c r="R124" s="1">
        <v>22</v>
      </c>
      <c r="S124" s="1">
        <v>26</v>
      </c>
      <c r="T124" s="1">
        <v>38</v>
      </c>
      <c r="U124" s="1">
        <v>18</v>
      </c>
      <c r="V124" s="1">
        <v>12</v>
      </c>
      <c r="W124" s="1">
        <v>10</v>
      </c>
      <c r="X124" s="1">
        <v>10</v>
      </c>
      <c r="Y124" s="1">
        <v>11</v>
      </c>
    </row>
    <row r="125" spans="1:25" x14ac:dyDescent="0.3">
      <c r="A125" s="2">
        <v>43558</v>
      </c>
      <c r="B125" s="1">
        <v>5</v>
      </c>
      <c r="C125" s="1">
        <v>8</v>
      </c>
      <c r="D125" s="1">
        <v>2</v>
      </c>
      <c r="E125" s="1">
        <v>4</v>
      </c>
      <c r="F125" s="1">
        <v>4</v>
      </c>
      <c r="G125" s="1">
        <v>4</v>
      </c>
      <c r="H125" s="1">
        <v>5</v>
      </c>
      <c r="I125" s="1">
        <v>24</v>
      </c>
      <c r="J125" s="1">
        <v>25</v>
      </c>
      <c r="K125" s="1">
        <v>23</v>
      </c>
      <c r="L125" s="1">
        <v>31</v>
      </c>
      <c r="M125" s="1">
        <v>26</v>
      </c>
      <c r="N125" s="1">
        <v>26</v>
      </c>
      <c r="O125" s="1">
        <v>27</v>
      </c>
      <c r="P125" s="1">
        <v>34</v>
      </c>
      <c r="Q125" s="1">
        <v>48</v>
      </c>
      <c r="R125" s="1">
        <v>42</v>
      </c>
      <c r="S125" s="1">
        <v>35</v>
      </c>
      <c r="T125" s="1">
        <v>21</v>
      </c>
      <c r="U125" s="1">
        <v>24</v>
      </c>
      <c r="V125" s="1">
        <v>24</v>
      </c>
      <c r="W125" s="1">
        <v>7</v>
      </c>
      <c r="X125" s="1">
        <v>9</v>
      </c>
      <c r="Y125" s="1">
        <v>10</v>
      </c>
    </row>
    <row r="126" spans="1:25" x14ac:dyDescent="0.3">
      <c r="A126" s="2">
        <v>43559</v>
      </c>
      <c r="B126" s="1">
        <v>7</v>
      </c>
      <c r="C126" s="1">
        <v>7</v>
      </c>
      <c r="D126" s="1">
        <v>7</v>
      </c>
      <c r="E126" s="1">
        <v>8</v>
      </c>
      <c r="F126" s="1">
        <v>5</v>
      </c>
      <c r="G126" s="1">
        <v>10</v>
      </c>
      <c r="H126" s="1">
        <v>29</v>
      </c>
      <c r="I126" s="1">
        <v>13</v>
      </c>
      <c r="J126" s="1">
        <v>23</v>
      </c>
      <c r="K126" s="1">
        <v>21</v>
      </c>
      <c r="L126" s="1">
        <v>14</v>
      </c>
      <c r="M126" s="1">
        <v>22</v>
      </c>
      <c r="N126" s="1">
        <v>30</v>
      </c>
      <c r="O126" s="1">
        <v>12</v>
      </c>
      <c r="P126" s="1">
        <v>27</v>
      </c>
      <c r="Q126" s="1">
        <v>25</v>
      </c>
      <c r="R126" s="1">
        <v>30</v>
      </c>
      <c r="S126" s="1">
        <v>31</v>
      </c>
      <c r="T126" s="1">
        <v>14</v>
      </c>
      <c r="U126" s="1">
        <v>13</v>
      </c>
      <c r="V126" s="1">
        <v>19</v>
      </c>
      <c r="W126" s="1">
        <v>14</v>
      </c>
      <c r="X126" s="1">
        <v>10</v>
      </c>
      <c r="Y126" s="1">
        <v>7</v>
      </c>
    </row>
    <row r="127" spans="1:25" x14ac:dyDescent="0.3">
      <c r="A127" s="2">
        <v>43560</v>
      </c>
      <c r="B127" s="1">
        <v>7</v>
      </c>
      <c r="C127" s="1">
        <v>9</v>
      </c>
      <c r="D127" s="1">
        <v>3</v>
      </c>
      <c r="E127" s="1">
        <v>2</v>
      </c>
      <c r="F127" s="1">
        <v>3</v>
      </c>
      <c r="G127" s="1">
        <v>7</v>
      </c>
      <c r="H127" s="1">
        <v>12</v>
      </c>
      <c r="I127" s="1">
        <v>13</v>
      </c>
      <c r="J127" s="1">
        <v>28</v>
      </c>
      <c r="K127" s="1">
        <v>11</v>
      </c>
      <c r="L127" s="1">
        <v>16</v>
      </c>
      <c r="M127" s="1">
        <v>18</v>
      </c>
      <c r="N127" s="1">
        <v>21</v>
      </c>
      <c r="O127" s="1">
        <v>28</v>
      </c>
      <c r="P127" s="1">
        <v>18</v>
      </c>
      <c r="Q127" s="1">
        <v>26</v>
      </c>
      <c r="R127" s="1">
        <v>32</v>
      </c>
      <c r="S127" s="1">
        <v>18</v>
      </c>
      <c r="T127" s="1">
        <v>22</v>
      </c>
      <c r="U127" s="1">
        <v>19</v>
      </c>
      <c r="V127" s="1">
        <v>11</v>
      </c>
      <c r="W127" s="1">
        <v>11</v>
      </c>
      <c r="X127" s="1">
        <v>10</v>
      </c>
      <c r="Y127" s="1">
        <v>12</v>
      </c>
    </row>
    <row r="128" spans="1:25" x14ac:dyDescent="0.3">
      <c r="A128" s="2">
        <v>43561</v>
      </c>
      <c r="B128" s="1">
        <v>9</v>
      </c>
      <c r="C128" s="1">
        <v>12</v>
      </c>
      <c r="D128" s="1">
        <v>8</v>
      </c>
      <c r="E128" s="1">
        <v>5</v>
      </c>
      <c r="F128" s="1">
        <v>3</v>
      </c>
      <c r="G128" s="1">
        <v>4</v>
      </c>
      <c r="H128" s="1">
        <v>7</v>
      </c>
      <c r="I128" s="1">
        <v>13</v>
      </c>
      <c r="J128" s="1">
        <v>11</v>
      </c>
      <c r="K128" s="1">
        <v>25</v>
      </c>
      <c r="L128" s="1">
        <v>24</v>
      </c>
      <c r="M128" s="1">
        <v>20</v>
      </c>
      <c r="N128" s="1">
        <v>24</v>
      </c>
      <c r="O128" s="1">
        <v>24</v>
      </c>
      <c r="P128" s="1">
        <v>30</v>
      </c>
      <c r="Q128" s="1">
        <v>28</v>
      </c>
      <c r="R128" s="1">
        <v>30</v>
      </c>
      <c r="S128" s="1">
        <v>17</v>
      </c>
      <c r="T128" s="1">
        <v>23</v>
      </c>
      <c r="U128" s="1">
        <v>24</v>
      </c>
      <c r="V128" s="1">
        <v>19</v>
      </c>
      <c r="W128" s="1">
        <v>15</v>
      </c>
      <c r="X128" s="1">
        <v>11</v>
      </c>
      <c r="Y128" s="1">
        <v>12</v>
      </c>
    </row>
    <row r="129" spans="1:25" x14ac:dyDescent="0.3">
      <c r="A129" s="2">
        <v>43562</v>
      </c>
      <c r="B129" s="1">
        <v>6</v>
      </c>
      <c r="C129" s="1">
        <v>12</v>
      </c>
      <c r="D129" s="1">
        <v>11</v>
      </c>
      <c r="E129" s="1">
        <v>6</v>
      </c>
      <c r="F129" s="1">
        <v>7</v>
      </c>
      <c r="G129" s="1">
        <v>7</v>
      </c>
      <c r="H129" s="1">
        <v>7</v>
      </c>
      <c r="I129" s="1">
        <v>4</v>
      </c>
      <c r="J129" s="1">
        <v>15</v>
      </c>
      <c r="K129" s="1">
        <v>16</v>
      </c>
      <c r="L129" s="1">
        <v>24</v>
      </c>
      <c r="M129" s="1">
        <v>31</v>
      </c>
      <c r="N129" s="1">
        <v>33</v>
      </c>
      <c r="O129" s="1">
        <v>18</v>
      </c>
      <c r="P129" s="1">
        <v>20</v>
      </c>
      <c r="Q129" s="1">
        <v>18</v>
      </c>
      <c r="R129" s="1">
        <v>19</v>
      </c>
      <c r="S129" s="1">
        <v>15</v>
      </c>
      <c r="T129" s="1">
        <v>11</v>
      </c>
      <c r="U129" s="1">
        <v>18</v>
      </c>
      <c r="V129" s="1">
        <v>16</v>
      </c>
      <c r="W129" s="1">
        <v>16</v>
      </c>
      <c r="X129" s="1">
        <v>10</v>
      </c>
      <c r="Y129" s="1">
        <v>1</v>
      </c>
    </row>
    <row r="130" spans="1:25" x14ac:dyDescent="0.3">
      <c r="A130" s="2">
        <v>43563</v>
      </c>
      <c r="B130" s="1">
        <v>4</v>
      </c>
      <c r="C130" s="1">
        <v>5</v>
      </c>
      <c r="D130" s="1">
        <v>7</v>
      </c>
      <c r="E130" s="1">
        <v>3</v>
      </c>
      <c r="F130" s="1">
        <v>3</v>
      </c>
      <c r="G130" s="1">
        <v>2</v>
      </c>
      <c r="H130" s="1">
        <v>7</v>
      </c>
      <c r="I130" s="1">
        <v>21</v>
      </c>
      <c r="J130" s="1">
        <v>26</v>
      </c>
      <c r="K130" s="1">
        <v>27</v>
      </c>
      <c r="L130" s="1">
        <v>24</v>
      </c>
      <c r="M130" s="1">
        <v>22</v>
      </c>
      <c r="N130" s="1">
        <v>34</v>
      </c>
      <c r="O130" s="1">
        <v>24</v>
      </c>
      <c r="P130" s="1">
        <v>18</v>
      </c>
      <c r="Q130" s="1">
        <v>28</v>
      </c>
      <c r="R130" s="1">
        <v>29</v>
      </c>
      <c r="S130" s="1">
        <v>19</v>
      </c>
      <c r="T130" s="1">
        <v>20</v>
      </c>
      <c r="U130" s="1">
        <v>21</v>
      </c>
      <c r="V130" s="1">
        <v>10</v>
      </c>
      <c r="W130" s="1">
        <v>19</v>
      </c>
      <c r="X130" s="1">
        <v>12</v>
      </c>
      <c r="Y130" s="1">
        <v>6</v>
      </c>
    </row>
    <row r="131" spans="1:25" x14ac:dyDescent="0.3">
      <c r="A131" s="2">
        <v>43564</v>
      </c>
      <c r="B131" s="1">
        <v>4</v>
      </c>
      <c r="C131" s="1">
        <v>8</v>
      </c>
      <c r="D131" s="1">
        <v>11</v>
      </c>
      <c r="E131" s="1">
        <v>4</v>
      </c>
      <c r="F131" s="1">
        <v>2</v>
      </c>
      <c r="G131" s="1">
        <v>8</v>
      </c>
      <c r="H131" s="1">
        <v>19</v>
      </c>
      <c r="I131" s="1">
        <v>19</v>
      </c>
      <c r="J131" s="1">
        <v>17</v>
      </c>
      <c r="K131" s="1">
        <v>16</v>
      </c>
      <c r="L131" s="1">
        <v>19</v>
      </c>
      <c r="M131" s="1">
        <v>22</v>
      </c>
      <c r="N131" s="1">
        <v>33</v>
      </c>
      <c r="O131" s="1">
        <v>26</v>
      </c>
      <c r="P131" s="1">
        <v>30</v>
      </c>
      <c r="Q131" s="1">
        <v>20</v>
      </c>
      <c r="R131" s="1">
        <v>25</v>
      </c>
      <c r="S131" s="1">
        <v>27</v>
      </c>
      <c r="T131" s="1">
        <v>21</v>
      </c>
      <c r="U131" s="1">
        <v>23</v>
      </c>
      <c r="V131" s="1">
        <v>10</v>
      </c>
      <c r="W131" s="1">
        <v>12</v>
      </c>
      <c r="X131" s="1">
        <v>7</v>
      </c>
      <c r="Y131" s="1">
        <v>7</v>
      </c>
    </row>
    <row r="132" spans="1:25" x14ac:dyDescent="0.3">
      <c r="A132" s="2">
        <v>43565</v>
      </c>
      <c r="B132" s="1">
        <v>5</v>
      </c>
      <c r="C132" s="1">
        <v>9</v>
      </c>
      <c r="D132" s="1">
        <v>6</v>
      </c>
      <c r="E132" s="1">
        <v>4</v>
      </c>
      <c r="F132" s="1">
        <v>8</v>
      </c>
      <c r="G132" s="1">
        <v>5</v>
      </c>
      <c r="H132" s="1">
        <v>9</v>
      </c>
      <c r="I132" s="1">
        <v>17</v>
      </c>
      <c r="J132" s="1">
        <v>25</v>
      </c>
      <c r="K132" s="1">
        <v>23</v>
      </c>
      <c r="L132" s="1">
        <v>25</v>
      </c>
      <c r="M132" s="1">
        <v>18</v>
      </c>
      <c r="N132" s="1">
        <v>25</v>
      </c>
      <c r="O132" s="1">
        <v>22</v>
      </c>
      <c r="P132" s="1">
        <v>15</v>
      </c>
      <c r="Q132" s="1">
        <v>30</v>
      </c>
      <c r="R132" s="1">
        <v>19</v>
      </c>
      <c r="S132" s="1">
        <v>22</v>
      </c>
      <c r="T132" s="1">
        <v>20</v>
      </c>
      <c r="U132" s="1">
        <v>16</v>
      </c>
      <c r="V132" s="1">
        <v>13</v>
      </c>
      <c r="W132" s="1">
        <v>8</v>
      </c>
      <c r="X132" s="1">
        <v>8</v>
      </c>
      <c r="Y132" s="1">
        <v>8</v>
      </c>
    </row>
    <row r="133" spans="1:25" x14ac:dyDescent="0.3">
      <c r="A133" s="2">
        <v>43566</v>
      </c>
      <c r="B133" s="1">
        <v>6</v>
      </c>
      <c r="C133" s="1">
        <v>5</v>
      </c>
      <c r="D133" s="1">
        <v>8</v>
      </c>
      <c r="E133" s="1">
        <v>2</v>
      </c>
      <c r="F133" s="1">
        <v>7</v>
      </c>
      <c r="G133" s="1">
        <v>5</v>
      </c>
      <c r="H133" s="1">
        <v>20</v>
      </c>
      <c r="I133" s="1">
        <v>25</v>
      </c>
      <c r="J133" s="1">
        <v>22</v>
      </c>
      <c r="K133" s="1">
        <v>25</v>
      </c>
      <c r="L133" s="1">
        <v>16</v>
      </c>
      <c r="M133" s="1">
        <v>15</v>
      </c>
      <c r="N133" s="1">
        <v>16</v>
      </c>
      <c r="O133" s="1">
        <v>26</v>
      </c>
      <c r="P133" s="1">
        <v>29</v>
      </c>
      <c r="Q133" s="1">
        <v>18</v>
      </c>
      <c r="R133" s="1">
        <v>28</v>
      </c>
      <c r="S133" s="1">
        <v>28</v>
      </c>
      <c r="T133" s="1">
        <v>20</v>
      </c>
      <c r="U133" s="1">
        <v>15</v>
      </c>
      <c r="V133" s="1">
        <v>14</v>
      </c>
      <c r="W133" s="1">
        <v>12</v>
      </c>
      <c r="X133" s="1">
        <v>10</v>
      </c>
      <c r="Y133" s="1">
        <v>8</v>
      </c>
    </row>
    <row r="134" spans="1:25" x14ac:dyDescent="0.3">
      <c r="A134" s="2">
        <v>43567</v>
      </c>
      <c r="B134" s="1">
        <v>5</v>
      </c>
      <c r="C134" s="1">
        <v>6</v>
      </c>
      <c r="D134" s="1">
        <v>4</v>
      </c>
      <c r="E134" s="1">
        <v>1</v>
      </c>
      <c r="F134" s="1">
        <v>6</v>
      </c>
      <c r="G134" s="1">
        <v>5</v>
      </c>
      <c r="H134" s="1">
        <v>10</v>
      </c>
      <c r="I134" s="1">
        <v>11</v>
      </c>
      <c r="J134" s="1">
        <v>23</v>
      </c>
      <c r="K134" s="1">
        <v>25</v>
      </c>
      <c r="L134" s="1">
        <v>22</v>
      </c>
      <c r="M134" s="1">
        <v>35</v>
      </c>
      <c r="N134" s="1">
        <v>17</v>
      </c>
      <c r="O134" s="1">
        <v>20</v>
      </c>
      <c r="P134" s="1">
        <v>27</v>
      </c>
      <c r="Q134" s="1">
        <v>28</v>
      </c>
      <c r="R134" s="1">
        <v>37</v>
      </c>
      <c r="S134" s="1">
        <v>21</v>
      </c>
      <c r="T134" s="1">
        <v>31</v>
      </c>
      <c r="U134" s="1">
        <v>22</v>
      </c>
      <c r="V134" s="1">
        <v>19</v>
      </c>
      <c r="W134" s="1">
        <v>16</v>
      </c>
      <c r="X134" s="1">
        <v>13</v>
      </c>
      <c r="Y134" s="1">
        <v>16</v>
      </c>
    </row>
    <row r="135" spans="1:25" x14ac:dyDescent="0.3">
      <c r="A135" s="2">
        <v>43568</v>
      </c>
      <c r="B135" s="1">
        <v>5</v>
      </c>
      <c r="C135" s="1">
        <v>10</v>
      </c>
      <c r="D135" s="1">
        <v>7</v>
      </c>
      <c r="E135" s="1">
        <v>4</v>
      </c>
      <c r="F135" s="1">
        <v>4</v>
      </c>
      <c r="G135" s="1">
        <v>7</v>
      </c>
      <c r="H135" s="1">
        <v>10</v>
      </c>
      <c r="I135" s="1">
        <v>10</v>
      </c>
      <c r="J135" s="1">
        <v>17</v>
      </c>
      <c r="K135" s="1">
        <v>12</v>
      </c>
      <c r="L135" s="1">
        <v>22</v>
      </c>
      <c r="M135" s="1">
        <v>32</v>
      </c>
      <c r="N135" s="1">
        <v>21</v>
      </c>
      <c r="O135" s="1">
        <v>24</v>
      </c>
      <c r="P135" s="1">
        <v>27</v>
      </c>
      <c r="Q135" s="1">
        <v>17</v>
      </c>
      <c r="R135" s="1">
        <v>28</v>
      </c>
      <c r="S135" s="1">
        <v>33</v>
      </c>
      <c r="T135" s="1">
        <v>9</v>
      </c>
      <c r="U135" s="1">
        <v>15</v>
      </c>
      <c r="V135" s="1">
        <v>19</v>
      </c>
      <c r="W135" s="1">
        <v>23</v>
      </c>
      <c r="X135" s="1">
        <v>11</v>
      </c>
      <c r="Y135" s="1">
        <v>8</v>
      </c>
    </row>
    <row r="136" spans="1:25" x14ac:dyDescent="0.3">
      <c r="A136" s="2">
        <v>43569</v>
      </c>
      <c r="B136" s="1">
        <v>9</v>
      </c>
      <c r="C136" s="1">
        <v>10</v>
      </c>
      <c r="D136" s="1">
        <v>11</v>
      </c>
      <c r="E136" s="1">
        <v>5</v>
      </c>
      <c r="F136" s="1">
        <v>5</v>
      </c>
      <c r="G136" s="1">
        <v>5</v>
      </c>
      <c r="H136" s="1">
        <v>7</v>
      </c>
      <c r="I136" s="1">
        <v>13</v>
      </c>
      <c r="J136" s="1">
        <v>16</v>
      </c>
      <c r="K136" s="1">
        <v>24</v>
      </c>
      <c r="L136" s="1">
        <v>20</v>
      </c>
      <c r="M136" s="1">
        <v>16</v>
      </c>
      <c r="N136" s="1">
        <v>13</v>
      </c>
      <c r="O136" s="1">
        <v>18</v>
      </c>
      <c r="P136" s="1">
        <v>14</v>
      </c>
      <c r="Q136" s="1">
        <v>12</v>
      </c>
      <c r="R136" s="1">
        <v>11</v>
      </c>
      <c r="S136" s="1">
        <v>17</v>
      </c>
      <c r="T136" s="1">
        <v>18</v>
      </c>
      <c r="U136" s="1">
        <v>24</v>
      </c>
      <c r="V136" s="1">
        <v>11</v>
      </c>
      <c r="W136" s="1">
        <v>11</v>
      </c>
      <c r="X136" s="1">
        <v>6</v>
      </c>
      <c r="Y136" s="1">
        <v>15</v>
      </c>
    </row>
    <row r="137" spans="1:25" x14ac:dyDescent="0.3">
      <c r="A137" s="2">
        <v>43570</v>
      </c>
      <c r="B137" s="1">
        <v>2</v>
      </c>
      <c r="C137" s="1">
        <v>11</v>
      </c>
      <c r="D137" s="1">
        <v>5</v>
      </c>
      <c r="E137" s="1">
        <v>11</v>
      </c>
      <c r="F137" s="1">
        <v>12</v>
      </c>
      <c r="G137" s="1">
        <v>9</v>
      </c>
      <c r="H137" s="1">
        <v>18</v>
      </c>
      <c r="I137" s="1">
        <v>26</v>
      </c>
      <c r="J137" s="1">
        <v>33</v>
      </c>
      <c r="K137" s="1">
        <v>24</v>
      </c>
      <c r="L137" s="1">
        <v>33</v>
      </c>
      <c r="M137" s="1">
        <v>20</v>
      </c>
      <c r="N137" s="1">
        <v>29</v>
      </c>
      <c r="O137" s="1">
        <v>37</v>
      </c>
      <c r="P137" s="1">
        <v>22</v>
      </c>
      <c r="Q137" s="1">
        <v>36</v>
      </c>
      <c r="R137" s="1">
        <v>28</v>
      </c>
      <c r="S137" s="1">
        <v>29</v>
      </c>
      <c r="T137" s="1">
        <v>13</v>
      </c>
      <c r="U137" s="1">
        <v>13</v>
      </c>
      <c r="V137" s="1">
        <v>15</v>
      </c>
      <c r="W137" s="1">
        <v>13</v>
      </c>
      <c r="X137" s="1">
        <v>10</v>
      </c>
      <c r="Y137" s="1">
        <v>5</v>
      </c>
    </row>
    <row r="138" spans="1:25" x14ac:dyDescent="0.3">
      <c r="A138" s="2">
        <v>43571</v>
      </c>
      <c r="B138" s="1">
        <v>10</v>
      </c>
      <c r="C138" s="1">
        <v>8</v>
      </c>
      <c r="D138" s="1">
        <v>4</v>
      </c>
      <c r="E138" s="1">
        <v>4</v>
      </c>
      <c r="F138" s="1">
        <v>3</v>
      </c>
      <c r="G138" s="1">
        <v>8</v>
      </c>
      <c r="H138" s="1">
        <v>7</v>
      </c>
      <c r="I138" s="1">
        <v>23</v>
      </c>
      <c r="J138" s="1">
        <v>16</v>
      </c>
      <c r="K138" s="1">
        <v>22</v>
      </c>
      <c r="L138" s="1">
        <v>21</v>
      </c>
      <c r="M138" s="1">
        <v>34</v>
      </c>
      <c r="N138" s="1">
        <v>27</v>
      </c>
      <c r="O138" s="1">
        <v>26</v>
      </c>
      <c r="P138" s="1">
        <v>24</v>
      </c>
      <c r="Q138" s="1">
        <v>30</v>
      </c>
      <c r="R138" s="1">
        <v>29</v>
      </c>
      <c r="S138" s="1">
        <v>22</v>
      </c>
      <c r="T138" s="1">
        <v>17</v>
      </c>
      <c r="U138" s="1">
        <v>11</v>
      </c>
      <c r="V138" s="1">
        <v>14</v>
      </c>
      <c r="W138" s="1">
        <v>17</v>
      </c>
      <c r="X138" s="1">
        <v>15</v>
      </c>
      <c r="Y138" s="1">
        <v>11</v>
      </c>
    </row>
    <row r="139" spans="1:25" x14ac:dyDescent="0.3">
      <c r="A139" s="2">
        <v>43572</v>
      </c>
      <c r="B139" s="1">
        <v>12</v>
      </c>
      <c r="C139" s="1">
        <v>6</v>
      </c>
      <c r="D139" s="1">
        <v>2</v>
      </c>
      <c r="E139" s="1">
        <v>5</v>
      </c>
      <c r="F139" s="1">
        <v>2</v>
      </c>
      <c r="G139" s="1">
        <v>3</v>
      </c>
      <c r="H139" s="1">
        <v>9</v>
      </c>
      <c r="I139" s="1">
        <v>27</v>
      </c>
      <c r="J139" s="1">
        <v>18</v>
      </c>
      <c r="K139" s="1">
        <v>24</v>
      </c>
      <c r="L139" s="1">
        <v>22</v>
      </c>
      <c r="M139" s="1">
        <v>26</v>
      </c>
      <c r="N139" s="1">
        <v>24</v>
      </c>
      <c r="O139" s="1">
        <v>15</v>
      </c>
      <c r="P139" s="1">
        <v>22</v>
      </c>
      <c r="Q139" s="1">
        <v>23</v>
      </c>
      <c r="R139" s="1">
        <v>35</v>
      </c>
      <c r="S139" s="1">
        <v>42</v>
      </c>
      <c r="T139" s="1">
        <v>15</v>
      </c>
      <c r="U139" s="1">
        <v>22</v>
      </c>
      <c r="V139" s="1">
        <v>16</v>
      </c>
      <c r="W139" s="1">
        <v>10</v>
      </c>
      <c r="X139" s="1">
        <v>11</v>
      </c>
      <c r="Y139" s="1">
        <v>8</v>
      </c>
    </row>
    <row r="140" spans="1:25" x14ac:dyDescent="0.3">
      <c r="A140" s="2">
        <v>43573</v>
      </c>
      <c r="B140" s="1">
        <v>4</v>
      </c>
      <c r="C140" s="1">
        <v>6</v>
      </c>
      <c r="D140" s="1">
        <v>2</v>
      </c>
      <c r="E140" s="1">
        <v>5</v>
      </c>
      <c r="F140" s="1">
        <v>0</v>
      </c>
      <c r="G140" s="1">
        <v>5</v>
      </c>
      <c r="H140" s="1">
        <v>8</v>
      </c>
      <c r="I140" s="1">
        <v>8</v>
      </c>
      <c r="J140" s="1">
        <v>23</v>
      </c>
      <c r="K140" s="1">
        <v>12</v>
      </c>
      <c r="L140" s="1">
        <v>13</v>
      </c>
      <c r="M140" s="1">
        <v>16</v>
      </c>
      <c r="N140" s="1">
        <v>17</v>
      </c>
      <c r="O140" s="1">
        <v>25</v>
      </c>
      <c r="P140" s="1">
        <v>18</v>
      </c>
      <c r="Q140" s="1">
        <v>30</v>
      </c>
      <c r="R140" s="1">
        <v>25</v>
      </c>
      <c r="S140" s="1">
        <v>24</v>
      </c>
      <c r="T140" s="1">
        <v>21</v>
      </c>
      <c r="U140" s="1">
        <v>24</v>
      </c>
      <c r="V140" s="1">
        <v>30</v>
      </c>
      <c r="W140" s="1">
        <v>16</v>
      </c>
      <c r="X140" s="1">
        <v>8</v>
      </c>
      <c r="Y140" s="1">
        <v>5</v>
      </c>
    </row>
    <row r="141" spans="1:25" x14ac:dyDescent="0.3">
      <c r="A141" s="2">
        <v>43574</v>
      </c>
      <c r="B141" s="1">
        <v>7</v>
      </c>
      <c r="C141" s="1">
        <v>6</v>
      </c>
      <c r="D141" s="1">
        <v>6</v>
      </c>
      <c r="E141" s="1">
        <v>3</v>
      </c>
      <c r="F141" s="1">
        <v>5</v>
      </c>
      <c r="G141" s="1">
        <v>5</v>
      </c>
      <c r="H141" s="1">
        <v>12</v>
      </c>
      <c r="I141" s="1">
        <v>13</v>
      </c>
      <c r="J141" s="1">
        <v>8</v>
      </c>
      <c r="K141" s="1">
        <v>34</v>
      </c>
      <c r="L141" s="1">
        <v>29</v>
      </c>
      <c r="M141" s="1">
        <v>32</v>
      </c>
      <c r="N141" s="1">
        <v>27</v>
      </c>
      <c r="O141" s="1">
        <v>26</v>
      </c>
      <c r="P141" s="1">
        <v>26</v>
      </c>
      <c r="Q141" s="1">
        <v>23</v>
      </c>
      <c r="R141" s="1">
        <v>22</v>
      </c>
      <c r="S141" s="1">
        <v>28</v>
      </c>
      <c r="T141" s="1">
        <v>18</v>
      </c>
      <c r="U141" s="1">
        <v>15</v>
      </c>
      <c r="V141" s="1">
        <v>20</v>
      </c>
      <c r="W141" s="1">
        <v>15</v>
      </c>
      <c r="X141" s="1">
        <v>11</v>
      </c>
      <c r="Y141" s="1">
        <v>14</v>
      </c>
    </row>
    <row r="142" spans="1:25" x14ac:dyDescent="0.3">
      <c r="A142" s="2">
        <v>43575</v>
      </c>
      <c r="B142" s="1">
        <v>4</v>
      </c>
      <c r="C142" s="1">
        <v>4</v>
      </c>
      <c r="D142" s="1">
        <v>12</v>
      </c>
      <c r="E142" s="1">
        <v>7</v>
      </c>
      <c r="F142" s="1">
        <v>3</v>
      </c>
      <c r="G142" s="1">
        <v>8</v>
      </c>
      <c r="H142" s="1">
        <v>17</v>
      </c>
      <c r="I142" s="1">
        <v>16</v>
      </c>
      <c r="J142" s="1">
        <v>21</v>
      </c>
      <c r="K142" s="1">
        <v>20</v>
      </c>
      <c r="L142" s="1">
        <v>20</v>
      </c>
      <c r="M142" s="1">
        <v>25</v>
      </c>
      <c r="N142" s="1">
        <v>21</v>
      </c>
      <c r="O142" s="1">
        <v>14</v>
      </c>
      <c r="P142" s="1">
        <v>18</v>
      </c>
      <c r="Q142" s="1">
        <v>18</v>
      </c>
      <c r="R142" s="1">
        <v>14</v>
      </c>
      <c r="S142" s="1">
        <v>19</v>
      </c>
      <c r="T142" s="1">
        <v>24</v>
      </c>
      <c r="U142" s="1">
        <v>23</v>
      </c>
      <c r="V142" s="1">
        <v>22</v>
      </c>
      <c r="W142" s="1">
        <v>14</v>
      </c>
      <c r="X142" s="1">
        <v>15</v>
      </c>
      <c r="Y142" s="1">
        <v>10</v>
      </c>
    </row>
    <row r="143" spans="1:25" x14ac:dyDescent="0.3">
      <c r="A143" s="2">
        <v>43576</v>
      </c>
      <c r="B143" s="1">
        <v>7</v>
      </c>
      <c r="C143" s="1">
        <v>4</v>
      </c>
      <c r="D143" s="1">
        <v>4</v>
      </c>
      <c r="E143" s="1">
        <v>5</v>
      </c>
      <c r="F143" s="1">
        <v>8</v>
      </c>
      <c r="G143" s="1">
        <v>3</v>
      </c>
      <c r="H143" s="1">
        <v>9</v>
      </c>
      <c r="I143" s="1">
        <v>7</v>
      </c>
      <c r="J143" s="1">
        <v>13</v>
      </c>
      <c r="K143" s="1">
        <v>17</v>
      </c>
      <c r="L143" s="1">
        <v>18</v>
      </c>
      <c r="M143" s="1">
        <v>18</v>
      </c>
      <c r="N143" s="1">
        <v>18</v>
      </c>
      <c r="O143" s="1">
        <v>15</v>
      </c>
      <c r="P143" s="1">
        <v>23</v>
      </c>
      <c r="Q143" s="1">
        <v>19</v>
      </c>
      <c r="R143" s="1">
        <v>17</v>
      </c>
      <c r="S143" s="1">
        <v>18</v>
      </c>
      <c r="T143" s="1">
        <v>16</v>
      </c>
      <c r="U143" s="1">
        <v>19</v>
      </c>
      <c r="V143" s="1">
        <v>9</v>
      </c>
      <c r="W143" s="1">
        <v>15</v>
      </c>
      <c r="X143" s="1">
        <v>16</v>
      </c>
      <c r="Y143" s="1">
        <v>9</v>
      </c>
    </row>
    <row r="144" spans="1:25" x14ac:dyDescent="0.3">
      <c r="A144" s="2">
        <v>43577</v>
      </c>
      <c r="B144" s="1">
        <v>8</v>
      </c>
      <c r="C144" s="1">
        <v>4</v>
      </c>
      <c r="D144" s="1">
        <v>5</v>
      </c>
      <c r="E144" s="1">
        <v>2</v>
      </c>
      <c r="F144" s="1">
        <v>4</v>
      </c>
      <c r="G144" s="1">
        <v>8</v>
      </c>
      <c r="H144" s="1">
        <v>6</v>
      </c>
      <c r="I144" s="1">
        <v>18</v>
      </c>
      <c r="J144" s="1">
        <v>22</v>
      </c>
      <c r="K144" s="1">
        <v>25</v>
      </c>
      <c r="L144" s="1">
        <v>25</v>
      </c>
      <c r="M144" s="1">
        <v>14</v>
      </c>
      <c r="N144" s="1">
        <v>25</v>
      </c>
      <c r="O144" s="1">
        <v>23</v>
      </c>
      <c r="P144" s="1">
        <v>28</v>
      </c>
      <c r="Q144" s="1">
        <v>27</v>
      </c>
      <c r="R144" s="1">
        <v>25</v>
      </c>
      <c r="S144" s="1">
        <v>28</v>
      </c>
      <c r="T144" s="1">
        <v>23</v>
      </c>
      <c r="U144" s="1">
        <v>19</v>
      </c>
      <c r="V144" s="1">
        <v>7</v>
      </c>
      <c r="W144" s="1">
        <v>16</v>
      </c>
      <c r="X144" s="1">
        <v>12</v>
      </c>
      <c r="Y144" s="1">
        <v>7</v>
      </c>
    </row>
    <row r="145" spans="1:25" x14ac:dyDescent="0.3">
      <c r="A145" s="2">
        <v>43578</v>
      </c>
      <c r="B145" s="1">
        <v>4</v>
      </c>
      <c r="C145" s="1">
        <v>8</v>
      </c>
      <c r="D145" s="1">
        <v>7</v>
      </c>
      <c r="E145" s="1">
        <v>6</v>
      </c>
      <c r="F145" s="1">
        <v>7</v>
      </c>
      <c r="G145" s="1">
        <v>3</v>
      </c>
      <c r="H145" s="1">
        <v>10</v>
      </c>
      <c r="I145" s="1">
        <v>22</v>
      </c>
      <c r="J145" s="1">
        <v>27</v>
      </c>
      <c r="K145" s="1">
        <v>33</v>
      </c>
      <c r="L145" s="1">
        <v>13</v>
      </c>
      <c r="M145" s="1">
        <v>15</v>
      </c>
      <c r="N145" s="1">
        <v>32</v>
      </c>
      <c r="O145" s="1">
        <v>28</v>
      </c>
      <c r="P145" s="1">
        <v>32</v>
      </c>
      <c r="Q145" s="1">
        <v>31</v>
      </c>
      <c r="R145" s="1">
        <v>35</v>
      </c>
      <c r="S145" s="1">
        <v>27</v>
      </c>
      <c r="T145" s="1">
        <v>33</v>
      </c>
      <c r="U145" s="1">
        <v>21</v>
      </c>
      <c r="V145" s="1">
        <v>13</v>
      </c>
      <c r="W145" s="1">
        <v>15</v>
      </c>
      <c r="X145" s="1">
        <v>13</v>
      </c>
      <c r="Y145" s="1">
        <v>7</v>
      </c>
    </row>
    <row r="146" spans="1:25" x14ac:dyDescent="0.3">
      <c r="A146" s="2">
        <v>43579</v>
      </c>
      <c r="B146" s="1">
        <v>7</v>
      </c>
      <c r="C146" s="1">
        <v>10</v>
      </c>
      <c r="D146" s="1">
        <v>6</v>
      </c>
      <c r="E146" s="1">
        <v>6</v>
      </c>
      <c r="F146" s="1">
        <v>3</v>
      </c>
      <c r="G146" s="1">
        <v>6</v>
      </c>
      <c r="H146" s="1">
        <v>7</v>
      </c>
      <c r="I146" s="1">
        <v>25</v>
      </c>
      <c r="J146" s="1">
        <v>23</v>
      </c>
      <c r="K146" s="1">
        <v>33</v>
      </c>
      <c r="L146" s="1">
        <v>22</v>
      </c>
      <c r="M146" s="1">
        <v>25</v>
      </c>
      <c r="N146" s="1">
        <v>36</v>
      </c>
      <c r="O146" s="1">
        <v>17</v>
      </c>
      <c r="P146" s="1">
        <v>20</v>
      </c>
      <c r="Q146" s="1">
        <v>34</v>
      </c>
      <c r="R146" s="1">
        <v>28</v>
      </c>
      <c r="S146" s="1">
        <v>35</v>
      </c>
      <c r="T146" s="1">
        <v>24</v>
      </c>
      <c r="U146" s="1">
        <v>16</v>
      </c>
      <c r="V146" s="1">
        <v>13</v>
      </c>
      <c r="W146" s="1">
        <v>11</v>
      </c>
      <c r="X146" s="1">
        <v>6</v>
      </c>
      <c r="Y146" s="1">
        <v>12</v>
      </c>
    </row>
    <row r="147" spans="1:25" x14ac:dyDescent="0.3">
      <c r="A147" s="2">
        <v>43580</v>
      </c>
      <c r="B147" s="1">
        <v>6</v>
      </c>
      <c r="C147" s="1">
        <v>6</v>
      </c>
      <c r="D147" s="1">
        <v>6</v>
      </c>
      <c r="E147" s="1">
        <v>7</v>
      </c>
      <c r="F147" s="1">
        <v>6</v>
      </c>
      <c r="G147" s="1">
        <v>8</v>
      </c>
      <c r="H147" s="1">
        <v>12</v>
      </c>
      <c r="I147" s="1">
        <v>22</v>
      </c>
      <c r="J147" s="1">
        <v>19</v>
      </c>
      <c r="K147" s="1">
        <v>23</v>
      </c>
      <c r="L147" s="1">
        <v>24</v>
      </c>
      <c r="M147" s="1">
        <v>25</v>
      </c>
      <c r="N147" s="1">
        <v>24</v>
      </c>
      <c r="O147" s="1">
        <v>18</v>
      </c>
      <c r="P147" s="1">
        <v>28</v>
      </c>
      <c r="Q147" s="1">
        <v>17</v>
      </c>
      <c r="R147" s="1">
        <v>27</v>
      </c>
      <c r="S147" s="1">
        <v>25</v>
      </c>
      <c r="T147" s="1">
        <v>21</v>
      </c>
      <c r="U147" s="1">
        <v>16</v>
      </c>
      <c r="V147" s="1">
        <v>19</v>
      </c>
      <c r="W147" s="1">
        <v>7</v>
      </c>
      <c r="X147" s="1">
        <v>13</v>
      </c>
      <c r="Y147" s="1">
        <v>8</v>
      </c>
    </row>
    <row r="148" spans="1:25" x14ac:dyDescent="0.3">
      <c r="A148" s="2">
        <v>43581</v>
      </c>
      <c r="B148" s="1">
        <v>12</v>
      </c>
      <c r="C148" s="1">
        <v>4</v>
      </c>
      <c r="D148" s="1">
        <v>6</v>
      </c>
      <c r="E148" s="1">
        <v>3</v>
      </c>
      <c r="F148" s="1">
        <v>5</v>
      </c>
      <c r="G148" s="1">
        <v>8</v>
      </c>
      <c r="H148" s="1">
        <v>7</v>
      </c>
      <c r="I148" s="1">
        <v>15</v>
      </c>
      <c r="J148" s="1">
        <v>22</v>
      </c>
      <c r="K148" s="1">
        <v>26</v>
      </c>
      <c r="L148" s="1">
        <v>36</v>
      </c>
      <c r="M148" s="1">
        <v>39</v>
      </c>
      <c r="N148" s="1">
        <v>18</v>
      </c>
      <c r="O148" s="1">
        <v>28</v>
      </c>
      <c r="P148" s="1">
        <v>29</v>
      </c>
      <c r="Q148" s="1">
        <v>19</v>
      </c>
      <c r="R148" s="1">
        <v>34</v>
      </c>
      <c r="S148" s="1">
        <v>66</v>
      </c>
      <c r="T148" s="1">
        <v>54</v>
      </c>
      <c r="U148" s="1">
        <v>35</v>
      </c>
      <c r="V148" s="1">
        <v>34</v>
      </c>
      <c r="W148" s="1">
        <v>20</v>
      </c>
      <c r="X148" s="1">
        <v>11</v>
      </c>
      <c r="Y148" s="1">
        <v>14</v>
      </c>
    </row>
    <row r="149" spans="1:25" x14ac:dyDescent="0.3">
      <c r="A149" s="2">
        <v>43582</v>
      </c>
      <c r="B149" s="1">
        <v>7</v>
      </c>
      <c r="C149" s="1">
        <v>7</v>
      </c>
      <c r="D149" s="1">
        <v>6</v>
      </c>
      <c r="E149" s="1">
        <v>10</v>
      </c>
      <c r="F149" s="1">
        <v>11</v>
      </c>
      <c r="G149" s="1">
        <v>5</v>
      </c>
      <c r="H149" s="1">
        <v>9</v>
      </c>
      <c r="I149" s="1">
        <v>17</v>
      </c>
      <c r="J149" s="1">
        <v>13</v>
      </c>
      <c r="K149" s="1">
        <v>26</v>
      </c>
      <c r="L149" s="1">
        <v>21</v>
      </c>
      <c r="M149" s="1">
        <v>32</v>
      </c>
      <c r="N149" s="1">
        <v>34</v>
      </c>
      <c r="O149" s="1">
        <v>32</v>
      </c>
      <c r="P149" s="1">
        <v>29</v>
      </c>
      <c r="Q149" s="1">
        <v>22</v>
      </c>
      <c r="R149" s="1">
        <v>15</v>
      </c>
      <c r="S149" s="1">
        <v>32</v>
      </c>
      <c r="T149" s="1">
        <v>25</v>
      </c>
      <c r="U149" s="1">
        <v>25</v>
      </c>
      <c r="V149" s="1">
        <v>23</v>
      </c>
      <c r="W149" s="1">
        <v>13</v>
      </c>
      <c r="X149" s="1">
        <v>17</v>
      </c>
      <c r="Y149" s="1">
        <v>10</v>
      </c>
    </row>
    <row r="150" spans="1:25" x14ac:dyDescent="0.3">
      <c r="A150" s="2">
        <v>43583</v>
      </c>
      <c r="B150" s="1">
        <v>16</v>
      </c>
      <c r="C150" s="1">
        <v>8</v>
      </c>
      <c r="D150" s="1">
        <v>9</v>
      </c>
      <c r="E150" s="1">
        <v>7</v>
      </c>
      <c r="F150" s="1">
        <v>7</v>
      </c>
      <c r="G150" s="1">
        <v>6</v>
      </c>
      <c r="H150" s="1">
        <v>7</v>
      </c>
      <c r="I150" s="1">
        <v>12</v>
      </c>
      <c r="J150" s="1">
        <v>12</v>
      </c>
      <c r="K150" s="1">
        <v>14</v>
      </c>
      <c r="L150" s="1">
        <v>20</v>
      </c>
      <c r="M150" s="1">
        <v>18</v>
      </c>
      <c r="N150" s="1">
        <v>21</v>
      </c>
      <c r="O150" s="1">
        <v>19</v>
      </c>
      <c r="P150" s="1">
        <v>21</v>
      </c>
      <c r="Q150" s="1">
        <v>19</v>
      </c>
      <c r="R150" s="1">
        <v>14</v>
      </c>
      <c r="S150" s="1">
        <v>23</v>
      </c>
      <c r="T150" s="1">
        <v>17</v>
      </c>
      <c r="U150" s="1">
        <v>16</v>
      </c>
      <c r="V150" s="1">
        <v>11</v>
      </c>
      <c r="W150" s="1">
        <v>10</v>
      </c>
      <c r="X150" s="1">
        <v>10</v>
      </c>
      <c r="Y150" s="1">
        <v>7</v>
      </c>
    </row>
    <row r="151" spans="1:25" x14ac:dyDescent="0.3">
      <c r="A151" s="2">
        <v>43584</v>
      </c>
      <c r="B151" s="1">
        <v>6</v>
      </c>
      <c r="C151" s="1">
        <v>8</v>
      </c>
      <c r="D151" s="1">
        <v>4</v>
      </c>
      <c r="E151" s="1">
        <v>4</v>
      </c>
      <c r="F151" s="1">
        <v>1</v>
      </c>
      <c r="G151" s="1">
        <v>4</v>
      </c>
      <c r="H151" s="1">
        <v>8</v>
      </c>
      <c r="I151" s="1">
        <v>16</v>
      </c>
      <c r="J151" s="1">
        <v>32</v>
      </c>
      <c r="K151" s="1">
        <v>21</v>
      </c>
      <c r="L151" s="1">
        <v>24</v>
      </c>
      <c r="M151" s="1">
        <v>30</v>
      </c>
      <c r="N151" s="1">
        <v>20</v>
      </c>
      <c r="O151" s="1">
        <v>31</v>
      </c>
      <c r="P151" s="1">
        <v>32</v>
      </c>
      <c r="Q151" s="1">
        <v>27</v>
      </c>
      <c r="R151" s="1">
        <v>29</v>
      </c>
      <c r="S151" s="1">
        <v>19</v>
      </c>
      <c r="T151" s="1">
        <v>22</v>
      </c>
      <c r="U151" s="1">
        <v>14</v>
      </c>
      <c r="V151" s="1">
        <v>10</v>
      </c>
      <c r="W151" s="1">
        <v>14</v>
      </c>
      <c r="X151" s="1">
        <v>12</v>
      </c>
      <c r="Y151" s="1">
        <v>9</v>
      </c>
    </row>
    <row r="152" spans="1:25" x14ac:dyDescent="0.3">
      <c r="A152" s="2">
        <v>43585</v>
      </c>
      <c r="B152" s="1">
        <v>14</v>
      </c>
      <c r="C152" s="1">
        <v>11</v>
      </c>
      <c r="D152" s="1">
        <v>6</v>
      </c>
      <c r="E152" s="1">
        <v>4</v>
      </c>
      <c r="F152" s="1">
        <v>4</v>
      </c>
      <c r="G152" s="1">
        <v>3</v>
      </c>
      <c r="H152" s="1">
        <v>9</v>
      </c>
      <c r="I152" s="1">
        <v>30</v>
      </c>
      <c r="J152" s="1">
        <v>22</v>
      </c>
      <c r="K152" s="1">
        <v>26</v>
      </c>
      <c r="L152" s="1">
        <v>18</v>
      </c>
      <c r="M152" s="1">
        <v>26</v>
      </c>
      <c r="N152" s="1">
        <v>22</v>
      </c>
      <c r="O152" s="1">
        <v>29</v>
      </c>
      <c r="P152" s="1">
        <v>24</v>
      </c>
      <c r="Q152" s="1">
        <v>32</v>
      </c>
      <c r="R152" s="1">
        <v>33</v>
      </c>
      <c r="S152" s="1">
        <v>27</v>
      </c>
      <c r="T152" s="1">
        <v>14</v>
      </c>
      <c r="U152" s="1">
        <v>17</v>
      </c>
      <c r="V152" s="1">
        <v>15</v>
      </c>
      <c r="W152" s="1">
        <v>18</v>
      </c>
      <c r="X152" s="1">
        <v>12</v>
      </c>
      <c r="Y152" s="1">
        <v>7</v>
      </c>
    </row>
    <row r="153" spans="1:25" x14ac:dyDescent="0.3">
      <c r="A153" s="2">
        <v>43586</v>
      </c>
      <c r="B153" s="1">
        <v>2</v>
      </c>
      <c r="C153" s="1">
        <v>4</v>
      </c>
      <c r="D153" s="1">
        <v>6</v>
      </c>
      <c r="E153" s="1">
        <v>6</v>
      </c>
      <c r="F153" s="1">
        <v>4</v>
      </c>
      <c r="G153" s="1">
        <v>7</v>
      </c>
      <c r="H153" s="1">
        <v>5</v>
      </c>
      <c r="I153" s="1">
        <v>12</v>
      </c>
      <c r="J153" s="1">
        <v>29</v>
      </c>
      <c r="K153" s="1">
        <v>33</v>
      </c>
      <c r="L153" s="1">
        <v>24</v>
      </c>
      <c r="M153" s="1">
        <v>12</v>
      </c>
      <c r="N153" s="1">
        <v>19</v>
      </c>
      <c r="O153" s="1">
        <v>16</v>
      </c>
      <c r="P153" s="1">
        <v>24</v>
      </c>
      <c r="Q153" s="1">
        <v>27</v>
      </c>
      <c r="R153" s="1">
        <v>23</v>
      </c>
      <c r="S153" s="1">
        <v>26</v>
      </c>
      <c r="T153" s="1">
        <v>21</v>
      </c>
      <c r="U153" s="1">
        <v>15</v>
      </c>
      <c r="V153" s="1">
        <v>9</v>
      </c>
      <c r="W153" s="1">
        <v>6</v>
      </c>
      <c r="X153" s="1">
        <v>22</v>
      </c>
      <c r="Y153" s="1">
        <v>8</v>
      </c>
    </row>
    <row r="154" spans="1:25" x14ac:dyDescent="0.3">
      <c r="A154" s="2">
        <v>43587</v>
      </c>
      <c r="B154" s="1">
        <v>10</v>
      </c>
      <c r="C154" s="1">
        <v>6</v>
      </c>
      <c r="D154" s="1">
        <v>5</v>
      </c>
      <c r="E154" s="1">
        <v>5</v>
      </c>
      <c r="F154" s="1">
        <v>4</v>
      </c>
      <c r="G154" s="1">
        <v>8</v>
      </c>
      <c r="H154" s="1">
        <v>7</v>
      </c>
      <c r="I154" s="1">
        <v>24</v>
      </c>
      <c r="J154" s="1">
        <v>19</v>
      </c>
      <c r="K154" s="1">
        <v>31</v>
      </c>
      <c r="L154" s="1">
        <v>22</v>
      </c>
      <c r="M154" s="1">
        <v>18</v>
      </c>
      <c r="N154" s="1">
        <v>26</v>
      </c>
      <c r="O154" s="1">
        <v>16</v>
      </c>
      <c r="P154" s="1">
        <v>34</v>
      </c>
      <c r="Q154" s="1">
        <v>30</v>
      </c>
      <c r="R154" s="1">
        <v>21</v>
      </c>
      <c r="S154" s="1">
        <v>30</v>
      </c>
      <c r="T154" s="1">
        <v>27</v>
      </c>
      <c r="U154" s="1">
        <v>12</v>
      </c>
      <c r="V154" s="1">
        <v>23</v>
      </c>
      <c r="W154" s="1">
        <v>22</v>
      </c>
      <c r="X154" s="1">
        <v>18</v>
      </c>
      <c r="Y154" s="1">
        <v>3</v>
      </c>
    </row>
    <row r="155" spans="1:25" x14ac:dyDescent="0.3">
      <c r="A155" s="2">
        <v>43588</v>
      </c>
      <c r="B155" s="1">
        <v>4</v>
      </c>
      <c r="C155" s="1">
        <v>6</v>
      </c>
      <c r="D155" s="1">
        <v>4</v>
      </c>
      <c r="E155" s="1">
        <v>9</v>
      </c>
      <c r="F155" s="1">
        <v>3</v>
      </c>
      <c r="G155" s="1">
        <v>5</v>
      </c>
      <c r="H155" s="1">
        <v>5</v>
      </c>
      <c r="I155" s="1">
        <v>24</v>
      </c>
      <c r="J155" s="1">
        <v>22</v>
      </c>
      <c r="K155" s="1">
        <v>20</v>
      </c>
      <c r="L155" s="1">
        <v>24</v>
      </c>
      <c r="M155" s="1">
        <v>23</v>
      </c>
      <c r="N155" s="1">
        <v>21</v>
      </c>
      <c r="O155" s="1">
        <v>20</v>
      </c>
      <c r="P155" s="1">
        <v>24</v>
      </c>
      <c r="Q155" s="1">
        <v>37</v>
      </c>
      <c r="R155" s="1">
        <v>11</v>
      </c>
      <c r="S155" s="1">
        <v>24</v>
      </c>
      <c r="T155" s="1">
        <v>19</v>
      </c>
      <c r="U155" s="1">
        <v>12</v>
      </c>
      <c r="V155" s="1">
        <v>18</v>
      </c>
      <c r="W155" s="1">
        <v>24</v>
      </c>
      <c r="X155" s="1">
        <v>15</v>
      </c>
      <c r="Y155" s="1">
        <v>14</v>
      </c>
    </row>
    <row r="156" spans="1:25" x14ac:dyDescent="0.3">
      <c r="A156" s="2">
        <v>43589</v>
      </c>
      <c r="B156" s="1">
        <v>16</v>
      </c>
      <c r="C156" s="1">
        <v>5</v>
      </c>
      <c r="D156" s="1">
        <v>4</v>
      </c>
      <c r="E156" s="1">
        <v>7</v>
      </c>
      <c r="F156" s="1">
        <v>4</v>
      </c>
      <c r="G156" s="1">
        <v>8</v>
      </c>
      <c r="H156" s="1">
        <v>2</v>
      </c>
      <c r="I156" s="1">
        <v>13</v>
      </c>
      <c r="J156" s="1">
        <v>14</v>
      </c>
      <c r="K156" s="1">
        <v>15</v>
      </c>
      <c r="L156" s="1">
        <v>21</v>
      </c>
      <c r="M156" s="1">
        <v>19</v>
      </c>
      <c r="N156" s="1">
        <v>25</v>
      </c>
      <c r="O156" s="1">
        <v>26</v>
      </c>
      <c r="P156" s="1">
        <v>11</v>
      </c>
      <c r="Q156" s="1">
        <v>15</v>
      </c>
      <c r="R156" s="1">
        <v>18</v>
      </c>
      <c r="S156" s="1">
        <v>25</v>
      </c>
      <c r="T156" s="1">
        <v>23</v>
      </c>
      <c r="U156" s="1">
        <v>18</v>
      </c>
      <c r="V156" s="1">
        <v>20</v>
      </c>
      <c r="W156" s="1">
        <v>9</v>
      </c>
      <c r="X156" s="1">
        <v>14</v>
      </c>
      <c r="Y156" s="1">
        <v>15</v>
      </c>
    </row>
    <row r="157" spans="1:25" x14ac:dyDescent="0.3">
      <c r="A157" s="2">
        <v>43590</v>
      </c>
      <c r="B157" s="1">
        <v>6</v>
      </c>
      <c r="C157" s="1">
        <v>7</v>
      </c>
      <c r="D157" s="1">
        <v>3</v>
      </c>
      <c r="E157" s="1">
        <v>4</v>
      </c>
      <c r="F157" s="1">
        <v>6</v>
      </c>
      <c r="G157" s="1">
        <v>3</v>
      </c>
      <c r="H157" s="1">
        <v>14</v>
      </c>
      <c r="I157" s="1">
        <v>12</v>
      </c>
      <c r="J157" s="1">
        <v>20</v>
      </c>
      <c r="K157" s="1">
        <v>17</v>
      </c>
      <c r="L157" s="1">
        <v>19</v>
      </c>
      <c r="M157" s="1">
        <v>13</v>
      </c>
      <c r="N157" s="1">
        <v>25</v>
      </c>
      <c r="O157" s="1">
        <v>30</v>
      </c>
      <c r="P157" s="1">
        <v>21</v>
      </c>
      <c r="Q157" s="1">
        <v>26</v>
      </c>
      <c r="R157" s="1">
        <v>21</v>
      </c>
      <c r="S157" s="1">
        <v>18</v>
      </c>
      <c r="T157" s="1">
        <v>21</v>
      </c>
      <c r="U157" s="1">
        <v>12</v>
      </c>
      <c r="V157" s="1">
        <v>14</v>
      </c>
      <c r="W157" s="1">
        <v>24</v>
      </c>
      <c r="X157" s="1">
        <v>12</v>
      </c>
      <c r="Y157" s="1">
        <v>6</v>
      </c>
    </row>
    <row r="158" spans="1:25" x14ac:dyDescent="0.3">
      <c r="A158" s="2">
        <v>43591</v>
      </c>
      <c r="B158" s="1">
        <v>6</v>
      </c>
      <c r="C158" s="1">
        <v>5</v>
      </c>
      <c r="D158" s="1">
        <v>3</v>
      </c>
      <c r="E158" s="1">
        <v>6</v>
      </c>
      <c r="F158" s="1">
        <v>3</v>
      </c>
      <c r="G158" s="1">
        <v>4</v>
      </c>
      <c r="H158" s="1">
        <v>11</v>
      </c>
      <c r="I158" s="1">
        <v>18</v>
      </c>
      <c r="J158" s="1">
        <v>26</v>
      </c>
      <c r="K158" s="1">
        <v>26</v>
      </c>
      <c r="L158" s="1">
        <v>12</v>
      </c>
      <c r="M158" s="1">
        <v>17</v>
      </c>
      <c r="N158" s="1">
        <v>16</v>
      </c>
      <c r="O158" s="1">
        <v>20</v>
      </c>
      <c r="P158" s="1">
        <v>23</v>
      </c>
      <c r="Q158" s="1">
        <v>48</v>
      </c>
      <c r="R158" s="1">
        <v>35</v>
      </c>
      <c r="S158" s="1">
        <v>36</v>
      </c>
      <c r="T158" s="1">
        <v>22</v>
      </c>
      <c r="U158" s="1">
        <v>21</v>
      </c>
      <c r="V158" s="1">
        <v>22</v>
      </c>
      <c r="W158" s="1">
        <v>12</v>
      </c>
      <c r="X158" s="1">
        <v>11</v>
      </c>
      <c r="Y158" s="1">
        <v>9</v>
      </c>
    </row>
    <row r="159" spans="1:25" x14ac:dyDescent="0.3">
      <c r="A159" s="2">
        <v>43592</v>
      </c>
      <c r="B159" s="1">
        <v>5</v>
      </c>
      <c r="C159" s="1">
        <v>9</v>
      </c>
      <c r="D159" s="1">
        <v>4</v>
      </c>
      <c r="E159" s="1">
        <v>7</v>
      </c>
      <c r="F159" s="1">
        <v>3</v>
      </c>
      <c r="G159" s="1">
        <v>6</v>
      </c>
      <c r="H159" s="1">
        <v>8</v>
      </c>
      <c r="I159" s="1">
        <v>14</v>
      </c>
      <c r="J159" s="1">
        <v>18</v>
      </c>
      <c r="K159" s="1">
        <v>29</v>
      </c>
      <c r="L159" s="1">
        <v>27</v>
      </c>
      <c r="M159" s="1">
        <v>24</v>
      </c>
      <c r="N159" s="1">
        <v>22</v>
      </c>
      <c r="O159" s="1">
        <v>29</v>
      </c>
      <c r="P159" s="1">
        <v>27</v>
      </c>
      <c r="Q159" s="1">
        <v>34</v>
      </c>
      <c r="R159" s="1">
        <v>26</v>
      </c>
      <c r="S159" s="1">
        <v>50</v>
      </c>
      <c r="T159" s="1">
        <v>25</v>
      </c>
      <c r="U159" s="1">
        <v>14</v>
      </c>
      <c r="V159" s="1">
        <v>15</v>
      </c>
      <c r="W159" s="1">
        <v>14</v>
      </c>
      <c r="X159" s="1">
        <v>12</v>
      </c>
      <c r="Y159" s="1">
        <v>9</v>
      </c>
    </row>
    <row r="160" spans="1:25" x14ac:dyDescent="0.3">
      <c r="A160" s="2">
        <v>43593</v>
      </c>
      <c r="B160" s="1">
        <v>4</v>
      </c>
      <c r="C160" s="1">
        <v>5</v>
      </c>
      <c r="D160" s="1">
        <v>3</v>
      </c>
      <c r="E160" s="1">
        <v>4</v>
      </c>
      <c r="F160" s="1">
        <v>3</v>
      </c>
      <c r="G160" s="1">
        <v>4</v>
      </c>
      <c r="H160" s="1">
        <v>16</v>
      </c>
      <c r="I160" s="1">
        <v>30</v>
      </c>
      <c r="J160" s="1">
        <v>39</v>
      </c>
      <c r="K160" s="1">
        <v>8</v>
      </c>
      <c r="L160" s="1">
        <v>16</v>
      </c>
      <c r="M160" s="1">
        <v>22</v>
      </c>
      <c r="N160" s="1">
        <v>25</v>
      </c>
      <c r="O160" s="1">
        <v>30</v>
      </c>
      <c r="P160" s="1">
        <v>21</v>
      </c>
      <c r="Q160" s="1">
        <v>32</v>
      </c>
      <c r="R160" s="1">
        <v>17</v>
      </c>
      <c r="S160" s="1">
        <v>19</v>
      </c>
      <c r="T160" s="1">
        <v>24</v>
      </c>
      <c r="U160" s="1">
        <v>11</v>
      </c>
      <c r="V160" s="1">
        <v>20</v>
      </c>
      <c r="W160" s="1">
        <v>23</v>
      </c>
      <c r="X160" s="1">
        <v>8</v>
      </c>
      <c r="Y160" s="1">
        <v>12</v>
      </c>
    </row>
    <row r="161" spans="1:25" x14ac:dyDescent="0.3">
      <c r="A161" s="2">
        <v>43594</v>
      </c>
      <c r="B161" s="1">
        <v>5</v>
      </c>
      <c r="C161" s="1">
        <v>6</v>
      </c>
      <c r="D161" s="1">
        <v>4</v>
      </c>
      <c r="E161" s="1">
        <v>6</v>
      </c>
      <c r="F161" s="1">
        <v>1</v>
      </c>
      <c r="G161" s="1">
        <v>4</v>
      </c>
      <c r="H161" s="1">
        <v>14</v>
      </c>
      <c r="I161" s="1">
        <v>12</v>
      </c>
      <c r="J161" s="1">
        <v>27</v>
      </c>
      <c r="K161" s="1">
        <v>14</v>
      </c>
      <c r="L161" s="1">
        <v>20</v>
      </c>
      <c r="M161" s="1">
        <v>26</v>
      </c>
      <c r="N161" s="1">
        <v>29</v>
      </c>
      <c r="O161" s="1">
        <v>15</v>
      </c>
      <c r="P161" s="1">
        <v>24</v>
      </c>
      <c r="Q161" s="1">
        <v>13</v>
      </c>
      <c r="R161" s="1">
        <v>29</v>
      </c>
      <c r="S161" s="1">
        <v>26</v>
      </c>
      <c r="T161" s="1">
        <v>17</v>
      </c>
      <c r="U161" s="1">
        <v>14</v>
      </c>
      <c r="V161" s="1">
        <v>18</v>
      </c>
      <c r="W161" s="1">
        <v>15</v>
      </c>
      <c r="X161" s="1">
        <v>10</v>
      </c>
      <c r="Y161" s="1">
        <v>13</v>
      </c>
    </row>
    <row r="162" spans="1:25" x14ac:dyDescent="0.3">
      <c r="A162" s="2">
        <v>43595</v>
      </c>
      <c r="B162" s="1">
        <v>8</v>
      </c>
      <c r="C162" s="1">
        <v>7</v>
      </c>
      <c r="D162" s="1">
        <v>7</v>
      </c>
      <c r="E162" s="1">
        <v>6</v>
      </c>
      <c r="F162" s="1">
        <v>5</v>
      </c>
      <c r="G162" s="1">
        <v>9</v>
      </c>
      <c r="H162" s="1">
        <v>9</v>
      </c>
      <c r="I162" s="1">
        <v>15</v>
      </c>
      <c r="J162" s="1">
        <v>22</v>
      </c>
      <c r="K162" s="1">
        <v>27</v>
      </c>
      <c r="L162" s="1">
        <v>21</v>
      </c>
      <c r="M162" s="1">
        <v>19</v>
      </c>
      <c r="N162" s="1">
        <v>24</v>
      </c>
      <c r="O162" s="1">
        <v>39</v>
      </c>
      <c r="P162" s="1">
        <v>25</v>
      </c>
      <c r="Q162" s="1">
        <v>27</v>
      </c>
      <c r="R162" s="1">
        <v>24</v>
      </c>
      <c r="S162" s="1">
        <v>34</v>
      </c>
      <c r="T162" s="1">
        <v>24</v>
      </c>
      <c r="U162" s="1">
        <v>29</v>
      </c>
      <c r="V162" s="1">
        <v>19</v>
      </c>
      <c r="W162" s="1">
        <v>22</v>
      </c>
      <c r="X162" s="1">
        <v>9</v>
      </c>
      <c r="Y162" s="1">
        <v>18</v>
      </c>
    </row>
    <row r="163" spans="1:25" x14ac:dyDescent="0.3">
      <c r="A163" s="2">
        <v>43596</v>
      </c>
      <c r="B163" s="1">
        <v>12</v>
      </c>
      <c r="C163" s="1">
        <v>13</v>
      </c>
      <c r="D163" s="1">
        <v>5</v>
      </c>
      <c r="E163" s="1">
        <v>9</v>
      </c>
      <c r="F163" s="1">
        <v>7</v>
      </c>
      <c r="G163" s="1">
        <v>7</v>
      </c>
      <c r="H163" s="1">
        <v>11</v>
      </c>
      <c r="I163" s="1">
        <v>15</v>
      </c>
      <c r="J163" s="1">
        <v>19</v>
      </c>
      <c r="K163" s="1">
        <v>19</v>
      </c>
      <c r="L163" s="1">
        <v>26</v>
      </c>
      <c r="M163" s="1">
        <v>25</v>
      </c>
      <c r="N163" s="1">
        <v>36</v>
      </c>
      <c r="O163" s="1">
        <v>22</v>
      </c>
      <c r="P163" s="1">
        <v>27</v>
      </c>
      <c r="Q163" s="1">
        <v>17</v>
      </c>
      <c r="R163" s="1">
        <v>24</v>
      </c>
      <c r="S163" s="1">
        <v>18</v>
      </c>
      <c r="T163" s="1">
        <v>25</v>
      </c>
      <c r="U163" s="1">
        <v>20</v>
      </c>
      <c r="V163" s="1">
        <v>27</v>
      </c>
      <c r="W163" s="1">
        <v>22</v>
      </c>
      <c r="X163" s="1">
        <v>15</v>
      </c>
      <c r="Y163" s="1">
        <v>13</v>
      </c>
    </row>
    <row r="164" spans="1:25" x14ac:dyDescent="0.3">
      <c r="A164" s="2">
        <v>43597</v>
      </c>
      <c r="B164" s="1">
        <v>11</v>
      </c>
      <c r="C164" s="1">
        <v>7</v>
      </c>
      <c r="D164" s="1">
        <v>10</v>
      </c>
      <c r="E164" s="1">
        <v>8</v>
      </c>
      <c r="F164" s="1">
        <v>4</v>
      </c>
      <c r="G164" s="1">
        <v>4</v>
      </c>
      <c r="H164" s="1">
        <v>8</v>
      </c>
      <c r="I164" s="1">
        <v>14</v>
      </c>
      <c r="J164" s="1">
        <v>12</v>
      </c>
      <c r="K164" s="1">
        <v>13</v>
      </c>
      <c r="L164" s="1">
        <v>15</v>
      </c>
      <c r="M164" s="1">
        <v>17</v>
      </c>
      <c r="N164" s="1">
        <v>46</v>
      </c>
      <c r="O164" s="1">
        <v>27</v>
      </c>
      <c r="P164" s="1">
        <v>32</v>
      </c>
      <c r="Q164" s="1">
        <v>31</v>
      </c>
      <c r="R164" s="1">
        <v>27</v>
      </c>
      <c r="S164" s="1">
        <v>18</v>
      </c>
      <c r="T164" s="1">
        <v>14</v>
      </c>
      <c r="U164" s="1">
        <v>21</v>
      </c>
      <c r="V164" s="1">
        <v>21</v>
      </c>
      <c r="W164" s="1">
        <v>5</v>
      </c>
      <c r="X164" s="1">
        <v>10</v>
      </c>
      <c r="Y164" s="1">
        <v>13</v>
      </c>
    </row>
    <row r="165" spans="1:25" x14ac:dyDescent="0.3">
      <c r="A165" s="2">
        <v>43598</v>
      </c>
      <c r="B165" s="1">
        <v>10</v>
      </c>
      <c r="C165" s="1">
        <v>7</v>
      </c>
      <c r="D165" s="1">
        <v>3</v>
      </c>
      <c r="E165" s="1">
        <v>12</v>
      </c>
      <c r="F165" s="1">
        <v>5</v>
      </c>
      <c r="G165" s="1">
        <v>7</v>
      </c>
      <c r="H165" s="1">
        <v>10</v>
      </c>
      <c r="I165" s="1">
        <v>23</v>
      </c>
      <c r="J165" s="1">
        <v>27</v>
      </c>
      <c r="K165" s="1">
        <v>23</v>
      </c>
      <c r="L165" s="1">
        <v>26</v>
      </c>
      <c r="M165" s="1">
        <v>18</v>
      </c>
      <c r="N165" s="1">
        <v>37</v>
      </c>
      <c r="O165" s="1">
        <v>18</v>
      </c>
      <c r="P165" s="1">
        <v>28</v>
      </c>
      <c r="Q165" s="1">
        <v>48</v>
      </c>
      <c r="R165" s="1">
        <v>63</v>
      </c>
      <c r="S165" s="1">
        <v>29</v>
      </c>
      <c r="T165" s="1">
        <v>34</v>
      </c>
      <c r="U165" s="1">
        <v>12</v>
      </c>
      <c r="V165" s="1">
        <v>15</v>
      </c>
      <c r="W165" s="1">
        <v>17</v>
      </c>
      <c r="X165" s="1">
        <v>10</v>
      </c>
      <c r="Y165" s="1">
        <v>10</v>
      </c>
    </row>
    <row r="166" spans="1:25" x14ac:dyDescent="0.3">
      <c r="A166" s="2">
        <v>43599</v>
      </c>
      <c r="B166" s="1">
        <v>9</v>
      </c>
      <c r="C166" s="1">
        <v>4</v>
      </c>
      <c r="D166" s="1">
        <v>2</v>
      </c>
      <c r="E166" s="1">
        <v>4</v>
      </c>
      <c r="F166" s="1">
        <v>7</v>
      </c>
      <c r="G166" s="1">
        <v>7</v>
      </c>
      <c r="H166" s="1">
        <v>15</v>
      </c>
      <c r="I166" s="1">
        <v>25</v>
      </c>
      <c r="J166" s="1">
        <v>29</v>
      </c>
      <c r="K166" s="1">
        <v>20</v>
      </c>
      <c r="L166" s="1">
        <v>17</v>
      </c>
      <c r="M166" s="1">
        <v>7</v>
      </c>
      <c r="N166" s="1">
        <v>17</v>
      </c>
      <c r="O166" s="1">
        <v>20</v>
      </c>
      <c r="P166" s="1">
        <v>9</v>
      </c>
      <c r="Q166" s="1">
        <v>24</v>
      </c>
      <c r="R166" s="1">
        <v>26</v>
      </c>
      <c r="S166" s="1">
        <v>35</v>
      </c>
      <c r="T166" s="1">
        <v>29</v>
      </c>
      <c r="U166" s="1">
        <v>30</v>
      </c>
      <c r="V166" s="1">
        <v>13</v>
      </c>
      <c r="W166" s="1">
        <v>12</v>
      </c>
      <c r="X166" s="1">
        <v>9</v>
      </c>
      <c r="Y166" s="1">
        <v>10</v>
      </c>
    </row>
    <row r="167" spans="1:25" x14ac:dyDescent="0.3">
      <c r="A167" s="2">
        <v>43600</v>
      </c>
      <c r="B167" s="1">
        <v>5</v>
      </c>
      <c r="C167" s="1">
        <v>7</v>
      </c>
      <c r="D167" s="1">
        <v>6</v>
      </c>
      <c r="E167" s="1">
        <v>7</v>
      </c>
      <c r="F167" s="1">
        <v>1</v>
      </c>
      <c r="G167" s="1">
        <v>4</v>
      </c>
      <c r="H167" s="1">
        <v>9</v>
      </c>
      <c r="I167" s="1">
        <v>28</v>
      </c>
      <c r="J167" s="1">
        <v>25</v>
      </c>
      <c r="K167" s="1">
        <v>27</v>
      </c>
      <c r="L167" s="1">
        <v>8</v>
      </c>
      <c r="M167" s="1">
        <v>30</v>
      </c>
      <c r="N167" s="1">
        <v>18</v>
      </c>
      <c r="O167" s="1">
        <v>23</v>
      </c>
      <c r="P167" s="1">
        <v>24</v>
      </c>
      <c r="Q167" s="1">
        <v>21</v>
      </c>
      <c r="R167" s="1">
        <v>39</v>
      </c>
      <c r="S167" s="1">
        <v>25</v>
      </c>
      <c r="T167" s="1">
        <v>25</v>
      </c>
      <c r="U167" s="1">
        <v>19</v>
      </c>
      <c r="V167" s="1">
        <v>10</v>
      </c>
      <c r="W167" s="1">
        <v>21</v>
      </c>
      <c r="X167" s="1">
        <v>6</v>
      </c>
      <c r="Y167" s="1">
        <v>7</v>
      </c>
    </row>
    <row r="168" spans="1:25" x14ac:dyDescent="0.3">
      <c r="A168" s="2">
        <v>43601</v>
      </c>
      <c r="B168" s="1">
        <v>8</v>
      </c>
      <c r="C168" s="1">
        <v>6</v>
      </c>
      <c r="D168" s="1">
        <v>5</v>
      </c>
      <c r="E168" s="1">
        <v>11</v>
      </c>
      <c r="F168" s="1">
        <v>4</v>
      </c>
      <c r="G168" s="1">
        <v>8</v>
      </c>
      <c r="H168" s="1">
        <v>6</v>
      </c>
      <c r="I168" s="1">
        <v>11</v>
      </c>
      <c r="J168" s="1">
        <v>22</v>
      </c>
      <c r="K168" s="1">
        <v>26</v>
      </c>
      <c r="L168" s="1">
        <v>26</v>
      </c>
      <c r="M168" s="1">
        <v>24</v>
      </c>
      <c r="N168" s="1">
        <v>20</v>
      </c>
      <c r="O168" s="1">
        <v>21</v>
      </c>
      <c r="P168" s="1">
        <v>25</v>
      </c>
      <c r="Q168" s="1">
        <v>25</v>
      </c>
      <c r="R168" s="1">
        <v>44</v>
      </c>
      <c r="S168" s="1">
        <v>43</v>
      </c>
      <c r="T168" s="1">
        <v>28</v>
      </c>
      <c r="U168" s="1">
        <v>15</v>
      </c>
      <c r="V168" s="1">
        <v>10</v>
      </c>
      <c r="W168" s="1">
        <v>7</v>
      </c>
      <c r="X168" s="1">
        <v>7</v>
      </c>
      <c r="Y168" s="1">
        <v>9</v>
      </c>
    </row>
    <row r="169" spans="1:25" x14ac:dyDescent="0.3">
      <c r="A169" s="2">
        <v>43602</v>
      </c>
      <c r="B169" s="1">
        <v>6</v>
      </c>
      <c r="C169" s="1">
        <v>5</v>
      </c>
      <c r="D169" s="1">
        <v>4</v>
      </c>
      <c r="E169" s="1">
        <v>4</v>
      </c>
      <c r="F169" s="1">
        <v>7</v>
      </c>
      <c r="G169" s="1">
        <v>3</v>
      </c>
      <c r="H169" s="1">
        <v>13</v>
      </c>
      <c r="I169" s="1">
        <v>24</v>
      </c>
      <c r="J169" s="1">
        <v>23</v>
      </c>
      <c r="K169" s="1">
        <v>28</v>
      </c>
      <c r="L169" s="1">
        <v>29</v>
      </c>
      <c r="M169" s="1">
        <v>29</v>
      </c>
      <c r="N169" s="1">
        <v>30</v>
      </c>
      <c r="O169" s="1">
        <v>23</v>
      </c>
      <c r="P169" s="1">
        <v>20</v>
      </c>
      <c r="Q169" s="1">
        <v>40</v>
      </c>
      <c r="R169" s="1">
        <v>31</v>
      </c>
      <c r="S169" s="1">
        <v>20</v>
      </c>
      <c r="T169" s="1">
        <v>28</v>
      </c>
      <c r="U169" s="1">
        <v>26</v>
      </c>
      <c r="V169" s="1">
        <v>15</v>
      </c>
      <c r="W169" s="1">
        <v>23</v>
      </c>
      <c r="X169" s="1">
        <v>25</v>
      </c>
      <c r="Y169" s="1">
        <v>11</v>
      </c>
    </row>
    <row r="170" spans="1:25" x14ac:dyDescent="0.3">
      <c r="A170" s="2">
        <v>43603</v>
      </c>
      <c r="B170" s="1">
        <v>16</v>
      </c>
      <c r="C170" s="1">
        <v>8</v>
      </c>
      <c r="D170" s="1">
        <v>2</v>
      </c>
      <c r="E170" s="1">
        <v>4</v>
      </c>
      <c r="F170" s="1">
        <v>5</v>
      </c>
      <c r="G170" s="1">
        <v>9</v>
      </c>
      <c r="H170" s="1">
        <v>13</v>
      </c>
      <c r="I170" s="1">
        <v>14</v>
      </c>
      <c r="J170" s="1">
        <v>12</v>
      </c>
      <c r="K170" s="1">
        <v>29</v>
      </c>
      <c r="L170" s="1">
        <v>21</v>
      </c>
      <c r="M170" s="1">
        <v>28</v>
      </c>
      <c r="N170" s="1">
        <v>39</v>
      </c>
      <c r="O170" s="1">
        <v>23</v>
      </c>
      <c r="P170" s="1">
        <v>21</v>
      </c>
      <c r="Q170" s="1">
        <v>25</v>
      </c>
      <c r="R170" s="1">
        <v>28</v>
      </c>
      <c r="S170" s="1">
        <v>21</v>
      </c>
      <c r="T170" s="1">
        <v>25</v>
      </c>
      <c r="U170" s="1">
        <v>24</v>
      </c>
      <c r="V170" s="1">
        <v>15</v>
      </c>
      <c r="W170" s="1">
        <v>15</v>
      </c>
      <c r="X170" s="1">
        <v>8</v>
      </c>
      <c r="Y170" s="1">
        <v>20</v>
      </c>
    </row>
    <row r="171" spans="1:25" x14ac:dyDescent="0.3">
      <c r="A171" s="2">
        <v>43604</v>
      </c>
      <c r="B171" s="1">
        <v>9</v>
      </c>
      <c r="C171" s="1">
        <v>16</v>
      </c>
      <c r="D171" s="1">
        <v>8</v>
      </c>
      <c r="E171" s="1">
        <v>3</v>
      </c>
      <c r="F171" s="1">
        <v>9</v>
      </c>
      <c r="G171" s="1">
        <v>8</v>
      </c>
      <c r="H171" s="1">
        <v>8</v>
      </c>
      <c r="I171" s="1">
        <v>7</v>
      </c>
      <c r="J171" s="1">
        <v>9</v>
      </c>
      <c r="K171" s="1">
        <v>19</v>
      </c>
      <c r="L171" s="1">
        <v>18</v>
      </c>
      <c r="M171" s="1">
        <v>30</v>
      </c>
      <c r="N171" s="1">
        <v>18</v>
      </c>
      <c r="O171" s="1">
        <v>26</v>
      </c>
      <c r="P171" s="1">
        <v>27</v>
      </c>
      <c r="Q171" s="1">
        <v>35</v>
      </c>
      <c r="R171" s="1">
        <v>13</v>
      </c>
      <c r="S171" s="1">
        <v>28</v>
      </c>
      <c r="T171" s="1">
        <v>13</v>
      </c>
      <c r="U171" s="1">
        <v>27</v>
      </c>
      <c r="V171" s="1">
        <v>22</v>
      </c>
      <c r="W171" s="1">
        <v>24</v>
      </c>
      <c r="X171" s="1">
        <v>12</v>
      </c>
      <c r="Y171" s="1">
        <v>14</v>
      </c>
    </row>
    <row r="172" spans="1:25" x14ac:dyDescent="0.3">
      <c r="A172" s="2">
        <v>43605</v>
      </c>
      <c r="B172" s="1">
        <v>5</v>
      </c>
      <c r="C172" s="1">
        <v>10</v>
      </c>
      <c r="D172" s="1">
        <v>7</v>
      </c>
      <c r="E172" s="1">
        <v>2</v>
      </c>
      <c r="F172" s="1">
        <v>4</v>
      </c>
      <c r="G172" s="1">
        <v>15</v>
      </c>
      <c r="H172" s="1">
        <v>17</v>
      </c>
      <c r="I172" s="1">
        <v>26</v>
      </c>
      <c r="J172" s="1">
        <v>28</v>
      </c>
      <c r="K172" s="1">
        <v>36</v>
      </c>
      <c r="L172" s="1">
        <v>28</v>
      </c>
      <c r="M172" s="1">
        <v>29</v>
      </c>
      <c r="N172" s="1">
        <v>27</v>
      </c>
      <c r="O172" s="1">
        <v>22</v>
      </c>
      <c r="P172" s="1">
        <v>33</v>
      </c>
      <c r="Q172" s="1">
        <v>27</v>
      </c>
      <c r="R172" s="1">
        <v>44</v>
      </c>
      <c r="S172" s="1">
        <v>32</v>
      </c>
      <c r="T172" s="1">
        <v>27</v>
      </c>
      <c r="U172" s="1">
        <v>27</v>
      </c>
      <c r="V172" s="1">
        <v>13</v>
      </c>
      <c r="W172" s="1">
        <v>16</v>
      </c>
      <c r="X172" s="1">
        <v>7</v>
      </c>
      <c r="Y172" s="1">
        <v>7</v>
      </c>
    </row>
    <row r="173" spans="1:25" x14ac:dyDescent="0.3">
      <c r="A173" s="2">
        <v>43606</v>
      </c>
      <c r="B173" s="1">
        <v>11</v>
      </c>
      <c r="C173" s="1">
        <v>7</v>
      </c>
      <c r="D173" s="1">
        <v>1</v>
      </c>
      <c r="E173" s="1">
        <v>3</v>
      </c>
      <c r="F173" s="1">
        <v>5</v>
      </c>
      <c r="G173" s="1">
        <v>7</v>
      </c>
      <c r="H173" s="1">
        <v>6</v>
      </c>
      <c r="I173" s="1">
        <v>9</v>
      </c>
      <c r="J173" s="1">
        <v>24</v>
      </c>
      <c r="K173" s="1">
        <v>23</v>
      </c>
      <c r="L173" s="1">
        <v>20</v>
      </c>
      <c r="M173" s="1">
        <v>18</v>
      </c>
      <c r="N173" s="1">
        <v>29</v>
      </c>
      <c r="O173" s="1">
        <v>37</v>
      </c>
      <c r="P173" s="1">
        <v>24</v>
      </c>
      <c r="Q173" s="1">
        <v>34</v>
      </c>
      <c r="R173" s="1">
        <v>30</v>
      </c>
      <c r="S173" s="1">
        <v>21</v>
      </c>
      <c r="T173" s="1">
        <v>22</v>
      </c>
      <c r="U173" s="1">
        <v>17</v>
      </c>
      <c r="V173" s="1">
        <v>19</v>
      </c>
      <c r="W173" s="1">
        <v>22</v>
      </c>
      <c r="X173" s="1">
        <v>8</v>
      </c>
      <c r="Y173" s="1">
        <v>4</v>
      </c>
    </row>
    <row r="174" spans="1:25" x14ac:dyDescent="0.3">
      <c r="A174" s="2">
        <v>43607</v>
      </c>
      <c r="B174" s="1">
        <v>4</v>
      </c>
      <c r="C174" s="1">
        <v>3</v>
      </c>
      <c r="D174" s="1">
        <v>6</v>
      </c>
      <c r="E174" s="1">
        <v>6</v>
      </c>
      <c r="F174" s="1">
        <v>4</v>
      </c>
      <c r="G174" s="1">
        <v>5</v>
      </c>
      <c r="H174" s="1">
        <v>13</v>
      </c>
      <c r="I174" s="1">
        <v>22</v>
      </c>
      <c r="J174" s="1">
        <v>25</v>
      </c>
      <c r="K174" s="1">
        <v>17</v>
      </c>
      <c r="L174" s="1">
        <v>25</v>
      </c>
      <c r="M174" s="1">
        <v>26</v>
      </c>
      <c r="N174" s="1">
        <v>27</v>
      </c>
      <c r="O174" s="1">
        <v>20</v>
      </c>
      <c r="P174" s="1">
        <v>21</v>
      </c>
      <c r="Q174" s="1">
        <v>21</v>
      </c>
      <c r="R174" s="1">
        <v>26</v>
      </c>
      <c r="S174" s="1">
        <v>33</v>
      </c>
      <c r="T174" s="1">
        <v>25</v>
      </c>
      <c r="U174" s="1">
        <v>13</v>
      </c>
      <c r="V174" s="1">
        <v>25</v>
      </c>
      <c r="W174" s="1">
        <v>24</v>
      </c>
      <c r="X174" s="1">
        <v>12</v>
      </c>
      <c r="Y174" s="1">
        <v>7</v>
      </c>
    </row>
    <row r="175" spans="1:25" x14ac:dyDescent="0.3">
      <c r="A175" s="2">
        <v>43608</v>
      </c>
      <c r="B175" s="1">
        <v>7</v>
      </c>
      <c r="C175" s="1">
        <v>5</v>
      </c>
      <c r="D175" s="1">
        <v>4</v>
      </c>
      <c r="E175" s="1">
        <v>4</v>
      </c>
      <c r="F175" s="1">
        <v>5</v>
      </c>
      <c r="G175" s="1">
        <v>5</v>
      </c>
      <c r="H175" s="1">
        <v>12</v>
      </c>
      <c r="I175" s="1">
        <v>20</v>
      </c>
      <c r="J175" s="1">
        <v>14</v>
      </c>
      <c r="K175" s="1">
        <v>16</v>
      </c>
      <c r="L175" s="1">
        <v>16</v>
      </c>
      <c r="M175" s="1">
        <v>9</v>
      </c>
      <c r="N175" s="1">
        <v>32</v>
      </c>
      <c r="O175" s="1">
        <v>24</v>
      </c>
      <c r="P175" s="1">
        <v>39</v>
      </c>
      <c r="Q175" s="1">
        <v>35</v>
      </c>
      <c r="R175" s="1">
        <v>31</v>
      </c>
      <c r="S175" s="1">
        <v>33</v>
      </c>
      <c r="T175" s="1">
        <v>12</v>
      </c>
      <c r="U175" s="1">
        <v>27</v>
      </c>
      <c r="V175" s="1">
        <v>25</v>
      </c>
      <c r="W175" s="1">
        <v>14</v>
      </c>
      <c r="X175" s="1">
        <v>10</v>
      </c>
      <c r="Y175" s="1">
        <v>4</v>
      </c>
    </row>
    <row r="176" spans="1:25" x14ac:dyDescent="0.3">
      <c r="A176" s="2">
        <v>43609</v>
      </c>
      <c r="B176" s="1">
        <v>10</v>
      </c>
      <c r="C176" s="1">
        <v>7</v>
      </c>
      <c r="D176" s="1">
        <v>4</v>
      </c>
      <c r="E176" s="1">
        <v>3</v>
      </c>
      <c r="F176" s="1">
        <v>9</v>
      </c>
      <c r="G176" s="1">
        <v>2</v>
      </c>
      <c r="H176" s="1">
        <v>16</v>
      </c>
      <c r="I176" s="1">
        <v>24</v>
      </c>
      <c r="J176" s="1">
        <v>15</v>
      </c>
      <c r="K176" s="1">
        <v>32</v>
      </c>
      <c r="L176" s="1">
        <v>26</v>
      </c>
      <c r="M176" s="1">
        <v>20</v>
      </c>
      <c r="N176" s="1">
        <v>28</v>
      </c>
      <c r="O176" s="1">
        <v>28</v>
      </c>
      <c r="P176" s="1">
        <v>29</v>
      </c>
      <c r="Q176" s="1">
        <v>31</v>
      </c>
      <c r="R176" s="1">
        <v>37</v>
      </c>
      <c r="S176" s="1">
        <v>23</v>
      </c>
      <c r="T176" s="1">
        <v>13</v>
      </c>
      <c r="U176" s="1">
        <v>20</v>
      </c>
      <c r="V176" s="1">
        <v>25</v>
      </c>
      <c r="W176" s="1">
        <v>24</v>
      </c>
      <c r="X176" s="1">
        <v>16</v>
      </c>
      <c r="Y176" s="1">
        <v>10</v>
      </c>
    </row>
    <row r="177" spans="1:25" x14ac:dyDescent="0.3">
      <c r="A177" s="2">
        <v>43610</v>
      </c>
      <c r="B177" s="1">
        <v>11</v>
      </c>
      <c r="C177" s="1">
        <v>6</v>
      </c>
      <c r="D177" s="1">
        <v>6</v>
      </c>
      <c r="E177" s="1">
        <v>8</v>
      </c>
      <c r="F177" s="1">
        <v>9</v>
      </c>
      <c r="G177" s="1">
        <v>7</v>
      </c>
      <c r="H177" s="1">
        <v>8</v>
      </c>
      <c r="I177" s="1">
        <v>15</v>
      </c>
      <c r="J177" s="1">
        <v>10</v>
      </c>
      <c r="K177" s="1">
        <v>15</v>
      </c>
      <c r="L177" s="1">
        <v>14</v>
      </c>
      <c r="M177" s="1">
        <v>13</v>
      </c>
      <c r="N177" s="1">
        <v>17</v>
      </c>
      <c r="O177" s="1">
        <v>15</v>
      </c>
      <c r="P177" s="1">
        <v>18</v>
      </c>
      <c r="Q177" s="1">
        <v>13</v>
      </c>
      <c r="R177" s="1">
        <v>12</v>
      </c>
      <c r="S177" s="1">
        <v>25</v>
      </c>
      <c r="T177" s="1">
        <v>20</v>
      </c>
      <c r="U177" s="1">
        <v>11</v>
      </c>
      <c r="V177" s="1">
        <v>14</v>
      </c>
      <c r="W177" s="1">
        <v>14</v>
      </c>
      <c r="X177" s="1">
        <v>21</v>
      </c>
      <c r="Y177" s="1">
        <v>13</v>
      </c>
    </row>
    <row r="178" spans="1:25" x14ac:dyDescent="0.3">
      <c r="A178" s="2">
        <v>43611</v>
      </c>
      <c r="B178" s="1">
        <v>12</v>
      </c>
      <c r="C178" s="1">
        <v>2</v>
      </c>
      <c r="D178" s="1">
        <v>2</v>
      </c>
      <c r="E178" s="1">
        <v>6</v>
      </c>
      <c r="F178" s="1">
        <v>7</v>
      </c>
      <c r="G178" s="1">
        <v>4</v>
      </c>
      <c r="H178" s="1">
        <v>4</v>
      </c>
      <c r="I178" s="1">
        <v>24</v>
      </c>
      <c r="J178" s="1">
        <v>8</v>
      </c>
      <c r="K178" s="1">
        <v>11</v>
      </c>
      <c r="L178" s="1">
        <v>17</v>
      </c>
      <c r="M178" s="1">
        <v>13</v>
      </c>
      <c r="N178" s="1">
        <v>16</v>
      </c>
      <c r="O178" s="1">
        <v>32</v>
      </c>
      <c r="P178" s="1">
        <v>26</v>
      </c>
      <c r="Q178" s="1">
        <v>19</v>
      </c>
      <c r="R178" s="1">
        <v>24</v>
      </c>
      <c r="S178" s="1">
        <v>28</v>
      </c>
      <c r="T178" s="1">
        <v>18</v>
      </c>
      <c r="U178" s="1">
        <v>18</v>
      </c>
      <c r="V178" s="1">
        <v>12</v>
      </c>
      <c r="W178" s="1">
        <v>10</v>
      </c>
      <c r="X178" s="1">
        <v>5</v>
      </c>
      <c r="Y178" s="1">
        <v>7</v>
      </c>
    </row>
    <row r="179" spans="1:25" x14ac:dyDescent="0.3">
      <c r="A179" s="2">
        <v>43612</v>
      </c>
      <c r="B179" s="1">
        <v>10</v>
      </c>
      <c r="C179" s="1">
        <v>12</v>
      </c>
      <c r="D179" s="1">
        <v>7</v>
      </c>
      <c r="E179" s="1">
        <v>5</v>
      </c>
      <c r="F179" s="1">
        <v>5</v>
      </c>
      <c r="G179" s="1">
        <v>4</v>
      </c>
      <c r="H179" s="1">
        <v>2</v>
      </c>
      <c r="I179" s="1">
        <v>11</v>
      </c>
      <c r="J179" s="1">
        <v>13</v>
      </c>
      <c r="K179" s="1">
        <v>13</v>
      </c>
      <c r="L179" s="1">
        <v>17</v>
      </c>
      <c r="M179" s="1">
        <v>16</v>
      </c>
      <c r="N179" s="1">
        <v>15</v>
      </c>
      <c r="O179" s="1">
        <v>21</v>
      </c>
      <c r="P179" s="1">
        <v>29</v>
      </c>
      <c r="Q179" s="1">
        <v>21</v>
      </c>
      <c r="R179" s="1">
        <v>16</v>
      </c>
      <c r="S179" s="1">
        <v>24</v>
      </c>
      <c r="T179" s="1">
        <v>14</v>
      </c>
      <c r="U179" s="1">
        <v>23</v>
      </c>
      <c r="V179" s="1">
        <v>13</v>
      </c>
      <c r="W179" s="1">
        <v>22</v>
      </c>
      <c r="X179" s="1">
        <v>14</v>
      </c>
      <c r="Y179" s="1">
        <v>7</v>
      </c>
    </row>
    <row r="180" spans="1:25" x14ac:dyDescent="0.3">
      <c r="A180" s="2">
        <v>43613</v>
      </c>
      <c r="B180" s="1">
        <v>8</v>
      </c>
      <c r="C180" s="1">
        <v>6</v>
      </c>
      <c r="D180" s="1">
        <v>6</v>
      </c>
      <c r="E180" s="1">
        <v>3</v>
      </c>
      <c r="F180" s="1">
        <v>1</v>
      </c>
      <c r="G180" s="1">
        <v>10</v>
      </c>
      <c r="H180" s="1">
        <v>9</v>
      </c>
      <c r="I180" s="1">
        <v>23</v>
      </c>
      <c r="J180" s="1">
        <v>30</v>
      </c>
      <c r="K180" s="1">
        <v>27</v>
      </c>
      <c r="L180" s="1">
        <v>21</v>
      </c>
      <c r="M180" s="1">
        <v>16</v>
      </c>
      <c r="N180" s="1">
        <v>29</v>
      </c>
      <c r="O180" s="1">
        <v>12</v>
      </c>
      <c r="P180" s="1">
        <v>21</v>
      </c>
      <c r="Q180" s="1">
        <v>38</v>
      </c>
      <c r="R180" s="1">
        <v>29</v>
      </c>
      <c r="S180" s="1">
        <v>38</v>
      </c>
      <c r="T180" s="1">
        <v>17</v>
      </c>
      <c r="U180" s="1">
        <v>27</v>
      </c>
      <c r="V180" s="1">
        <v>16</v>
      </c>
      <c r="W180" s="1">
        <v>11</v>
      </c>
      <c r="X180" s="1">
        <v>9</v>
      </c>
      <c r="Y180" s="1">
        <v>13</v>
      </c>
    </row>
    <row r="181" spans="1:25" x14ac:dyDescent="0.3">
      <c r="A181" s="2">
        <v>43614</v>
      </c>
      <c r="B181" s="1">
        <v>9</v>
      </c>
      <c r="C181" s="1">
        <v>6</v>
      </c>
      <c r="D181" s="1">
        <v>3</v>
      </c>
      <c r="E181" s="1">
        <v>3</v>
      </c>
      <c r="F181" s="1">
        <v>4</v>
      </c>
      <c r="G181" s="1">
        <v>5</v>
      </c>
      <c r="H181" s="1">
        <v>17</v>
      </c>
      <c r="I181" s="1">
        <v>24</v>
      </c>
      <c r="J181" s="1">
        <v>18</v>
      </c>
      <c r="K181" s="1">
        <v>10</v>
      </c>
      <c r="L181" s="1">
        <v>24</v>
      </c>
      <c r="M181" s="1">
        <v>20</v>
      </c>
      <c r="N181" s="1">
        <v>26</v>
      </c>
      <c r="O181" s="1">
        <v>27</v>
      </c>
      <c r="P181" s="1">
        <v>28</v>
      </c>
      <c r="Q181" s="1">
        <v>31</v>
      </c>
      <c r="R181" s="1">
        <v>33</v>
      </c>
      <c r="S181" s="1">
        <v>89</v>
      </c>
      <c r="T181" s="1">
        <v>120</v>
      </c>
      <c r="U181" s="1">
        <v>63</v>
      </c>
      <c r="V181" s="1">
        <v>39</v>
      </c>
      <c r="W181" s="1">
        <v>15</v>
      </c>
      <c r="X181" s="1">
        <v>9</v>
      </c>
      <c r="Y181" s="1">
        <v>9</v>
      </c>
    </row>
    <row r="182" spans="1:25" x14ac:dyDescent="0.3">
      <c r="A182" s="2">
        <v>43615</v>
      </c>
      <c r="B182" s="1">
        <v>8</v>
      </c>
      <c r="C182" s="1">
        <v>9</v>
      </c>
      <c r="D182" s="1">
        <v>10</v>
      </c>
      <c r="E182" s="1">
        <v>7</v>
      </c>
      <c r="F182" s="1">
        <v>7</v>
      </c>
      <c r="G182" s="1">
        <v>12</v>
      </c>
      <c r="H182" s="1">
        <v>21</v>
      </c>
      <c r="I182" s="1">
        <v>20</v>
      </c>
      <c r="J182" s="1">
        <v>20</v>
      </c>
      <c r="K182" s="1">
        <v>20</v>
      </c>
      <c r="L182" s="1">
        <v>18</v>
      </c>
      <c r="M182" s="1">
        <v>19</v>
      </c>
      <c r="N182" s="1">
        <v>25</v>
      </c>
      <c r="O182" s="1">
        <v>28</v>
      </c>
      <c r="P182" s="1">
        <v>22</v>
      </c>
      <c r="Q182" s="1">
        <v>28</v>
      </c>
      <c r="R182" s="1">
        <v>35</v>
      </c>
      <c r="S182" s="1">
        <v>47</v>
      </c>
      <c r="T182" s="1">
        <v>24</v>
      </c>
      <c r="U182" s="1">
        <v>23</v>
      </c>
      <c r="V182" s="1">
        <v>18</v>
      </c>
      <c r="W182" s="1">
        <v>17</v>
      </c>
      <c r="X182" s="1">
        <v>10</v>
      </c>
      <c r="Y182" s="1">
        <v>10</v>
      </c>
    </row>
    <row r="183" spans="1:25" x14ac:dyDescent="0.3">
      <c r="A183" s="2">
        <v>43616</v>
      </c>
      <c r="B183" s="1">
        <v>5</v>
      </c>
      <c r="C183" s="1">
        <v>7</v>
      </c>
      <c r="D183" s="1">
        <v>7</v>
      </c>
      <c r="E183" s="1">
        <v>10</v>
      </c>
      <c r="F183" s="1">
        <v>5</v>
      </c>
      <c r="G183" s="1">
        <v>1</v>
      </c>
      <c r="H183" s="1">
        <v>32</v>
      </c>
      <c r="I183" s="1">
        <v>29</v>
      </c>
      <c r="J183" s="1">
        <v>17</v>
      </c>
      <c r="K183" s="1">
        <v>21</v>
      </c>
      <c r="L183" s="1">
        <v>27</v>
      </c>
      <c r="M183" s="1">
        <v>31</v>
      </c>
      <c r="N183" s="1">
        <v>31</v>
      </c>
      <c r="O183" s="1">
        <v>26</v>
      </c>
      <c r="P183" s="1">
        <v>26</v>
      </c>
      <c r="Q183" s="1">
        <v>32</v>
      </c>
      <c r="R183" s="1">
        <v>23</v>
      </c>
      <c r="S183" s="1">
        <v>21</v>
      </c>
      <c r="T183" s="1">
        <v>28</v>
      </c>
      <c r="U183" s="1">
        <v>18</v>
      </c>
      <c r="V183" s="1">
        <v>22</v>
      </c>
      <c r="W183" s="1">
        <v>17</v>
      </c>
      <c r="X183" s="1">
        <v>19</v>
      </c>
      <c r="Y183" s="1">
        <v>14</v>
      </c>
    </row>
    <row r="184" spans="1:25" x14ac:dyDescent="0.3">
      <c r="A184" s="2">
        <v>43617</v>
      </c>
      <c r="B184" s="1">
        <v>10</v>
      </c>
      <c r="C184" s="1">
        <v>7</v>
      </c>
      <c r="D184" s="1">
        <v>3</v>
      </c>
      <c r="E184" s="1">
        <v>5</v>
      </c>
      <c r="F184" s="1">
        <v>5</v>
      </c>
      <c r="G184" s="1">
        <v>4</v>
      </c>
      <c r="H184" s="1">
        <v>5</v>
      </c>
      <c r="I184" s="1">
        <v>12</v>
      </c>
      <c r="J184" s="1">
        <v>18</v>
      </c>
      <c r="K184" s="1">
        <v>16</v>
      </c>
      <c r="L184" s="1">
        <v>15</v>
      </c>
      <c r="M184" s="1">
        <v>18</v>
      </c>
      <c r="N184" s="1">
        <v>26</v>
      </c>
      <c r="O184" s="1">
        <v>25</v>
      </c>
      <c r="P184" s="1">
        <v>27</v>
      </c>
      <c r="Q184" s="1">
        <v>25</v>
      </c>
      <c r="R184" s="1">
        <v>16</v>
      </c>
      <c r="S184" s="1">
        <v>19</v>
      </c>
      <c r="T184" s="1">
        <v>23</v>
      </c>
      <c r="U184" s="1">
        <v>14</v>
      </c>
      <c r="V184" s="1">
        <v>20</v>
      </c>
      <c r="W184" s="1">
        <v>12</v>
      </c>
      <c r="X184" s="1">
        <v>18</v>
      </c>
      <c r="Y184" s="1">
        <v>20</v>
      </c>
    </row>
    <row r="185" spans="1:25" x14ac:dyDescent="0.3">
      <c r="A185" s="2">
        <v>43618</v>
      </c>
      <c r="B185" s="1">
        <v>10</v>
      </c>
      <c r="C185" s="1">
        <v>5</v>
      </c>
      <c r="D185" s="1">
        <v>7</v>
      </c>
      <c r="E185" s="1">
        <v>5</v>
      </c>
      <c r="F185" s="1">
        <v>3</v>
      </c>
      <c r="G185" s="1">
        <v>2</v>
      </c>
      <c r="H185" s="1">
        <v>5</v>
      </c>
      <c r="I185" s="1">
        <v>12</v>
      </c>
      <c r="J185" s="1">
        <v>14</v>
      </c>
      <c r="K185" s="1">
        <v>18</v>
      </c>
      <c r="L185" s="1">
        <v>16</v>
      </c>
      <c r="M185" s="1">
        <v>10</v>
      </c>
      <c r="N185" s="1">
        <v>22</v>
      </c>
      <c r="O185" s="1">
        <v>22</v>
      </c>
      <c r="P185" s="1">
        <v>24</v>
      </c>
      <c r="Q185" s="1">
        <v>14</v>
      </c>
      <c r="R185" s="1">
        <v>22</v>
      </c>
      <c r="S185" s="1">
        <v>13</v>
      </c>
      <c r="T185" s="1">
        <v>18</v>
      </c>
      <c r="U185" s="1">
        <v>17</v>
      </c>
      <c r="V185" s="1">
        <v>11</v>
      </c>
      <c r="W185" s="1">
        <v>15</v>
      </c>
      <c r="X185" s="1">
        <v>7</v>
      </c>
      <c r="Y185" s="1">
        <v>1</v>
      </c>
    </row>
    <row r="186" spans="1:25" x14ac:dyDescent="0.3">
      <c r="A186" s="2">
        <v>43619</v>
      </c>
      <c r="B186" s="1">
        <v>11</v>
      </c>
      <c r="C186" s="1">
        <v>6</v>
      </c>
      <c r="D186" s="1">
        <v>9</v>
      </c>
      <c r="E186" s="1">
        <v>3</v>
      </c>
      <c r="F186" s="1">
        <v>3</v>
      </c>
      <c r="G186" s="1">
        <v>5</v>
      </c>
      <c r="H186" s="1">
        <v>6</v>
      </c>
      <c r="I186" s="1">
        <v>28</v>
      </c>
      <c r="J186" s="1">
        <v>21</v>
      </c>
      <c r="K186" s="1">
        <v>24</v>
      </c>
      <c r="L186" s="1">
        <v>21</v>
      </c>
      <c r="M186" s="1">
        <v>29</v>
      </c>
      <c r="N186" s="1">
        <v>25</v>
      </c>
      <c r="O186" s="1">
        <v>20</v>
      </c>
      <c r="P186" s="1">
        <v>38</v>
      </c>
      <c r="Q186" s="1">
        <v>26</v>
      </c>
      <c r="R186" s="1">
        <v>34</v>
      </c>
      <c r="S186" s="1">
        <v>26</v>
      </c>
      <c r="T186" s="1">
        <v>36</v>
      </c>
      <c r="U186" s="1">
        <v>15</v>
      </c>
      <c r="V186" s="1">
        <v>5</v>
      </c>
      <c r="W186" s="1">
        <v>7</v>
      </c>
      <c r="X186" s="1">
        <v>6</v>
      </c>
      <c r="Y186" s="1">
        <v>11</v>
      </c>
    </row>
    <row r="187" spans="1:25" x14ac:dyDescent="0.3">
      <c r="A187" s="2">
        <v>43620</v>
      </c>
      <c r="B187" s="1">
        <v>8</v>
      </c>
      <c r="C187" s="1">
        <v>11</v>
      </c>
      <c r="D187" s="1">
        <v>4</v>
      </c>
      <c r="E187" s="1">
        <v>6</v>
      </c>
      <c r="F187" s="1">
        <v>5</v>
      </c>
      <c r="G187" s="1">
        <v>10</v>
      </c>
      <c r="H187" s="1">
        <v>12</v>
      </c>
      <c r="I187" s="1">
        <v>21</v>
      </c>
      <c r="J187" s="1">
        <v>22</v>
      </c>
      <c r="K187" s="1">
        <v>20</v>
      </c>
      <c r="L187" s="1">
        <v>23</v>
      </c>
      <c r="M187" s="1">
        <v>20</v>
      </c>
      <c r="N187" s="1">
        <v>22</v>
      </c>
      <c r="O187" s="1">
        <v>22</v>
      </c>
      <c r="P187" s="1">
        <v>23</v>
      </c>
      <c r="Q187" s="1">
        <v>27</v>
      </c>
      <c r="R187" s="1">
        <v>28</v>
      </c>
      <c r="S187" s="1">
        <v>31</v>
      </c>
      <c r="T187" s="1">
        <v>31</v>
      </c>
      <c r="U187" s="1">
        <v>18</v>
      </c>
      <c r="V187" s="1">
        <v>22</v>
      </c>
      <c r="W187" s="1">
        <v>17</v>
      </c>
      <c r="X187" s="1">
        <v>10</v>
      </c>
      <c r="Y187" s="1">
        <v>14</v>
      </c>
    </row>
    <row r="188" spans="1:25" x14ac:dyDescent="0.3">
      <c r="A188" s="2">
        <v>43621</v>
      </c>
      <c r="B188" s="1">
        <v>7</v>
      </c>
      <c r="C188" s="1">
        <v>7</v>
      </c>
      <c r="D188" s="1">
        <v>6</v>
      </c>
      <c r="E188" s="1">
        <v>7</v>
      </c>
      <c r="F188" s="1">
        <v>2</v>
      </c>
      <c r="G188" s="1">
        <v>11</v>
      </c>
      <c r="H188" s="1">
        <v>16</v>
      </c>
      <c r="I188" s="1">
        <v>23</v>
      </c>
      <c r="J188" s="1">
        <v>26</v>
      </c>
      <c r="K188" s="1">
        <v>25</v>
      </c>
      <c r="L188" s="1">
        <v>25</v>
      </c>
      <c r="M188" s="1">
        <v>34</v>
      </c>
      <c r="N188" s="1">
        <v>22</v>
      </c>
      <c r="O188" s="1">
        <v>29</v>
      </c>
      <c r="P188" s="1">
        <v>29</v>
      </c>
      <c r="Q188" s="1">
        <v>27</v>
      </c>
      <c r="R188" s="1">
        <v>19</v>
      </c>
      <c r="S188" s="1">
        <v>25</v>
      </c>
      <c r="T188" s="1">
        <v>22</v>
      </c>
      <c r="U188" s="1">
        <v>24</v>
      </c>
      <c r="V188" s="1">
        <v>17</v>
      </c>
      <c r="W188" s="1">
        <v>16</v>
      </c>
      <c r="X188" s="1">
        <v>15</v>
      </c>
      <c r="Y188" s="1">
        <v>15</v>
      </c>
    </row>
    <row r="189" spans="1:25" x14ac:dyDescent="0.3">
      <c r="A189" s="2">
        <v>43622</v>
      </c>
      <c r="B189" s="1">
        <v>11</v>
      </c>
      <c r="C189" s="1">
        <v>7</v>
      </c>
      <c r="D189" s="1">
        <v>7</v>
      </c>
      <c r="E189" s="1">
        <v>3</v>
      </c>
      <c r="F189" s="1">
        <v>9</v>
      </c>
      <c r="G189" s="1">
        <v>13</v>
      </c>
      <c r="H189" s="1">
        <v>10</v>
      </c>
      <c r="I189" s="1">
        <v>21</v>
      </c>
      <c r="J189" s="1">
        <v>22</v>
      </c>
      <c r="K189" s="1">
        <v>33</v>
      </c>
      <c r="L189" s="1">
        <v>27</v>
      </c>
      <c r="M189" s="1">
        <v>36</v>
      </c>
      <c r="N189" s="1">
        <v>22</v>
      </c>
      <c r="O189" s="1">
        <v>22</v>
      </c>
      <c r="P189" s="1">
        <v>29</v>
      </c>
      <c r="Q189" s="1">
        <v>31</v>
      </c>
      <c r="R189" s="1">
        <v>27</v>
      </c>
      <c r="S189" s="1">
        <v>35</v>
      </c>
      <c r="T189" s="1">
        <v>23</v>
      </c>
      <c r="U189" s="1">
        <v>13</v>
      </c>
      <c r="V189" s="1">
        <v>15</v>
      </c>
      <c r="W189" s="1">
        <v>10</v>
      </c>
      <c r="X189" s="1">
        <v>12</v>
      </c>
      <c r="Y189" s="1">
        <v>11</v>
      </c>
    </row>
    <row r="190" spans="1:25" x14ac:dyDescent="0.3">
      <c r="A190" s="2">
        <v>43623</v>
      </c>
      <c r="B190" s="1">
        <v>5</v>
      </c>
      <c r="C190" s="1">
        <v>5</v>
      </c>
      <c r="D190" s="1">
        <v>3</v>
      </c>
      <c r="E190" s="1">
        <v>7</v>
      </c>
      <c r="F190" s="1">
        <v>2</v>
      </c>
      <c r="G190" s="1">
        <v>3</v>
      </c>
      <c r="H190" s="1">
        <v>13</v>
      </c>
      <c r="I190" s="1">
        <v>21</v>
      </c>
      <c r="J190" s="1">
        <v>21</v>
      </c>
      <c r="K190" s="1">
        <v>21</v>
      </c>
      <c r="L190" s="1">
        <v>39</v>
      </c>
      <c r="M190" s="1">
        <v>29</v>
      </c>
      <c r="N190" s="1">
        <v>20</v>
      </c>
      <c r="O190" s="1">
        <v>33</v>
      </c>
      <c r="P190" s="1">
        <v>35</v>
      </c>
      <c r="Q190" s="1">
        <v>21</v>
      </c>
      <c r="R190" s="1">
        <v>36</v>
      </c>
      <c r="S190" s="1">
        <v>30</v>
      </c>
      <c r="T190" s="1">
        <v>25</v>
      </c>
      <c r="U190" s="1">
        <v>11</v>
      </c>
      <c r="V190" s="1">
        <v>21</v>
      </c>
      <c r="W190" s="1">
        <v>11</v>
      </c>
      <c r="X190" s="1">
        <v>21</v>
      </c>
      <c r="Y190" s="1">
        <v>12</v>
      </c>
    </row>
    <row r="191" spans="1:25" x14ac:dyDescent="0.3">
      <c r="A191" s="2">
        <v>43624</v>
      </c>
      <c r="B191" s="1">
        <v>10</v>
      </c>
      <c r="C191" s="1">
        <v>6</v>
      </c>
      <c r="D191" s="1">
        <v>3</v>
      </c>
      <c r="E191" s="1">
        <v>8</v>
      </c>
      <c r="F191" s="1">
        <v>7</v>
      </c>
      <c r="G191" s="1">
        <v>12</v>
      </c>
      <c r="H191" s="1">
        <v>6</v>
      </c>
      <c r="I191" s="1">
        <v>13</v>
      </c>
      <c r="J191" s="1">
        <v>15</v>
      </c>
      <c r="K191" s="1">
        <v>16</v>
      </c>
      <c r="L191" s="1">
        <v>22</v>
      </c>
      <c r="M191" s="1">
        <v>17</v>
      </c>
      <c r="N191" s="1">
        <v>16</v>
      </c>
      <c r="O191" s="1">
        <v>29</v>
      </c>
      <c r="P191" s="1">
        <v>24</v>
      </c>
      <c r="Q191" s="1">
        <v>35</v>
      </c>
      <c r="R191" s="1">
        <v>25</v>
      </c>
      <c r="S191" s="1">
        <v>22</v>
      </c>
      <c r="T191" s="1">
        <v>18</v>
      </c>
      <c r="U191" s="1">
        <v>24</v>
      </c>
      <c r="V191" s="1">
        <v>16</v>
      </c>
      <c r="W191" s="1">
        <v>22</v>
      </c>
      <c r="X191" s="1">
        <v>20</v>
      </c>
      <c r="Y191" s="1">
        <v>13</v>
      </c>
    </row>
    <row r="192" spans="1:25" x14ac:dyDescent="0.3">
      <c r="A192" s="2">
        <v>43625</v>
      </c>
      <c r="B192" s="1">
        <v>11</v>
      </c>
      <c r="C192" s="1">
        <v>10</v>
      </c>
      <c r="D192" s="1">
        <v>6</v>
      </c>
      <c r="E192" s="1">
        <v>9</v>
      </c>
      <c r="F192" s="1">
        <v>7</v>
      </c>
      <c r="G192" s="1">
        <v>5</v>
      </c>
      <c r="H192" s="1">
        <v>8</v>
      </c>
      <c r="I192" s="1">
        <v>4</v>
      </c>
      <c r="J192" s="1">
        <v>9</v>
      </c>
      <c r="K192" s="1">
        <v>16</v>
      </c>
      <c r="L192" s="1">
        <v>20</v>
      </c>
      <c r="M192" s="1">
        <v>22</v>
      </c>
      <c r="N192" s="1">
        <v>21</v>
      </c>
      <c r="O192" s="1">
        <v>29</v>
      </c>
      <c r="P192" s="1">
        <v>25</v>
      </c>
      <c r="Q192" s="1">
        <v>16</v>
      </c>
      <c r="R192" s="1">
        <v>21</v>
      </c>
      <c r="S192" s="1">
        <v>20</v>
      </c>
      <c r="T192" s="1">
        <v>18</v>
      </c>
      <c r="U192" s="1">
        <v>18</v>
      </c>
      <c r="V192" s="1">
        <v>14</v>
      </c>
      <c r="W192" s="1">
        <v>17</v>
      </c>
      <c r="X192" s="1">
        <v>9</v>
      </c>
      <c r="Y192" s="1">
        <v>9</v>
      </c>
    </row>
    <row r="193" spans="1:25" x14ac:dyDescent="0.3">
      <c r="A193" s="2">
        <v>43626</v>
      </c>
      <c r="B193" s="1">
        <v>9</v>
      </c>
      <c r="C193" s="1">
        <v>3</v>
      </c>
      <c r="D193" s="1">
        <v>7</v>
      </c>
      <c r="E193" s="1">
        <v>5</v>
      </c>
      <c r="F193" s="1">
        <v>6</v>
      </c>
      <c r="G193" s="1">
        <v>8</v>
      </c>
      <c r="H193" s="1">
        <v>9</v>
      </c>
      <c r="I193" s="1">
        <v>35</v>
      </c>
      <c r="J193" s="1">
        <v>31</v>
      </c>
      <c r="K193" s="1">
        <v>30</v>
      </c>
      <c r="L193" s="1">
        <v>30</v>
      </c>
      <c r="M193" s="1">
        <v>14</v>
      </c>
      <c r="N193" s="1">
        <v>21</v>
      </c>
      <c r="O193" s="1">
        <v>25</v>
      </c>
      <c r="P193" s="1">
        <v>27</v>
      </c>
      <c r="Q193" s="1">
        <v>24</v>
      </c>
      <c r="R193" s="1">
        <v>35</v>
      </c>
      <c r="S193" s="1">
        <v>32</v>
      </c>
      <c r="T193" s="1">
        <v>36</v>
      </c>
      <c r="U193" s="1">
        <v>30</v>
      </c>
      <c r="V193" s="1">
        <v>24</v>
      </c>
      <c r="W193" s="1">
        <v>15</v>
      </c>
      <c r="X193" s="1">
        <v>16</v>
      </c>
      <c r="Y193" s="1">
        <v>9</v>
      </c>
    </row>
    <row r="194" spans="1:25" x14ac:dyDescent="0.3">
      <c r="A194" s="2">
        <v>43627</v>
      </c>
      <c r="B194" s="1">
        <v>6</v>
      </c>
      <c r="C194" s="1">
        <v>2</v>
      </c>
      <c r="D194" s="1">
        <v>5</v>
      </c>
      <c r="E194" s="1">
        <v>6</v>
      </c>
      <c r="F194" s="1">
        <v>2</v>
      </c>
      <c r="G194" s="1">
        <v>9</v>
      </c>
      <c r="H194" s="1">
        <v>14</v>
      </c>
      <c r="I194" s="1">
        <v>16</v>
      </c>
      <c r="J194" s="1">
        <v>21</v>
      </c>
      <c r="K194" s="1">
        <v>36</v>
      </c>
      <c r="L194" s="1">
        <v>21</v>
      </c>
      <c r="M194" s="1">
        <v>27</v>
      </c>
      <c r="N194" s="1">
        <v>27</v>
      </c>
      <c r="O194" s="1">
        <v>21</v>
      </c>
      <c r="P194" s="1">
        <v>23</v>
      </c>
      <c r="Q194" s="1">
        <v>23</v>
      </c>
      <c r="R194" s="1">
        <v>25</v>
      </c>
      <c r="S194" s="1">
        <v>35</v>
      </c>
      <c r="T194" s="1">
        <v>35</v>
      </c>
      <c r="U194" s="1">
        <v>17</v>
      </c>
      <c r="V194" s="1">
        <v>13</v>
      </c>
      <c r="W194" s="1">
        <v>15</v>
      </c>
      <c r="X194" s="1">
        <v>13</v>
      </c>
      <c r="Y194" s="1">
        <v>5</v>
      </c>
    </row>
    <row r="195" spans="1:25" x14ac:dyDescent="0.3">
      <c r="A195" s="2">
        <v>43628</v>
      </c>
      <c r="B195" s="1">
        <v>8</v>
      </c>
      <c r="C195" s="1">
        <v>2</v>
      </c>
      <c r="D195" s="1">
        <v>5</v>
      </c>
      <c r="E195" s="1">
        <v>4</v>
      </c>
      <c r="F195" s="1">
        <v>2</v>
      </c>
      <c r="G195" s="1">
        <v>5</v>
      </c>
      <c r="H195" s="1">
        <v>12</v>
      </c>
      <c r="I195" s="1">
        <v>17</v>
      </c>
      <c r="J195" s="1">
        <v>14</v>
      </c>
      <c r="K195" s="1">
        <v>26</v>
      </c>
      <c r="L195" s="1">
        <v>27</v>
      </c>
      <c r="M195" s="1">
        <v>23</v>
      </c>
      <c r="N195" s="1">
        <v>35</v>
      </c>
      <c r="O195" s="1">
        <v>21</v>
      </c>
      <c r="P195" s="1">
        <v>25</v>
      </c>
      <c r="Q195" s="1">
        <v>15</v>
      </c>
      <c r="R195" s="1">
        <v>34</v>
      </c>
      <c r="S195" s="1">
        <v>24</v>
      </c>
      <c r="T195" s="1">
        <v>23</v>
      </c>
      <c r="U195" s="1">
        <v>20</v>
      </c>
      <c r="V195" s="1">
        <v>23</v>
      </c>
      <c r="W195" s="1">
        <v>11</v>
      </c>
      <c r="X195" s="1">
        <v>10</v>
      </c>
      <c r="Y195" s="1">
        <v>12</v>
      </c>
    </row>
    <row r="196" spans="1:25" x14ac:dyDescent="0.3">
      <c r="A196" s="2">
        <v>43629</v>
      </c>
      <c r="B196" s="1">
        <v>5</v>
      </c>
      <c r="C196" s="1">
        <v>2</v>
      </c>
      <c r="D196" s="1">
        <v>5</v>
      </c>
      <c r="E196" s="1">
        <v>3</v>
      </c>
      <c r="F196" s="1">
        <v>11</v>
      </c>
      <c r="G196" s="1">
        <v>13</v>
      </c>
      <c r="H196" s="1">
        <v>15</v>
      </c>
      <c r="I196" s="1">
        <v>15</v>
      </c>
      <c r="J196" s="1">
        <v>29</v>
      </c>
      <c r="K196" s="1">
        <v>31</v>
      </c>
      <c r="L196" s="1">
        <v>29</v>
      </c>
      <c r="M196" s="1">
        <v>19</v>
      </c>
      <c r="N196" s="1">
        <v>36</v>
      </c>
      <c r="O196" s="1">
        <v>32</v>
      </c>
      <c r="P196" s="1">
        <v>20</v>
      </c>
      <c r="Q196" s="1">
        <v>21</v>
      </c>
      <c r="R196" s="1">
        <v>23</v>
      </c>
      <c r="S196" s="1">
        <v>30</v>
      </c>
      <c r="T196" s="1">
        <v>23</v>
      </c>
      <c r="U196" s="1">
        <v>14</v>
      </c>
      <c r="V196" s="1">
        <v>24</v>
      </c>
      <c r="W196" s="1">
        <v>26</v>
      </c>
      <c r="X196" s="1">
        <v>10</v>
      </c>
      <c r="Y196" s="1">
        <v>9</v>
      </c>
    </row>
    <row r="197" spans="1:25" x14ac:dyDescent="0.3">
      <c r="A197" s="2">
        <v>43630</v>
      </c>
      <c r="B197" s="1">
        <v>6</v>
      </c>
      <c r="C197" s="1">
        <v>6</v>
      </c>
      <c r="D197" s="1">
        <v>4</v>
      </c>
      <c r="E197" s="1">
        <v>4</v>
      </c>
      <c r="F197" s="1">
        <v>6</v>
      </c>
      <c r="G197" s="1">
        <v>6</v>
      </c>
      <c r="H197" s="1">
        <v>7</v>
      </c>
      <c r="I197" s="1">
        <v>21</v>
      </c>
      <c r="J197" s="1">
        <v>19</v>
      </c>
      <c r="K197" s="1">
        <v>28</v>
      </c>
      <c r="L197" s="1">
        <v>22</v>
      </c>
      <c r="M197" s="1">
        <v>22</v>
      </c>
      <c r="N197" s="1">
        <v>23</v>
      </c>
      <c r="O197" s="1">
        <v>26</v>
      </c>
      <c r="P197" s="1">
        <v>19</v>
      </c>
      <c r="Q197" s="1">
        <v>32</v>
      </c>
      <c r="R197" s="1">
        <v>21</v>
      </c>
      <c r="S197" s="1">
        <v>46</v>
      </c>
      <c r="T197" s="1">
        <v>21</v>
      </c>
      <c r="U197" s="1">
        <v>21</v>
      </c>
      <c r="V197" s="1">
        <v>25</v>
      </c>
      <c r="W197" s="1">
        <v>11</v>
      </c>
      <c r="X197" s="1">
        <v>17</v>
      </c>
      <c r="Y197" s="1">
        <v>8</v>
      </c>
    </row>
    <row r="198" spans="1:25" x14ac:dyDescent="0.3">
      <c r="A198" s="2">
        <v>43631</v>
      </c>
      <c r="B198" s="1">
        <v>9</v>
      </c>
      <c r="C198" s="1">
        <v>4</v>
      </c>
      <c r="D198" s="1">
        <v>8</v>
      </c>
      <c r="E198" s="1">
        <v>10</v>
      </c>
      <c r="F198" s="1">
        <v>5</v>
      </c>
      <c r="G198" s="1">
        <v>3</v>
      </c>
      <c r="H198" s="1">
        <v>15</v>
      </c>
      <c r="I198" s="1">
        <v>10</v>
      </c>
      <c r="J198" s="1">
        <v>6</v>
      </c>
      <c r="K198" s="1">
        <v>12</v>
      </c>
      <c r="L198" s="1">
        <v>32</v>
      </c>
      <c r="M198" s="1">
        <v>12</v>
      </c>
      <c r="N198" s="1">
        <v>21</v>
      </c>
      <c r="O198" s="1">
        <v>28</v>
      </c>
      <c r="P198" s="1">
        <v>24</v>
      </c>
      <c r="Q198" s="1">
        <v>23</v>
      </c>
      <c r="R198" s="1">
        <v>23</v>
      </c>
      <c r="S198" s="1">
        <v>16</v>
      </c>
      <c r="T198" s="1">
        <v>26</v>
      </c>
      <c r="U198" s="1">
        <v>27</v>
      </c>
      <c r="V198" s="1">
        <v>17</v>
      </c>
      <c r="W198" s="1">
        <v>16</v>
      </c>
      <c r="X198" s="1">
        <v>16</v>
      </c>
      <c r="Y198" s="1">
        <v>10</v>
      </c>
    </row>
    <row r="199" spans="1:25" x14ac:dyDescent="0.3">
      <c r="A199" s="2">
        <v>43632</v>
      </c>
      <c r="B199" s="1">
        <v>6</v>
      </c>
      <c r="C199" s="1">
        <v>12</v>
      </c>
      <c r="D199" s="1">
        <v>10</v>
      </c>
      <c r="E199" s="1">
        <v>4</v>
      </c>
      <c r="F199" s="1">
        <v>2</v>
      </c>
      <c r="G199" s="1">
        <v>8</v>
      </c>
      <c r="H199" s="1">
        <v>10</v>
      </c>
      <c r="I199" s="1">
        <v>5</v>
      </c>
      <c r="J199" s="1">
        <v>13</v>
      </c>
      <c r="K199" s="1">
        <v>13</v>
      </c>
      <c r="L199" s="1">
        <v>25</v>
      </c>
      <c r="M199" s="1">
        <v>24</v>
      </c>
      <c r="N199" s="1">
        <v>19</v>
      </c>
      <c r="O199" s="1">
        <v>18</v>
      </c>
      <c r="P199" s="1">
        <v>21</v>
      </c>
      <c r="Q199" s="1">
        <v>12</v>
      </c>
      <c r="R199" s="1">
        <v>23</v>
      </c>
      <c r="S199" s="1">
        <v>25</v>
      </c>
      <c r="T199" s="1">
        <v>22</v>
      </c>
      <c r="U199" s="1">
        <v>10</v>
      </c>
      <c r="V199" s="1">
        <v>11</v>
      </c>
      <c r="W199" s="1">
        <v>12</v>
      </c>
      <c r="X199" s="1">
        <v>7</v>
      </c>
      <c r="Y199" s="1">
        <v>9</v>
      </c>
    </row>
    <row r="200" spans="1:25" x14ac:dyDescent="0.3">
      <c r="A200" s="2">
        <v>43633</v>
      </c>
      <c r="B200" s="1">
        <v>5</v>
      </c>
      <c r="C200" s="1">
        <v>4</v>
      </c>
      <c r="D200" s="1">
        <v>5</v>
      </c>
      <c r="E200" s="1">
        <v>6</v>
      </c>
      <c r="F200" s="1">
        <v>5</v>
      </c>
      <c r="G200" s="1">
        <v>10</v>
      </c>
      <c r="H200" s="1">
        <v>11</v>
      </c>
      <c r="I200" s="1">
        <v>15</v>
      </c>
      <c r="J200" s="1">
        <v>29</v>
      </c>
      <c r="K200" s="1">
        <v>17</v>
      </c>
      <c r="L200" s="1">
        <v>25</v>
      </c>
      <c r="M200" s="1">
        <v>22</v>
      </c>
      <c r="N200" s="1">
        <v>19</v>
      </c>
      <c r="O200" s="1">
        <v>31</v>
      </c>
      <c r="P200" s="1">
        <v>19</v>
      </c>
      <c r="Q200" s="1">
        <v>22</v>
      </c>
      <c r="R200" s="1">
        <v>27</v>
      </c>
      <c r="S200" s="1">
        <v>23</v>
      </c>
      <c r="T200" s="1">
        <v>20</v>
      </c>
      <c r="U200" s="1">
        <v>13</v>
      </c>
      <c r="V200" s="1">
        <v>15</v>
      </c>
      <c r="W200" s="1">
        <v>17</v>
      </c>
      <c r="X200" s="1">
        <v>11</v>
      </c>
      <c r="Y200" s="1">
        <v>15</v>
      </c>
    </row>
    <row r="201" spans="1:25" x14ac:dyDescent="0.3">
      <c r="A201" s="2">
        <v>43634</v>
      </c>
      <c r="B201" s="1">
        <v>13</v>
      </c>
      <c r="C201" s="1">
        <v>8</v>
      </c>
      <c r="D201" s="1">
        <v>8</v>
      </c>
      <c r="E201" s="1">
        <v>4</v>
      </c>
      <c r="F201" s="1">
        <v>6</v>
      </c>
      <c r="G201" s="1">
        <v>6</v>
      </c>
      <c r="H201" s="1">
        <v>9</v>
      </c>
      <c r="I201" s="1">
        <v>28</v>
      </c>
      <c r="J201" s="1">
        <v>20</v>
      </c>
      <c r="K201" s="1">
        <v>18</v>
      </c>
      <c r="L201" s="1">
        <v>29</v>
      </c>
      <c r="M201" s="1">
        <v>18</v>
      </c>
      <c r="N201" s="1">
        <v>34</v>
      </c>
      <c r="O201" s="1">
        <v>21</v>
      </c>
      <c r="P201" s="1">
        <v>29</v>
      </c>
      <c r="Q201" s="1">
        <v>23</v>
      </c>
      <c r="R201" s="1">
        <v>25</v>
      </c>
      <c r="S201" s="1">
        <v>19</v>
      </c>
      <c r="T201" s="1">
        <v>20</v>
      </c>
      <c r="U201" s="1">
        <v>14</v>
      </c>
      <c r="V201" s="1">
        <v>24</v>
      </c>
      <c r="W201" s="1">
        <v>17</v>
      </c>
      <c r="X201" s="1">
        <v>15</v>
      </c>
      <c r="Y201" s="1">
        <v>9</v>
      </c>
    </row>
    <row r="202" spans="1:25" x14ac:dyDescent="0.3">
      <c r="A202" s="2">
        <v>43635</v>
      </c>
      <c r="B202" s="1">
        <v>8</v>
      </c>
      <c r="C202" s="1">
        <v>5</v>
      </c>
      <c r="D202" s="1">
        <v>9</v>
      </c>
      <c r="E202" s="1">
        <v>1</v>
      </c>
      <c r="F202" s="1">
        <v>3</v>
      </c>
      <c r="G202" s="1">
        <v>5</v>
      </c>
      <c r="H202" s="1">
        <v>13</v>
      </c>
      <c r="I202" s="1">
        <v>21</v>
      </c>
      <c r="J202" s="1">
        <v>20</v>
      </c>
      <c r="K202" s="1">
        <v>25</v>
      </c>
      <c r="L202" s="1">
        <v>11</v>
      </c>
      <c r="M202" s="1">
        <v>18</v>
      </c>
      <c r="N202" s="1">
        <v>21</v>
      </c>
      <c r="O202" s="1">
        <v>15</v>
      </c>
      <c r="P202" s="1">
        <v>28</v>
      </c>
      <c r="Q202" s="1">
        <v>19</v>
      </c>
      <c r="R202" s="1">
        <v>20</v>
      </c>
      <c r="S202" s="1">
        <v>38</v>
      </c>
      <c r="T202" s="1">
        <v>25</v>
      </c>
      <c r="U202" s="1">
        <v>18</v>
      </c>
      <c r="V202" s="1">
        <v>11</v>
      </c>
      <c r="W202" s="1">
        <v>11</v>
      </c>
      <c r="X202" s="1">
        <v>15</v>
      </c>
      <c r="Y202" s="1">
        <v>10</v>
      </c>
    </row>
    <row r="203" spans="1:25" x14ac:dyDescent="0.3">
      <c r="A203" s="2">
        <v>43636</v>
      </c>
      <c r="B203" s="1">
        <v>13</v>
      </c>
      <c r="C203" s="1">
        <v>11</v>
      </c>
      <c r="D203" s="1">
        <v>11</v>
      </c>
      <c r="E203" s="1">
        <v>2</v>
      </c>
      <c r="F203" s="1">
        <v>22</v>
      </c>
      <c r="G203" s="1">
        <v>37</v>
      </c>
      <c r="H203" s="1">
        <v>36</v>
      </c>
      <c r="I203" s="1">
        <v>30</v>
      </c>
      <c r="J203" s="1">
        <v>17</v>
      </c>
      <c r="K203" s="1">
        <v>38</v>
      </c>
      <c r="L203" s="1">
        <v>19</v>
      </c>
      <c r="M203" s="1">
        <v>22</v>
      </c>
      <c r="N203" s="1">
        <v>23</v>
      </c>
      <c r="O203" s="1">
        <v>28</v>
      </c>
      <c r="P203" s="1">
        <v>38</v>
      </c>
      <c r="Q203" s="1">
        <v>54</v>
      </c>
      <c r="R203" s="1">
        <v>39</v>
      </c>
      <c r="S203" s="1">
        <v>43</v>
      </c>
      <c r="T203" s="1">
        <v>27</v>
      </c>
      <c r="U203" s="1">
        <v>26</v>
      </c>
      <c r="V203" s="1">
        <v>17</v>
      </c>
      <c r="W203" s="1">
        <v>19</v>
      </c>
      <c r="X203" s="1">
        <v>9</v>
      </c>
      <c r="Y203" s="1">
        <v>7</v>
      </c>
    </row>
    <row r="204" spans="1:25" x14ac:dyDescent="0.3">
      <c r="A204" s="2">
        <v>43637</v>
      </c>
      <c r="B204" s="1">
        <v>8</v>
      </c>
      <c r="C204" s="1">
        <v>4</v>
      </c>
      <c r="D204" s="1">
        <v>8</v>
      </c>
      <c r="E204" s="1">
        <v>8</v>
      </c>
      <c r="F204" s="1">
        <v>7</v>
      </c>
      <c r="G204" s="1">
        <v>6</v>
      </c>
      <c r="H204" s="1">
        <v>10</v>
      </c>
      <c r="I204" s="1">
        <v>13</v>
      </c>
      <c r="J204" s="1">
        <v>22</v>
      </c>
      <c r="K204" s="1">
        <v>23</v>
      </c>
      <c r="L204" s="1">
        <v>15</v>
      </c>
      <c r="M204" s="1">
        <v>17</v>
      </c>
      <c r="N204" s="1">
        <v>25</v>
      </c>
      <c r="O204" s="1">
        <v>32</v>
      </c>
      <c r="P204" s="1">
        <v>16</v>
      </c>
      <c r="Q204" s="1">
        <v>44</v>
      </c>
      <c r="R204" s="1">
        <v>33</v>
      </c>
      <c r="S204" s="1">
        <v>29</v>
      </c>
      <c r="T204" s="1">
        <v>22</v>
      </c>
      <c r="U204" s="1">
        <v>27</v>
      </c>
      <c r="V204" s="1">
        <v>15</v>
      </c>
      <c r="W204" s="1">
        <v>14</v>
      </c>
      <c r="X204" s="1">
        <v>14</v>
      </c>
      <c r="Y204" s="1">
        <v>9</v>
      </c>
    </row>
    <row r="205" spans="1:25" x14ac:dyDescent="0.3">
      <c r="A205" s="2">
        <v>43638</v>
      </c>
      <c r="B205" s="1">
        <v>9</v>
      </c>
      <c r="C205" s="1">
        <v>10</v>
      </c>
      <c r="D205" s="1">
        <v>8</v>
      </c>
      <c r="E205" s="1">
        <v>6</v>
      </c>
      <c r="F205" s="1">
        <v>5</v>
      </c>
      <c r="G205" s="1">
        <v>8</v>
      </c>
      <c r="H205" s="1">
        <v>9</v>
      </c>
      <c r="I205" s="1">
        <v>6</v>
      </c>
      <c r="J205" s="1">
        <v>8</v>
      </c>
      <c r="K205" s="1">
        <v>19</v>
      </c>
      <c r="L205" s="1">
        <v>13</v>
      </c>
      <c r="M205" s="1">
        <v>28</v>
      </c>
      <c r="N205" s="1">
        <v>19</v>
      </c>
      <c r="O205" s="1">
        <v>15</v>
      </c>
      <c r="P205" s="1">
        <v>25</v>
      </c>
      <c r="Q205" s="1">
        <v>18</v>
      </c>
      <c r="R205" s="1">
        <v>19</v>
      </c>
      <c r="S205" s="1">
        <v>22</v>
      </c>
      <c r="T205" s="1">
        <v>10</v>
      </c>
      <c r="U205" s="1">
        <v>18</v>
      </c>
      <c r="V205" s="1">
        <v>7</v>
      </c>
      <c r="W205" s="1">
        <v>18</v>
      </c>
      <c r="X205" s="1">
        <v>11</v>
      </c>
      <c r="Y205" s="1">
        <v>10</v>
      </c>
    </row>
    <row r="206" spans="1:25" x14ac:dyDescent="0.3">
      <c r="A206" s="2">
        <v>43639</v>
      </c>
      <c r="B206" s="1">
        <v>9</v>
      </c>
      <c r="C206" s="1">
        <v>8</v>
      </c>
      <c r="D206" s="1">
        <v>9</v>
      </c>
      <c r="E206" s="1">
        <v>7</v>
      </c>
      <c r="F206" s="1">
        <v>11</v>
      </c>
      <c r="G206" s="1">
        <v>3</v>
      </c>
      <c r="H206" s="1">
        <v>7</v>
      </c>
      <c r="I206" s="1">
        <v>10</v>
      </c>
      <c r="J206" s="1">
        <v>11</v>
      </c>
      <c r="K206" s="1">
        <v>13</v>
      </c>
      <c r="L206" s="1">
        <v>14</v>
      </c>
      <c r="M206" s="1">
        <v>19</v>
      </c>
      <c r="N206" s="1">
        <v>22</v>
      </c>
      <c r="O206" s="1">
        <v>19</v>
      </c>
      <c r="P206" s="1">
        <v>26</v>
      </c>
      <c r="Q206" s="1">
        <v>17</v>
      </c>
      <c r="R206" s="1">
        <v>33</v>
      </c>
      <c r="S206" s="1">
        <v>21</v>
      </c>
      <c r="T206" s="1">
        <v>21</v>
      </c>
      <c r="U206" s="1">
        <v>16</v>
      </c>
      <c r="V206" s="1">
        <v>10</v>
      </c>
      <c r="W206" s="1">
        <v>8</v>
      </c>
      <c r="X206" s="1">
        <v>13</v>
      </c>
      <c r="Y206" s="1">
        <v>10</v>
      </c>
    </row>
    <row r="207" spans="1:25" x14ac:dyDescent="0.3">
      <c r="A207" s="2">
        <v>43640</v>
      </c>
      <c r="B207" s="1">
        <v>10</v>
      </c>
      <c r="C207" s="1">
        <v>8</v>
      </c>
      <c r="D207" s="1">
        <v>4</v>
      </c>
      <c r="E207" s="1">
        <v>8</v>
      </c>
      <c r="F207" s="1">
        <v>6</v>
      </c>
      <c r="G207" s="1">
        <v>5</v>
      </c>
      <c r="H207" s="1">
        <v>7</v>
      </c>
      <c r="I207" s="1">
        <v>20</v>
      </c>
      <c r="J207" s="1">
        <v>28</v>
      </c>
      <c r="K207" s="1">
        <v>19</v>
      </c>
      <c r="L207" s="1">
        <v>31</v>
      </c>
      <c r="M207" s="1">
        <v>28</v>
      </c>
      <c r="N207" s="1">
        <v>17</v>
      </c>
      <c r="O207" s="1">
        <v>27</v>
      </c>
      <c r="P207" s="1">
        <v>20</v>
      </c>
      <c r="Q207" s="1">
        <v>26</v>
      </c>
      <c r="R207" s="1">
        <v>19</v>
      </c>
      <c r="S207" s="1">
        <v>31</v>
      </c>
      <c r="T207" s="1">
        <v>15</v>
      </c>
      <c r="U207" s="1">
        <v>17</v>
      </c>
      <c r="V207" s="1">
        <v>23</v>
      </c>
      <c r="W207" s="1">
        <v>17</v>
      </c>
      <c r="X207" s="1">
        <v>16</v>
      </c>
      <c r="Y207" s="1">
        <v>11</v>
      </c>
    </row>
    <row r="208" spans="1:25" x14ac:dyDescent="0.3">
      <c r="A208" s="2">
        <v>43641</v>
      </c>
      <c r="B208" s="1">
        <v>3</v>
      </c>
      <c r="C208" s="1">
        <v>4</v>
      </c>
      <c r="D208" s="1">
        <v>4</v>
      </c>
      <c r="E208" s="1">
        <v>7</v>
      </c>
      <c r="F208" s="1">
        <v>4</v>
      </c>
      <c r="G208" s="1">
        <v>4</v>
      </c>
      <c r="H208" s="1">
        <v>14</v>
      </c>
      <c r="I208" s="1">
        <v>20</v>
      </c>
      <c r="J208" s="1">
        <v>30</v>
      </c>
      <c r="K208" s="1">
        <v>26</v>
      </c>
      <c r="L208" s="1">
        <v>21</v>
      </c>
      <c r="M208" s="1">
        <v>15</v>
      </c>
      <c r="N208" s="1">
        <v>22</v>
      </c>
      <c r="O208" s="1">
        <v>24</v>
      </c>
      <c r="P208" s="1">
        <v>27</v>
      </c>
      <c r="Q208" s="1">
        <v>23</v>
      </c>
      <c r="R208" s="1">
        <v>31</v>
      </c>
      <c r="S208" s="1">
        <v>31</v>
      </c>
      <c r="T208" s="1">
        <v>23</v>
      </c>
      <c r="U208" s="1">
        <v>18</v>
      </c>
      <c r="V208" s="1">
        <v>19</v>
      </c>
      <c r="W208" s="1">
        <v>17</v>
      </c>
      <c r="X208" s="1">
        <v>20</v>
      </c>
      <c r="Y208" s="1">
        <v>8</v>
      </c>
    </row>
    <row r="209" spans="1:25" x14ac:dyDescent="0.3">
      <c r="A209" s="2">
        <v>43642</v>
      </c>
      <c r="B209" s="1">
        <v>4</v>
      </c>
      <c r="C209" s="1">
        <v>3</v>
      </c>
      <c r="D209" s="1">
        <v>4</v>
      </c>
      <c r="E209" s="1">
        <v>6</v>
      </c>
      <c r="F209" s="1">
        <v>6</v>
      </c>
      <c r="G209" s="1">
        <v>1</v>
      </c>
      <c r="H209" s="1">
        <v>8</v>
      </c>
      <c r="I209" s="1">
        <v>15</v>
      </c>
      <c r="J209" s="1">
        <v>31</v>
      </c>
      <c r="K209" s="1">
        <v>22</v>
      </c>
      <c r="L209" s="1">
        <v>32</v>
      </c>
      <c r="M209" s="1">
        <v>23</v>
      </c>
      <c r="N209" s="1">
        <v>28</v>
      </c>
      <c r="O209" s="1">
        <v>33</v>
      </c>
      <c r="P209" s="1">
        <v>35</v>
      </c>
      <c r="Q209" s="1">
        <v>30</v>
      </c>
      <c r="R209" s="1">
        <v>36</v>
      </c>
      <c r="S209" s="1">
        <v>31</v>
      </c>
      <c r="T209" s="1">
        <v>18</v>
      </c>
      <c r="U209" s="1">
        <v>16</v>
      </c>
      <c r="V209" s="1">
        <v>9</v>
      </c>
      <c r="W209" s="1">
        <v>13</v>
      </c>
      <c r="X209" s="1">
        <v>12</v>
      </c>
      <c r="Y209" s="1">
        <v>14</v>
      </c>
    </row>
    <row r="210" spans="1:25" x14ac:dyDescent="0.3">
      <c r="A210" s="2">
        <v>43643</v>
      </c>
      <c r="B210" s="1">
        <v>6</v>
      </c>
      <c r="C210" s="1">
        <v>8</v>
      </c>
      <c r="D210" s="1">
        <v>4</v>
      </c>
      <c r="E210" s="1">
        <v>9</v>
      </c>
      <c r="F210" s="1">
        <v>9</v>
      </c>
      <c r="G210" s="1">
        <v>9</v>
      </c>
      <c r="H210" s="1">
        <v>12</v>
      </c>
      <c r="I210" s="1">
        <v>19</v>
      </c>
      <c r="J210" s="1">
        <v>15</v>
      </c>
      <c r="K210" s="1">
        <v>22</v>
      </c>
      <c r="L210" s="1">
        <v>23</v>
      </c>
      <c r="M210" s="1">
        <v>28</v>
      </c>
      <c r="N210" s="1">
        <v>31</v>
      </c>
      <c r="O210" s="1">
        <v>17</v>
      </c>
      <c r="P210" s="1">
        <v>20</v>
      </c>
      <c r="Q210" s="1">
        <v>26</v>
      </c>
      <c r="R210" s="1">
        <v>33</v>
      </c>
      <c r="S210" s="1">
        <v>36</v>
      </c>
      <c r="T210" s="1">
        <v>19</v>
      </c>
      <c r="U210" s="1">
        <v>20</v>
      </c>
      <c r="V210" s="1">
        <v>22</v>
      </c>
      <c r="W210" s="1">
        <v>14</v>
      </c>
      <c r="X210" s="1">
        <v>5</v>
      </c>
      <c r="Y210" s="1">
        <v>10</v>
      </c>
    </row>
    <row r="211" spans="1:25" x14ac:dyDescent="0.3">
      <c r="A211" s="2">
        <v>43644</v>
      </c>
      <c r="B211" s="1">
        <v>10</v>
      </c>
      <c r="C211" s="1">
        <v>11</v>
      </c>
      <c r="D211" s="1">
        <v>13</v>
      </c>
      <c r="E211" s="1">
        <v>5</v>
      </c>
      <c r="F211" s="1">
        <v>5</v>
      </c>
      <c r="G211" s="1">
        <v>11</v>
      </c>
      <c r="H211" s="1">
        <v>8</v>
      </c>
      <c r="I211" s="1">
        <v>13</v>
      </c>
      <c r="J211" s="1">
        <v>26</v>
      </c>
      <c r="K211" s="1">
        <v>12</v>
      </c>
      <c r="L211" s="1">
        <v>16</v>
      </c>
      <c r="M211" s="1">
        <v>35</v>
      </c>
      <c r="N211" s="1">
        <v>23</v>
      </c>
      <c r="O211" s="1">
        <v>34</v>
      </c>
      <c r="P211" s="1">
        <v>23</v>
      </c>
      <c r="Q211" s="1">
        <v>27</v>
      </c>
      <c r="R211" s="1">
        <v>41</v>
      </c>
      <c r="S211" s="1">
        <v>30</v>
      </c>
      <c r="T211" s="1">
        <v>35</v>
      </c>
      <c r="U211" s="1">
        <v>36</v>
      </c>
      <c r="V211" s="1">
        <v>19</v>
      </c>
      <c r="W211" s="1">
        <v>25</v>
      </c>
      <c r="X211" s="1">
        <v>18</v>
      </c>
      <c r="Y211" s="1">
        <v>17</v>
      </c>
    </row>
    <row r="212" spans="1:25" x14ac:dyDescent="0.3">
      <c r="A212" s="2">
        <v>43645</v>
      </c>
      <c r="B212" s="1">
        <v>10</v>
      </c>
      <c r="C212" s="1">
        <v>8</v>
      </c>
      <c r="D212" s="1">
        <v>5</v>
      </c>
      <c r="E212" s="1">
        <v>8</v>
      </c>
      <c r="F212" s="1">
        <v>6</v>
      </c>
      <c r="G212" s="1">
        <v>9</v>
      </c>
      <c r="H212" s="1">
        <v>8</v>
      </c>
      <c r="I212" s="1">
        <v>6</v>
      </c>
      <c r="J212" s="1">
        <v>15</v>
      </c>
      <c r="K212" s="1">
        <v>14</v>
      </c>
      <c r="L212" s="1">
        <v>22</v>
      </c>
      <c r="M212" s="1">
        <v>30</v>
      </c>
      <c r="N212" s="1">
        <v>21</v>
      </c>
      <c r="O212" s="1">
        <v>20</v>
      </c>
      <c r="P212" s="1">
        <v>22</v>
      </c>
      <c r="Q212" s="1">
        <v>25</v>
      </c>
      <c r="R212" s="1">
        <v>70</v>
      </c>
      <c r="S212" s="1">
        <v>73</v>
      </c>
      <c r="T212" s="1">
        <v>32</v>
      </c>
      <c r="U212" s="1">
        <v>35</v>
      </c>
      <c r="V212" s="1">
        <v>25</v>
      </c>
      <c r="W212" s="1">
        <v>20</v>
      </c>
      <c r="X212" s="1">
        <v>19</v>
      </c>
      <c r="Y212" s="1">
        <v>12</v>
      </c>
    </row>
    <row r="213" spans="1:25" x14ac:dyDescent="0.3">
      <c r="A213" s="2">
        <v>43646</v>
      </c>
      <c r="B213" s="1">
        <v>13</v>
      </c>
      <c r="C213" s="1">
        <v>12</v>
      </c>
      <c r="D213" s="1">
        <v>3</v>
      </c>
      <c r="E213" s="1">
        <v>7</v>
      </c>
      <c r="F213" s="1">
        <v>5</v>
      </c>
      <c r="G213" s="1">
        <v>5</v>
      </c>
      <c r="H213" s="1">
        <v>6</v>
      </c>
      <c r="I213" s="1">
        <v>10</v>
      </c>
      <c r="J213" s="1">
        <v>16</v>
      </c>
      <c r="K213" s="1">
        <v>14</v>
      </c>
      <c r="L213" s="1">
        <v>7</v>
      </c>
      <c r="M213" s="1">
        <v>25</v>
      </c>
      <c r="N213" s="1">
        <v>19</v>
      </c>
      <c r="O213" s="1">
        <v>30</v>
      </c>
      <c r="P213" s="1">
        <v>24</v>
      </c>
      <c r="Q213" s="1">
        <v>25</v>
      </c>
      <c r="R213" s="1">
        <v>20</v>
      </c>
      <c r="S213" s="1">
        <v>17</v>
      </c>
      <c r="T213" s="1">
        <v>28</v>
      </c>
      <c r="U213" s="1">
        <v>24</v>
      </c>
      <c r="V213" s="1">
        <v>20</v>
      </c>
      <c r="W213" s="1">
        <v>12</v>
      </c>
      <c r="X213" s="1">
        <v>13</v>
      </c>
      <c r="Y213" s="1">
        <v>4</v>
      </c>
    </row>
    <row r="214" spans="1:25" x14ac:dyDescent="0.3">
      <c r="A214" s="2">
        <v>43647</v>
      </c>
      <c r="B214" s="1">
        <v>6</v>
      </c>
      <c r="C214" s="1">
        <v>5</v>
      </c>
      <c r="D214" s="1">
        <v>4</v>
      </c>
      <c r="E214" s="1">
        <v>4</v>
      </c>
      <c r="F214" s="1">
        <v>8</v>
      </c>
      <c r="G214" s="1">
        <v>5</v>
      </c>
      <c r="H214" s="1">
        <v>11</v>
      </c>
      <c r="I214" s="1">
        <v>19</v>
      </c>
      <c r="J214" s="1">
        <v>20</v>
      </c>
      <c r="K214" s="1">
        <v>27</v>
      </c>
      <c r="L214" s="1">
        <v>14</v>
      </c>
      <c r="M214" s="1">
        <v>20</v>
      </c>
      <c r="N214" s="1">
        <v>29</v>
      </c>
      <c r="O214" s="1">
        <v>26</v>
      </c>
      <c r="P214" s="1">
        <v>27</v>
      </c>
      <c r="Q214" s="1">
        <v>34</v>
      </c>
      <c r="R214" s="1">
        <v>21</v>
      </c>
      <c r="S214" s="1">
        <v>27</v>
      </c>
      <c r="T214" s="1">
        <v>29</v>
      </c>
      <c r="U214" s="1">
        <v>23</v>
      </c>
      <c r="V214" s="1">
        <v>16</v>
      </c>
      <c r="W214" s="1">
        <v>15</v>
      </c>
      <c r="X214" s="1">
        <v>11</v>
      </c>
      <c r="Y214" s="1">
        <v>14</v>
      </c>
    </row>
    <row r="215" spans="1:25" x14ac:dyDescent="0.3">
      <c r="A215" s="2">
        <v>43648</v>
      </c>
      <c r="B215" s="1">
        <v>11</v>
      </c>
      <c r="C215" s="1">
        <v>5</v>
      </c>
      <c r="D215" s="1">
        <v>9</v>
      </c>
      <c r="E215" s="1">
        <v>9</v>
      </c>
      <c r="F215" s="1">
        <v>3</v>
      </c>
      <c r="G215" s="1">
        <v>6</v>
      </c>
      <c r="H215" s="1">
        <v>16</v>
      </c>
      <c r="I215" s="1">
        <v>13</v>
      </c>
      <c r="J215" s="1">
        <v>20</v>
      </c>
      <c r="K215" s="1">
        <v>22</v>
      </c>
      <c r="L215" s="1">
        <v>24</v>
      </c>
      <c r="M215" s="1">
        <v>21</v>
      </c>
      <c r="N215" s="1">
        <v>29</v>
      </c>
      <c r="O215" s="1">
        <v>28</v>
      </c>
      <c r="P215" s="1">
        <v>22</v>
      </c>
      <c r="Q215" s="1">
        <v>24</v>
      </c>
      <c r="R215" s="1">
        <v>27</v>
      </c>
      <c r="S215" s="1">
        <v>37</v>
      </c>
      <c r="T215" s="1">
        <v>16</v>
      </c>
      <c r="U215" s="1">
        <v>24</v>
      </c>
      <c r="V215" s="1">
        <v>13</v>
      </c>
      <c r="W215" s="1">
        <v>15</v>
      </c>
      <c r="X215" s="1">
        <v>6</v>
      </c>
      <c r="Y215" s="1">
        <v>9</v>
      </c>
    </row>
    <row r="216" spans="1:25" x14ac:dyDescent="0.3">
      <c r="A216" s="2">
        <v>43649</v>
      </c>
      <c r="B216" s="1">
        <v>6</v>
      </c>
      <c r="C216" s="1">
        <v>8</v>
      </c>
      <c r="D216" s="1">
        <v>7</v>
      </c>
      <c r="E216" s="1">
        <v>10</v>
      </c>
      <c r="F216" s="1">
        <v>4</v>
      </c>
      <c r="G216" s="1">
        <v>13</v>
      </c>
      <c r="H216" s="1">
        <v>9</v>
      </c>
      <c r="I216" s="1">
        <v>19</v>
      </c>
      <c r="J216" s="1">
        <v>33</v>
      </c>
      <c r="K216" s="1">
        <v>19</v>
      </c>
      <c r="L216" s="1">
        <v>21</v>
      </c>
      <c r="M216" s="1">
        <v>22</v>
      </c>
      <c r="N216" s="1">
        <v>21</v>
      </c>
      <c r="O216" s="1">
        <v>23</v>
      </c>
      <c r="P216" s="1">
        <v>19</v>
      </c>
      <c r="Q216" s="1">
        <v>28</v>
      </c>
      <c r="R216" s="1">
        <v>28</v>
      </c>
      <c r="S216" s="1">
        <v>30</v>
      </c>
      <c r="T216" s="1">
        <v>17</v>
      </c>
      <c r="U216" s="1">
        <v>21</v>
      </c>
      <c r="V216" s="1">
        <v>13</v>
      </c>
      <c r="W216" s="1">
        <v>28</v>
      </c>
      <c r="X216" s="1">
        <v>13</v>
      </c>
      <c r="Y216" s="1">
        <v>12</v>
      </c>
    </row>
    <row r="217" spans="1:25" x14ac:dyDescent="0.3">
      <c r="A217" s="2">
        <v>43650</v>
      </c>
      <c r="B217" s="1">
        <v>14</v>
      </c>
      <c r="C217" s="1">
        <v>6</v>
      </c>
      <c r="D217" s="1">
        <v>3</v>
      </c>
      <c r="E217" s="1">
        <v>8</v>
      </c>
      <c r="F217" s="1">
        <v>7</v>
      </c>
      <c r="G217" s="1">
        <v>3</v>
      </c>
      <c r="H217" s="1">
        <v>5</v>
      </c>
      <c r="I217" s="1">
        <v>16</v>
      </c>
      <c r="J217" s="1">
        <v>8</v>
      </c>
      <c r="K217" s="1">
        <v>10</v>
      </c>
      <c r="L217" s="1">
        <v>17</v>
      </c>
      <c r="M217" s="1">
        <v>21</v>
      </c>
      <c r="N217" s="1">
        <v>24</v>
      </c>
      <c r="O217" s="1">
        <v>18</v>
      </c>
      <c r="P217" s="1">
        <v>11</v>
      </c>
      <c r="Q217" s="1">
        <v>27</v>
      </c>
      <c r="R217" s="1">
        <v>23</v>
      </c>
      <c r="S217" s="1">
        <v>37</v>
      </c>
      <c r="T217" s="1">
        <v>15</v>
      </c>
      <c r="U217" s="1">
        <v>10</v>
      </c>
      <c r="V217" s="1">
        <v>18</v>
      </c>
      <c r="W217" s="1">
        <v>18</v>
      </c>
      <c r="X217" s="1">
        <v>23</v>
      </c>
      <c r="Y217" s="1">
        <v>20</v>
      </c>
    </row>
    <row r="218" spans="1:25" x14ac:dyDescent="0.3">
      <c r="A218" s="2">
        <v>43651</v>
      </c>
      <c r="B218" s="1">
        <v>2</v>
      </c>
      <c r="C218" s="1">
        <v>11</v>
      </c>
      <c r="D218" s="1">
        <v>9</v>
      </c>
      <c r="E218" s="1">
        <v>3</v>
      </c>
      <c r="F218" s="1">
        <v>6</v>
      </c>
      <c r="G218" s="1">
        <v>6</v>
      </c>
      <c r="H218" s="1">
        <v>5</v>
      </c>
      <c r="I218" s="1">
        <v>8</v>
      </c>
      <c r="J218" s="1">
        <v>18</v>
      </c>
      <c r="K218" s="1">
        <v>27</v>
      </c>
      <c r="L218" s="1">
        <v>19</v>
      </c>
      <c r="M218" s="1">
        <v>21</v>
      </c>
      <c r="N218" s="1">
        <v>22</v>
      </c>
      <c r="O218" s="1">
        <v>24</v>
      </c>
      <c r="P218" s="1">
        <v>19</v>
      </c>
      <c r="Q218" s="1">
        <v>30</v>
      </c>
      <c r="R218" s="1">
        <v>26</v>
      </c>
      <c r="S218" s="1">
        <v>19</v>
      </c>
      <c r="T218" s="1">
        <v>30</v>
      </c>
      <c r="U218" s="1">
        <v>14</v>
      </c>
      <c r="V218" s="1">
        <v>13</v>
      </c>
      <c r="W218" s="1">
        <v>17</v>
      </c>
      <c r="X218" s="1">
        <v>11</v>
      </c>
      <c r="Y218" s="1">
        <v>10</v>
      </c>
    </row>
    <row r="219" spans="1:25" x14ac:dyDescent="0.3">
      <c r="A219" s="2">
        <v>43652</v>
      </c>
      <c r="B219" s="1">
        <v>16</v>
      </c>
      <c r="C219" s="1">
        <v>10</v>
      </c>
      <c r="D219" s="1">
        <v>8</v>
      </c>
      <c r="E219" s="1">
        <v>9</v>
      </c>
      <c r="F219" s="1">
        <v>7</v>
      </c>
      <c r="G219" s="1">
        <v>9</v>
      </c>
      <c r="H219" s="1">
        <v>3</v>
      </c>
      <c r="I219" s="1">
        <v>5</v>
      </c>
      <c r="J219" s="1">
        <v>16</v>
      </c>
      <c r="K219" s="1">
        <v>13</v>
      </c>
      <c r="L219" s="1">
        <v>16</v>
      </c>
      <c r="M219" s="1">
        <v>13</v>
      </c>
      <c r="N219" s="1">
        <v>23</v>
      </c>
      <c r="O219" s="1">
        <v>29</v>
      </c>
      <c r="P219" s="1">
        <v>17</v>
      </c>
      <c r="Q219" s="1">
        <v>24</v>
      </c>
      <c r="R219" s="1">
        <v>21</v>
      </c>
      <c r="S219" s="1">
        <v>23</v>
      </c>
      <c r="T219" s="1">
        <v>26</v>
      </c>
      <c r="U219" s="1">
        <v>16</v>
      </c>
      <c r="V219" s="1">
        <v>24</v>
      </c>
      <c r="W219" s="1">
        <v>19</v>
      </c>
      <c r="X219" s="1">
        <v>15</v>
      </c>
      <c r="Y219" s="1">
        <v>13</v>
      </c>
    </row>
    <row r="220" spans="1:25" x14ac:dyDescent="0.3">
      <c r="A220" s="2">
        <v>43653</v>
      </c>
      <c r="B220" s="1">
        <v>8</v>
      </c>
      <c r="C220" s="1">
        <v>17</v>
      </c>
      <c r="D220" s="1">
        <v>13</v>
      </c>
      <c r="E220" s="1">
        <v>9</v>
      </c>
      <c r="F220" s="1">
        <v>6</v>
      </c>
      <c r="G220" s="1">
        <v>7</v>
      </c>
      <c r="H220" s="1">
        <v>7</v>
      </c>
      <c r="I220" s="1">
        <v>6</v>
      </c>
      <c r="J220" s="1">
        <v>6</v>
      </c>
      <c r="K220" s="1">
        <v>14</v>
      </c>
      <c r="L220" s="1">
        <v>8</v>
      </c>
      <c r="M220" s="1">
        <v>15</v>
      </c>
      <c r="N220" s="1">
        <v>24</v>
      </c>
      <c r="O220" s="1">
        <v>16</v>
      </c>
      <c r="P220" s="1">
        <v>17</v>
      </c>
      <c r="Q220" s="1">
        <v>31</v>
      </c>
      <c r="R220" s="1">
        <v>24</v>
      </c>
      <c r="S220" s="1">
        <v>19</v>
      </c>
      <c r="T220" s="1">
        <v>16</v>
      </c>
      <c r="U220" s="1">
        <v>16</v>
      </c>
      <c r="V220" s="1">
        <v>20</v>
      </c>
      <c r="W220" s="1">
        <v>15</v>
      </c>
      <c r="X220" s="1">
        <v>8</v>
      </c>
      <c r="Y220" s="1">
        <v>8</v>
      </c>
    </row>
    <row r="221" spans="1:25" x14ac:dyDescent="0.3">
      <c r="A221" s="2">
        <v>43654</v>
      </c>
      <c r="B221" s="1">
        <v>8</v>
      </c>
      <c r="C221" s="1">
        <v>5</v>
      </c>
      <c r="D221" s="1">
        <v>6</v>
      </c>
      <c r="E221" s="1">
        <v>5</v>
      </c>
      <c r="F221" s="1">
        <v>4</v>
      </c>
      <c r="G221" s="1">
        <v>7</v>
      </c>
      <c r="H221" s="1">
        <v>6</v>
      </c>
      <c r="I221" s="1">
        <v>15</v>
      </c>
      <c r="J221" s="1">
        <v>28</v>
      </c>
      <c r="K221" s="1">
        <v>28</v>
      </c>
      <c r="L221" s="1">
        <v>25</v>
      </c>
      <c r="M221" s="1">
        <v>27</v>
      </c>
      <c r="N221" s="1">
        <v>33</v>
      </c>
      <c r="O221" s="1">
        <v>18</v>
      </c>
      <c r="P221" s="1">
        <v>24</v>
      </c>
      <c r="Q221" s="1">
        <v>29</v>
      </c>
      <c r="R221" s="1">
        <v>29</v>
      </c>
      <c r="S221" s="1">
        <v>25</v>
      </c>
      <c r="T221" s="1">
        <v>20</v>
      </c>
      <c r="U221" s="1">
        <v>15</v>
      </c>
      <c r="V221" s="1">
        <v>16</v>
      </c>
      <c r="W221" s="1">
        <v>14</v>
      </c>
      <c r="X221" s="1">
        <v>11</v>
      </c>
      <c r="Y221" s="1">
        <v>4</v>
      </c>
    </row>
    <row r="222" spans="1:25" x14ac:dyDescent="0.3">
      <c r="A222" s="2">
        <v>43655</v>
      </c>
      <c r="B222" s="1">
        <v>6</v>
      </c>
      <c r="C222" s="1">
        <v>6</v>
      </c>
      <c r="D222" s="1">
        <v>5</v>
      </c>
      <c r="E222" s="1">
        <v>5</v>
      </c>
      <c r="F222" s="1">
        <v>6</v>
      </c>
      <c r="G222" s="1">
        <v>10</v>
      </c>
      <c r="H222" s="1">
        <v>19</v>
      </c>
      <c r="I222" s="1">
        <v>10</v>
      </c>
      <c r="J222" s="1">
        <v>19</v>
      </c>
      <c r="K222" s="1">
        <v>22</v>
      </c>
      <c r="L222" s="1">
        <v>29</v>
      </c>
      <c r="M222" s="1">
        <v>26</v>
      </c>
      <c r="N222" s="1">
        <v>44</v>
      </c>
      <c r="O222" s="1">
        <v>22</v>
      </c>
      <c r="P222" s="1">
        <v>31</v>
      </c>
      <c r="Q222" s="1">
        <v>30</v>
      </c>
      <c r="R222" s="1">
        <v>16</v>
      </c>
      <c r="S222" s="1">
        <v>28</v>
      </c>
      <c r="T222" s="1">
        <v>29</v>
      </c>
      <c r="U222" s="1">
        <v>16</v>
      </c>
      <c r="V222" s="1">
        <v>13</v>
      </c>
      <c r="W222" s="1">
        <v>10</v>
      </c>
      <c r="X222" s="1">
        <v>9</v>
      </c>
      <c r="Y222" s="1">
        <v>8</v>
      </c>
    </row>
    <row r="223" spans="1:25" x14ac:dyDescent="0.3">
      <c r="A223" s="2">
        <v>43656</v>
      </c>
      <c r="B223" s="1">
        <v>8</v>
      </c>
      <c r="C223" s="1">
        <v>3</v>
      </c>
      <c r="D223" s="1">
        <v>4</v>
      </c>
      <c r="E223" s="1">
        <v>5</v>
      </c>
      <c r="F223" s="1">
        <v>2</v>
      </c>
      <c r="G223" s="1">
        <v>5</v>
      </c>
      <c r="H223" s="1">
        <v>2</v>
      </c>
      <c r="I223" s="1">
        <v>8</v>
      </c>
      <c r="J223" s="1">
        <v>23</v>
      </c>
      <c r="K223" s="1">
        <v>25</v>
      </c>
      <c r="L223" s="1">
        <v>14</v>
      </c>
      <c r="M223" s="1">
        <v>18</v>
      </c>
      <c r="N223" s="1">
        <v>30</v>
      </c>
      <c r="O223" s="1">
        <v>24</v>
      </c>
      <c r="P223" s="1">
        <v>29</v>
      </c>
      <c r="Q223" s="1">
        <v>28</v>
      </c>
      <c r="R223" s="1">
        <v>29</v>
      </c>
      <c r="S223" s="1">
        <v>26</v>
      </c>
      <c r="T223" s="1">
        <v>13</v>
      </c>
      <c r="U223" s="1">
        <v>26</v>
      </c>
      <c r="V223" s="1">
        <v>9</v>
      </c>
      <c r="W223" s="1">
        <v>24</v>
      </c>
      <c r="X223" s="1">
        <v>12</v>
      </c>
      <c r="Y223" s="1">
        <v>14</v>
      </c>
    </row>
    <row r="224" spans="1:25" x14ac:dyDescent="0.3">
      <c r="A224" s="2">
        <v>43657</v>
      </c>
      <c r="B224" s="1">
        <v>7</v>
      </c>
      <c r="C224" s="1">
        <v>9</v>
      </c>
      <c r="D224" s="1">
        <v>2</v>
      </c>
      <c r="E224" s="1">
        <v>2</v>
      </c>
      <c r="F224" s="1">
        <v>3</v>
      </c>
      <c r="G224" s="1">
        <v>6</v>
      </c>
      <c r="H224" s="1">
        <v>7</v>
      </c>
      <c r="I224" s="1">
        <v>8</v>
      </c>
      <c r="J224" s="1">
        <v>12</v>
      </c>
      <c r="K224" s="1">
        <v>18</v>
      </c>
      <c r="L224" s="1">
        <v>22</v>
      </c>
      <c r="M224" s="1">
        <v>36</v>
      </c>
      <c r="N224" s="1">
        <v>34</v>
      </c>
      <c r="O224" s="1">
        <v>12</v>
      </c>
      <c r="P224" s="1">
        <v>29</v>
      </c>
      <c r="Q224" s="1">
        <v>39</v>
      </c>
      <c r="R224" s="1">
        <v>51</v>
      </c>
      <c r="S224" s="1">
        <v>88</v>
      </c>
      <c r="T224" s="1">
        <v>117</v>
      </c>
      <c r="U224" s="1">
        <v>111</v>
      </c>
      <c r="V224" s="1">
        <v>45</v>
      </c>
      <c r="W224" s="1">
        <v>59</v>
      </c>
      <c r="X224" s="1">
        <v>30</v>
      </c>
      <c r="Y224" s="1">
        <v>22</v>
      </c>
    </row>
    <row r="225" spans="1:25" x14ac:dyDescent="0.3">
      <c r="A225" s="2">
        <v>43658</v>
      </c>
      <c r="B225" s="1">
        <v>21</v>
      </c>
      <c r="C225" s="1">
        <v>5</v>
      </c>
      <c r="D225" s="1">
        <v>7</v>
      </c>
      <c r="E225" s="1">
        <v>7</v>
      </c>
      <c r="F225" s="1">
        <v>7</v>
      </c>
      <c r="G225" s="1">
        <v>7</v>
      </c>
      <c r="H225" s="1">
        <v>13</v>
      </c>
      <c r="I225" s="1">
        <v>20</v>
      </c>
      <c r="J225" s="1">
        <v>18</v>
      </c>
      <c r="K225" s="1">
        <v>16</v>
      </c>
      <c r="L225" s="1">
        <v>16</v>
      </c>
      <c r="M225" s="1">
        <v>13</v>
      </c>
      <c r="N225" s="1">
        <v>21</v>
      </c>
      <c r="O225" s="1">
        <v>25</v>
      </c>
      <c r="P225" s="1">
        <v>28</v>
      </c>
      <c r="Q225" s="1">
        <v>34</v>
      </c>
      <c r="R225" s="1">
        <v>22</v>
      </c>
      <c r="S225" s="1">
        <v>28</v>
      </c>
      <c r="T225" s="1">
        <v>26</v>
      </c>
      <c r="U225" s="1">
        <v>30</v>
      </c>
      <c r="V225" s="1">
        <v>21</v>
      </c>
      <c r="W225" s="1">
        <v>25</v>
      </c>
      <c r="X225" s="1">
        <v>8</v>
      </c>
      <c r="Y225" s="1">
        <v>18</v>
      </c>
    </row>
    <row r="226" spans="1:25" x14ac:dyDescent="0.3">
      <c r="A226" s="2">
        <v>43659</v>
      </c>
      <c r="B226" s="1">
        <v>12</v>
      </c>
      <c r="C226" s="1">
        <v>10</v>
      </c>
      <c r="D226" s="1">
        <v>8</v>
      </c>
      <c r="E226" s="1">
        <v>4</v>
      </c>
      <c r="F226" s="1">
        <v>5</v>
      </c>
      <c r="G226" s="1">
        <v>8</v>
      </c>
      <c r="H226" s="1">
        <v>13</v>
      </c>
      <c r="I226" s="1">
        <v>5</v>
      </c>
      <c r="J226" s="1">
        <v>13</v>
      </c>
      <c r="K226" s="1">
        <v>16</v>
      </c>
      <c r="L226" s="1">
        <v>25</v>
      </c>
      <c r="M226" s="1">
        <v>25</v>
      </c>
      <c r="N226" s="1">
        <v>14</v>
      </c>
      <c r="O226" s="1">
        <v>23</v>
      </c>
      <c r="P226" s="1">
        <v>30</v>
      </c>
      <c r="Q226" s="1">
        <v>14</v>
      </c>
      <c r="R226" s="1">
        <v>24</v>
      </c>
      <c r="S226" s="1">
        <v>20</v>
      </c>
      <c r="T226" s="1">
        <v>29</v>
      </c>
      <c r="U226" s="1">
        <v>18</v>
      </c>
      <c r="V226" s="1">
        <v>24</v>
      </c>
      <c r="W226" s="1">
        <v>19</v>
      </c>
      <c r="X226" s="1">
        <v>13</v>
      </c>
      <c r="Y226" s="1">
        <v>9</v>
      </c>
    </row>
    <row r="227" spans="1:25" x14ac:dyDescent="0.3">
      <c r="A227" s="2">
        <v>43660</v>
      </c>
      <c r="B227" s="1">
        <v>14</v>
      </c>
      <c r="C227" s="1">
        <v>4</v>
      </c>
      <c r="D227" s="1">
        <v>4</v>
      </c>
      <c r="E227" s="1">
        <v>3</v>
      </c>
      <c r="F227" s="1">
        <v>11</v>
      </c>
      <c r="G227" s="1">
        <v>5</v>
      </c>
      <c r="H227" s="1">
        <v>6</v>
      </c>
      <c r="I227" s="1">
        <v>9</v>
      </c>
      <c r="J227" s="1">
        <v>13</v>
      </c>
      <c r="K227" s="1">
        <v>10</v>
      </c>
      <c r="L227" s="1">
        <v>31</v>
      </c>
      <c r="M227" s="1">
        <v>22</v>
      </c>
      <c r="N227" s="1">
        <v>25</v>
      </c>
      <c r="O227" s="1">
        <v>22</v>
      </c>
      <c r="P227" s="1">
        <v>14</v>
      </c>
      <c r="Q227" s="1">
        <v>18</v>
      </c>
      <c r="R227" s="1">
        <v>24</v>
      </c>
      <c r="S227" s="1">
        <v>17</v>
      </c>
      <c r="T227" s="1">
        <v>13</v>
      </c>
      <c r="U227" s="1">
        <v>19</v>
      </c>
      <c r="V227" s="1">
        <v>19</v>
      </c>
      <c r="W227" s="1">
        <v>18</v>
      </c>
      <c r="X227" s="1">
        <v>11</v>
      </c>
      <c r="Y227" s="1">
        <v>4</v>
      </c>
    </row>
    <row r="228" spans="1:25" x14ac:dyDescent="0.3">
      <c r="A228" s="2">
        <v>43661</v>
      </c>
      <c r="B228" s="1">
        <v>6</v>
      </c>
      <c r="C228" s="1">
        <v>6</v>
      </c>
      <c r="D228" s="1">
        <v>7</v>
      </c>
      <c r="E228" s="1">
        <v>7</v>
      </c>
      <c r="F228" s="1">
        <v>3</v>
      </c>
      <c r="G228" s="1">
        <v>11</v>
      </c>
      <c r="H228" s="1">
        <v>5</v>
      </c>
      <c r="I228" s="1">
        <v>15</v>
      </c>
      <c r="J228" s="1">
        <v>27</v>
      </c>
      <c r="K228" s="1">
        <v>32</v>
      </c>
      <c r="L228" s="1">
        <v>21</v>
      </c>
      <c r="M228" s="1">
        <v>20</v>
      </c>
      <c r="N228" s="1">
        <v>20</v>
      </c>
      <c r="O228" s="1">
        <v>26</v>
      </c>
      <c r="P228" s="1">
        <v>20</v>
      </c>
      <c r="Q228" s="1">
        <v>22</v>
      </c>
      <c r="R228" s="1">
        <v>32</v>
      </c>
      <c r="S228" s="1">
        <v>35</v>
      </c>
      <c r="T228" s="1">
        <v>19</v>
      </c>
      <c r="U228" s="1">
        <v>19</v>
      </c>
      <c r="V228" s="1">
        <v>16</v>
      </c>
      <c r="W228" s="1">
        <v>17</v>
      </c>
      <c r="X228" s="1">
        <v>20</v>
      </c>
      <c r="Y228" s="1">
        <v>11</v>
      </c>
    </row>
    <row r="229" spans="1:25" x14ac:dyDescent="0.3">
      <c r="A229" s="2">
        <v>43662</v>
      </c>
      <c r="B229" s="1">
        <v>6</v>
      </c>
      <c r="C229" s="1">
        <v>7</v>
      </c>
      <c r="D229" s="1">
        <v>7</v>
      </c>
      <c r="E229" s="1">
        <v>4</v>
      </c>
      <c r="F229" s="1">
        <v>4</v>
      </c>
      <c r="G229" s="1">
        <v>5</v>
      </c>
      <c r="H229" s="1">
        <v>12</v>
      </c>
      <c r="I229" s="1">
        <v>13</v>
      </c>
      <c r="J229" s="1">
        <v>28</v>
      </c>
      <c r="K229" s="1">
        <v>29</v>
      </c>
      <c r="L229" s="1">
        <v>27</v>
      </c>
      <c r="M229" s="1">
        <v>34</v>
      </c>
      <c r="N229" s="1">
        <v>25</v>
      </c>
      <c r="O229" s="1">
        <v>22</v>
      </c>
      <c r="P229" s="1">
        <v>29</v>
      </c>
      <c r="Q229" s="1">
        <v>28</v>
      </c>
      <c r="R229" s="1">
        <v>37</v>
      </c>
      <c r="S229" s="1">
        <v>37</v>
      </c>
      <c r="T229" s="1">
        <v>23</v>
      </c>
      <c r="U229" s="1">
        <v>23</v>
      </c>
      <c r="V229" s="1">
        <v>14</v>
      </c>
      <c r="W229" s="1">
        <v>22</v>
      </c>
      <c r="X229" s="1">
        <v>21</v>
      </c>
      <c r="Y229" s="1">
        <v>17</v>
      </c>
    </row>
    <row r="230" spans="1:25" x14ac:dyDescent="0.3">
      <c r="A230" s="2">
        <v>43663</v>
      </c>
      <c r="B230" s="1">
        <v>9</v>
      </c>
      <c r="C230" s="1">
        <v>6</v>
      </c>
      <c r="D230" s="1">
        <v>5</v>
      </c>
      <c r="E230" s="1">
        <v>7</v>
      </c>
      <c r="F230" s="1">
        <v>3</v>
      </c>
      <c r="G230" s="1">
        <v>6</v>
      </c>
      <c r="H230" s="1">
        <v>14</v>
      </c>
      <c r="I230" s="1">
        <v>17</v>
      </c>
      <c r="J230" s="1">
        <v>23</v>
      </c>
      <c r="K230" s="1">
        <v>31</v>
      </c>
      <c r="L230" s="1">
        <v>19</v>
      </c>
      <c r="M230" s="1">
        <v>24</v>
      </c>
      <c r="N230" s="1">
        <v>30</v>
      </c>
      <c r="O230" s="1">
        <v>39</v>
      </c>
      <c r="P230" s="1">
        <v>25</v>
      </c>
      <c r="Q230" s="1">
        <v>42</v>
      </c>
      <c r="R230" s="1">
        <v>23</v>
      </c>
      <c r="S230" s="1">
        <v>32</v>
      </c>
      <c r="T230" s="1">
        <v>17</v>
      </c>
      <c r="U230" s="1">
        <v>29</v>
      </c>
      <c r="V230" s="1">
        <v>61</v>
      </c>
      <c r="W230" s="1">
        <v>22</v>
      </c>
      <c r="X230" s="1">
        <v>15</v>
      </c>
      <c r="Y230" s="1">
        <v>13</v>
      </c>
    </row>
    <row r="231" spans="1:25" x14ac:dyDescent="0.3">
      <c r="A231" s="2">
        <v>43664</v>
      </c>
      <c r="B231" s="1">
        <v>15</v>
      </c>
      <c r="C231" s="1">
        <v>10</v>
      </c>
      <c r="D231" s="1">
        <v>8</v>
      </c>
      <c r="E231" s="1">
        <v>2</v>
      </c>
      <c r="F231" s="1">
        <v>5</v>
      </c>
      <c r="G231" s="1">
        <v>8</v>
      </c>
      <c r="H231" s="1">
        <v>11</v>
      </c>
      <c r="I231" s="1">
        <v>16</v>
      </c>
      <c r="J231" s="1">
        <v>27</v>
      </c>
      <c r="K231" s="1">
        <v>28</v>
      </c>
      <c r="L231" s="1">
        <v>16</v>
      </c>
      <c r="M231" s="1">
        <v>14</v>
      </c>
      <c r="N231" s="1">
        <v>24</v>
      </c>
      <c r="O231" s="1">
        <v>33</v>
      </c>
      <c r="P231" s="1">
        <v>27</v>
      </c>
      <c r="Q231" s="1">
        <v>34</v>
      </c>
      <c r="R231" s="1">
        <v>39</v>
      </c>
      <c r="S231" s="1">
        <v>37</v>
      </c>
      <c r="T231" s="1">
        <v>13</v>
      </c>
      <c r="U231" s="1">
        <v>18</v>
      </c>
      <c r="V231" s="1">
        <v>24</v>
      </c>
      <c r="W231" s="1">
        <v>16</v>
      </c>
      <c r="X231" s="1">
        <v>15</v>
      </c>
      <c r="Y231" s="1">
        <v>6</v>
      </c>
    </row>
    <row r="232" spans="1:25" x14ac:dyDescent="0.3">
      <c r="A232" s="2">
        <v>43665</v>
      </c>
      <c r="B232" s="1">
        <v>6</v>
      </c>
      <c r="C232" s="1">
        <v>7</v>
      </c>
      <c r="D232" s="1">
        <v>8</v>
      </c>
      <c r="E232" s="1">
        <v>3</v>
      </c>
      <c r="F232" s="1">
        <v>3</v>
      </c>
      <c r="G232" s="1">
        <v>23</v>
      </c>
      <c r="H232" s="1">
        <v>5</v>
      </c>
      <c r="I232" s="1">
        <v>9</v>
      </c>
      <c r="J232" s="1">
        <v>22</v>
      </c>
      <c r="K232" s="1">
        <v>22</v>
      </c>
      <c r="L232" s="1">
        <v>34</v>
      </c>
      <c r="M232" s="1">
        <v>26</v>
      </c>
      <c r="N232" s="1">
        <v>29</v>
      </c>
      <c r="O232" s="1">
        <v>27</v>
      </c>
      <c r="P232" s="1">
        <v>35</v>
      </c>
      <c r="Q232" s="1">
        <v>36</v>
      </c>
      <c r="R232" s="1">
        <v>25</v>
      </c>
      <c r="S232" s="1">
        <v>46</v>
      </c>
      <c r="T232" s="1">
        <v>21</v>
      </c>
      <c r="U232" s="1">
        <v>27</v>
      </c>
      <c r="V232" s="1">
        <v>18</v>
      </c>
      <c r="W232" s="1">
        <v>25</v>
      </c>
      <c r="X232" s="1">
        <v>15</v>
      </c>
      <c r="Y232" s="1">
        <v>13</v>
      </c>
    </row>
    <row r="233" spans="1:25" x14ac:dyDescent="0.3">
      <c r="A233" s="2">
        <v>43666</v>
      </c>
      <c r="B233" s="1">
        <v>7</v>
      </c>
      <c r="C233" s="1">
        <v>14</v>
      </c>
      <c r="D233" s="1">
        <v>6</v>
      </c>
      <c r="E233" s="1">
        <v>7</v>
      </c>
      <c r="F233" s="1">
        <v>7</v>
      </c>
      <c r="G233" s="1">
        <v>7</v>
      </c>
      <c r="H233" s="1">
        <v>10</v>
      </c>
      <c r="I233" s="1">
        <v>9</v>
      </c>
      <c r="J233" s="1">
        <v>18</v>
      </c>
      <c r="K233" s="1">
        <v>16</v>
      </c>
      <c r="L233" s="1">
        <v>22</v>
      </c>
      <c r="M233" s="1">
        <v>28</v>
      </c>
      <c r="N233" s="1">
        <v>29</v>
      </c>
      <c r="O233" s="1">
        <v>23</v>
      </c>
      <c r="P233" s="1">
        <v>26</v>
      </c>
      <c r="Q233" s="1">
        <v>26</v>
      </c>
      <c r="R233" s="1">
        <v>25</v>
      </c>
      <c r="S233" s="1">
        <v>25</v>
      </c>
      <c r="T233" s="1">
        <v>18</v>
      </c>
      <c r="U233" s="1">
        <v>23</v>
      </c>
      <c r="V233" s="1">
        <v>25</v>
      </c>
      <c r="W233" s="1">
        <v>11</v>
      </c>
      <c r="X233" s="1">
        <v>8</v>
      </c>
      <c r="Y233" s="1">
        <v>9</v>
      </c>
    </row>
    <row r="234" spans="1:25" x14ac:dyDescent="0.3">
      <c r="A234" s="2">
        <v>43667</v>
      </c>
      <c r="B234" s="1">
        <v>12</v>
      </c>
      <c r="C234" s="1">
        <v>15</v>
      </c>
      <c r="D234" s="1">
        <v>11</v>
      </c>
      <c r="E234" s="1">
        <v>6</v>
      </c>
      <c r="F234" s="1">
        <v>8</v>
      </c>
      <c r="G234" s="1">
        <v>3</v>
      </c>
      <c r="H234" s="1">
        <v>6</v>
      </c>
      <c r="I234" s="1">
        <v>10</v>
      </c>
      <c r="J234" s="1">
        <v>15</v>
      </c>
      <c r="K234" s="1">
        <v>23</v>
      </c>
      <c r="L234" s="1">
        <v>18</v>
      </c>
      <c r="M234" s="1">
        <v>31</v>
      </c>
      <c r="N234" s="1">
        <v>23</v>
      </c>
      <c r="O234" s="1">
        <v>23</v>
      </c>
      <c r="P234" s="1">
        <v>27</v>
      </c>
      <c r="Q234" s="1">
        <v>29</v>
      </c>
      <c r="R234" s="1">
        <v>28</v>
      </c>
      <c r="S234" s="1">
        <v>35</v>
      </c>
      <c r="T234" s="1">
        <v>19</v>
      </c>
      <c r="U234" s="1">
        <v>23</v>
      </c>
      <c r="V234" s="1">
        <v>28</v>
      </c>
      <c r="W234" s="1">
        <v>15</v>
      </c>
      <c r="X234" s="1">
        <v>15</v>
      </c>
      <c r="Y234" s="1">
        <v>19</v>
      </c>
    </row>
    <row r="235" spans="1:25" x14ac:dyDescent="0.3">
      <c r="A235" s="2">
        <v>43668</v>
      </c>
      <c r="B235" s="1">
        <v>11</v>
      </c>
      <c r="C235" s="1">
        <v>3</v>
      </c>
      <c r="D235" s="1">
        <v>5</v>
      </c>
      <c r="E235" s="1">
        <v>5</v>
      </c>
      <c r="F235" s="1">
        <v>1</v>
      </c>
      <c r="G235" s="1">
        <v>13</v>
      </c>
      <c r="H235" s="1">
        <v>7</v>
      </c>
      <c r="I235" s="1">
        <v>27</v>
      </c>
      <c r="J235" s="1">
        <v>18</v>
      </c>
      <c r="K235" s="1">
        <v>21</v>
      </c>
      <c r="L235" s="1">
        <v>25</v>
      </c>
      <c r="M235" s="1">
        <v>30</v>
      </c>
      <c r="N235" s="1">
        <v>35</v>
      </c>
      <c r="O235" s="1">
        <v>25</v>
      </c>
      <c r="P235" s="1">
        <v>21</v>
      </c>
      <c r="Q235" s="1">
        <v>38</v>
      </c>
      <c r="R235" s="1">
        <v>37</v>
      </c>
      <c r="S235" s="1">
        <v>54</v>
      </c>
      <c r="T235" s="1">
        <v>30</v>
      </c>
      <c r="U235" s="1">
        <v>12</v>
      </c>
      <c r="V235" s="1">
        <v>24</v>
      </c>
      <c r="W235" s="1">
        <v>17</v>
      </c>
      <c r="X235" s="1">
        <v>15</v>
      </c>
      <c r="Y235" s="1">
        <v>11</v>
      </c>
    </row>
    <row r="236" spans="1:25" x14ac:dyDescent="0.3">
      <c r="A236" s="2">
        <v>43669</v>
      </c>
      <c r="B236" s="1">
        <v>8</v>
      </c>
      <c r="C236" s="1">
        <v>9</v>
      </c>
      <c r="D236" s="1">
        <v>8</v>
      </c>
      <c r="E236" s="1">
        <v>2</v>
      </c>
      <c r="F236" s="1">
        <v>6</v>
      </c>
      <c r="G236" s="1">
        <v>7</v>
      </c>
      <c r="H236" s="1">
        <v>19</v>
      </c>
      <c r="I236" s="1">
        <v>18</v>
      </c>
      <c r="J236" s="1">
        <v>21</v>
      </c>
      <c r="K236" s="1">
        <v>30</v>
      </c>
      <c r="L236" s="1">
        <v>24</v>
      </c>
      <c r="M236" s="1">
        <v>27</v>
      </c>
      <c r="N236" s="1">
        <v>31</v>
      </c>
      <c r="O236" s="1">
        <v>19</v>
      </c>
      <c r="P236" s="1">
        <v>24</v>
      </c>
      <c r="Q236" s="1">
        <v>14</v>
      </c>
      <c r="R236" s="1">
        <v>22</v>
      </c>
      <c r="S236" s="1">
        <v>33</v>
      </c>
      <c r="T236" s="1">
        <v>16</v>
      </c>
      <c r="U236" s="1">
        <v>17</v>
      </c>
      <c r="V236" s="1">
        <v>14</v>
      </c>
      <c r="W236" s="1">
        <v>15</v>
      </c>
      <c r="X236" s="1">
        <v>18</v>
      </c>
      <c r="Y236" s="1">
        <v>9</v>
      </c>
    </row>
    <row r="237" spans="1:25" x14ac:dyDescent="0.3">
      <c r="A237" s="2">
        <v>43670</v>
      </c>
      <c r="B237" s="1">
        <v>8</v>
      </c>
      <c r="C237" s="1">
        <v>9</v>
      </c>
      <c r="D237" s="1">
        <v>8</v>
      </c>
      <c r="E237" s="1">
        <v>7</v>
      </c>
      <c r="F237" s="1">
        <v>2</v>
      </c>
      <c r="G237" s="1">
        <v>10</v>
      </c>
      <c r="H237" s="1">
        <v>21</v>
      </c>
      <c r="I237" s="1">
        <v>18</v>
      </c>
      <c r="J237" s="1">
        <v>21</v>
      </c>
      <c r="K237" s="1">
        <v>21</v>
      </c>
      <c r="L237" s="1">
        <v>20</v>
      </c>
      <c r="M237" s="1">
        <v>19</v>
      </c>
      <c r="N237" s="1">
        <v>25</v>
      </c>
      <c r="O237" s="1">
        <v>19</v>
      </c>
      <c r="P237" s="1">
        <v>31</v>
      </c>
      <c r="Q237" s="1">
        <v>37</v>
      </c>
      <c r="R237" s="1">
        <v>26</v>
      </c>
      <c r="S237" s="1">
        <v>39</v>
      </c>
      <c r="T237" s="1">
        <v>20</v>
      </c>
      <c r="U237" s="1">
        <v>19</v>
      </c>
      <c r="V237" s="1">
        <v>11</v>
      </c>
      <c r="W237" s="1">
        <v>12</v>
      </c>
      <c r="X237" s="1">
        <v>11</v>
      </c>
      <c r="Y237" s="1">
        <v>11</v>
      </c>
    </row>
    <row r="238" spans="1:25" x14ac:dyDescent="0.3">
      <c r="A238" s="2">
        <v>43671</v>
      </c>
      <c r="B238" s="1">
        <v>5</v>
      </c>
      <c r="C238" s="1">
        <v>5</v>
      </c>
      <c r="D238" s="1">
        <v>3</v>
      </c>
      <c r="E238" s="1">
        <v>3</v>
      </c>
      <c r="F238" s="1">
        <v>9</v>
      </c>
      <c r="G238" s="1">
        <v>6</v>
      </c>
      <c r="H238" s="1">
        <v>8</v>
      </c>
      <c r="I238" s="1">
        <v>21</v>
      </c>
      <c r="J238" s="1">
        <v>18</v>
      </c>
      <c r="K238" s="1">
        <v>29</v>
      </c>
      <c r="L238" s="1">
        <v>34</v>
      </c>
      <c r="M238" s="1">
        <v>16</v>
      </c>
      <c r="N238" s="1">
        <v>40</v>
      </c>
      <c r="O238" s="1">
        <v>29</v>
      </c>
      <c r="P238" s="1">
        <v>25</v>
      </c>
      <c r="Q238" s="1">
        <v>34</v>
      </c>
      <c r="R238" s="1">
        <v>25</v>
      </c>
      <c r="S238" s="1">
        <v>33</v>
      </c>
      <c r="T238" s="1">
        <v>23</v>
      </c>
      <c r="U238" s="1">
        <v>21</v>
      </c>
      <c r="V238" s="1">
        <v>15</v>
      </c>
      <c r="W238" s="1">
        <v>17</v>
      </c>
      <c r="X238" s="1">
        <v>7</v>
      </c>
      <c r="Y238" s="1">
        <v>7</v>
      </c>
    </row>
    <row r="239" spans="1:25" x14ac:dyDescent="0.3">
      <c r="A239" s="2">
        <v>43672</v>
      </c>
      <c r="B239" s="1">
        <v>12</v>
      </c>
      <c r="C239" s="1">
        <v>3</v>
      </c>
      <c r="D239" s="1">
        <v>6</v>
      </c>
      <c r="E239" s="1">
        <v>6</v>
      </c>
      <c r="F239" s="1">
        <v>10</v>
      </c>
      <c r="G239" s="1">
        <v>4</v>
      </c>
      <c r="H239" s="1">
        <v>8</v>
      </c>
      <c r="I239" s="1">
        <v>13</v>
      </c>
      <c r="J239" s="1">
        <v>24</v>
      </c>
      <c r="K239" s="1">
        <v>18</v>
      </c>
      <c r="L239" s="1">
        <v>32</v>
      </c>
      <c r="M239" s="1">
        <v>25</v>
      </c>
      <c r="N239" s="1">
        <v>24</v>
      </c>
      <c r="O239" s="1">
        <v>26</v>
      </c>
      <c r="P239" s="1">
        <v>28</v>
      </c>
      <c r="Q239" s="1">
        <v>23</v>
      </c>
      <c r="R239" s="1">
        <v>33</v>
      </c>
      <c r="S239" s="1">
        <v>30</v>
      </c>
      <c r="T239" s="1">
        <v>27</v>
      </c>
      <c r="U239" s="1">
        <v>13</v>
      </c>
      <c r="V239" s="1">
        <v>20</v>
      </c>
      <c r="W239" s="1">
        <v>17</v>
      </c>
      <c r="X239" s="1">
        <v>16</v>
      </c>
      <c r="Y239" s="1">
        <v>14</v>
      </c>
    </row>
    <row r="240" spans="1:25" x14ac:dyDescent="0.3">
      <c r="A240" s="2">
        <v>43673</v>
      </c>
      <c r="B240" s="1">
        <v>10</v>
      </c>
      <c r="C240" s="1">
        <v>7</v>
      </c>
      <c r="D240" s="1">
        <v>12</v>
      </c>
      <c r="E240" s="1">
        <v>3</v>
      </c>
      <c r="F240" s="1">
        <v>5</v>
      </c>
      <c r="G240" s="1">
        <v>6</v>
      </c>
      <c r="H240" s="1">
        <v>11</v>
      </c>
      <c r="I240" s="1">
        <v>8</v>
      </c>
      <c r="J240" s="1">
        <v>16</v>
      </c>
      <c r="K240" s="1">
        <v>24</v>
      </c>
      <c r="L240" s="1">
        <v>21</v>
      </c>
      <c r="M240" s="1">
        <v>15</v>
      </c>
      <c r="N240" s="1">
        <v>19</v>
      </c>
      <c r="O240" s="1">
        <v>21</v>
      </c>
      <c r="P240" s="1">
        <v>22</v>
      </c>
      <c r="Q240" s="1">
        <v>29</v>
      </c>
      <c r="R240" s="1">
        <v>15</v>
      </c>
      <c r="S240" s="1">
        <v>25</v>
      </c>
      <c r="T240" s="1">
        <v>28</v>
      </c>
      <c r="U240" s="1">
        <v>23</v>
      </c>
      <c r="V240" s="1">
        <v>4</v>
      </c>
      <c r="W240" s="1">
        <v>17</v>
      </c>
      <c r="X240" s="1">
        <v>7</v>
      </c>
      <c r="Y240" s="1">
        <v>9</v>
      </c>
    </row>
    <row r="241" spans="1:25" x14ac:dyDescent="0.3">
      <c r="A241" s="2">
        <v>43674</v>
      </c>
      <c r="B241" s="1">
        <v>6</v>
      </c>
      <c r="C241" s="1">
        <v>2</v>
      </c>
      <c r="D241" s="1">
        <v>8</v>
      </c>
      <c r="E241" s="1">
        <v>5</v>
      </c>
      <c r="F241" s="1">
        <v>3</v>
      </c>
      <c r="G241" s="1">
        <v>13</v>
      </c>
      <c r="H241" s="1">
        <v>6</v>
      </c>
      <c r="I241" s="1">
        <v>13</v>
      </c>
      <c r="J241" s="1">
        <v>11</v>
      </c>
      <c r="K241" s="1">
        <v>14</v>
      </c>
      <c r="L241" s="1">
        <v>15</v>
      </c>
      <c r="M241" s="1">
        <v>14</v>
      </c>
      <c r="N241" s="1">
        <v>15</v>
      </c>
      <c r="O241" s="1">
        <v>28</v>
      </c>
      <c r="P241" s="1">
        <v>27</v>
      </c>
      <c r="Q241" s="1">
        <v>27</v>
      </c>
      <c r="R241" s="1">
        <v>20</v>
      </c>
      <c r="S241" s="1">
        <v>23</v>
      </c>
      <c r="T241" s="1">
        <v>19</v>
      </c>
      <c r="U241" s="1">
        <v>12</v>
      </c>
      <c r="V241" s="1">
        <v>15</v>
      </c>
      <c r="W241" s="1">
        <v>20</v>
      </c>
      <c r="X241" s="1">
        <v>13</v>
      </c>
      <c r="Y241" s="1">
        <v>16</v>
      </c>
    </row>
    <row r="242" spans="1:25" x14ac:dyDescent="0.3">
      <c r="A242" s="2">
        <v>43675</v>
      </c>
      <c r="B242" s="1">
        <v>10</v>
      </c>
      <c r="C242" s="1">
        <v>13</v>
      </c>
      <c r="D242" s="1">
        <v>6</v>
      </c>
      <c r="E242" s="1">
        <v>5</v>
      </c>
      <c r="F242" s="1">
        <v>2</v>
      </c>
      <c r="G242" s="1">
        <v>7</v>
      </c>
      <c r="H242" s="1">
        <v>9</v>
      </c>
      <c r="I242" s="1">
        <v>12</v>
      </c>
      <c r="J242" s="1">
        <v>24</v>
      </c>
      <c r="K242" s="1">
        <v>33</v>
      </c>
      <c r="L242" s="1">
        <v>31</v>
      </c>
      <c r="M242" s="1">
        <v>21</v>
      </c>
      <c r="N242" s="1">
        <v>18</v>
      </c>
      <c r="O242" s="1">
        <v>31</v>
      </c>
      <c r="P242" s="1">
        <v>23</v>
      </c>
      <c r="Q242" s="1">
        <v>16</v>
      </c>
      <c r="R242" s="1">
        <v>32</v>
      </c>
      <c r="S242" s="1">
        <v>43</v>
      </c>
      <c r="T242" s="1">
        <v>19</v>
      </c>
      <c r="U242" s="1">
        <v>24</v>
      </c>
      <c r="V242" s="1">
        <v>13</v>
      </c>
      <c r="W242" s="1">
        <v>11</v>
      </c>
      <c r="X242" s="1">
        <v>10</v>
      </c>
      <c r="Y242" s="1">
        <v>5</v>
      </c>
    </row>
    <row r="243" spans="1:25" x14ac:dyDescent="0.3">
      <c r="A243" s="2">
        <v>43676</v>
      </c>
      <c r="B243" s="1">
        <v>4</v>
      </c>
      <c r="C243" s="1">
        <v>8</v>
      </c>
      <c r="D243" s="1">
        <v>4</v>
      </c>
      <c r="E243" s="1">
        <v>5</v>
      </c>
      <c r="F243" s="1">
        <v>7</v>
      </c>
      <c r="G243" s="1">
        <v>4</v>
      </c>
      <c r="H243" s="1">
        <v>15</v>
      </c>
      <c r="I243" s="1">
        <v>12</v>
      </c>
      <c r="J243" s="1">
        <v>35</v>
      </c>
      <c r="K243" s="1">
        <v>30</v>
      </c>
      <c r="L243" s="1">
        <v>23</v>
      </c>
      <c r="M243" s="1">
        <v>20</v>
      </c>
      <c r="N243" s="1">
        <v>31</v>
      </c>
      <c r="O243" s="1">
        <v>30</v>
      </c>
      <c r="P243" s="1">
        <v>17</v>
      </c>
      <c r="Q243" s="1">
        <v>27</v>
      </c>
      <c r="R243" s="1">
        <v>31</v>
      </c>
      <c r="S243" s="1">
        <v>38</v>
      </c>
      <c r="T243" s="1">
        <v>17</v>
      </c>
      <c r="U243" s="1">
        <v>24</v>
      </c>
      <c r="V243" s="1">
        <v>12</v>
      </c>
      <c r="W243" s="1">
        <v>21</v>
      </c>
      <c r="X243" s="1">
        <v>14</v>
      </c>
      <c r="Y243" s="1">
        <v>7</v>
      </c>
    </row>
    <row r="244" spans="1:25" x14ac:dyDescent="0.3">
      <c r="A244" s="2">
        <v>43677</v>
      </c>
      <c r="B244" s="1">
        <v>6</v>
      </c>
      <c r="C244" s="1">
        <v>5</v>
      </c>
      <c r="D244" s="1">
        <v>7</v>
      </c>
      <c r="E244" s="1">
        <v>7</v>
      </c>
      <c r="F244" s="1">
        <v>5</v>
      </c>
      <c r="G244" s="1">
        <v>9</v>
      </c>
      <c r="H244" s="1">
        <v>15</v>
      </c>
      <c r="I244" s="1">
        <v>17</v>
      </c>
      <c r="J244" s="1">
        <v>23</v>
      </c>
      <c r="K244" s="1">
        <v>21</v>
      </c>
      <c r="L244" s="1">
        <v>25</v>
      </c>
      <c r="M244" s="1">
        <v>26</v>
      </c>
      <c r="N244" s="1">
        <v>18</v>
      </c>
      <c r="O244" s="1">
        <v>24</v>
      </c>
      <c r="P244" s="1">
        <v>31</v>
      </c>
      <c r="Q244" s="1">
        <v>39</v>
      </c>
      <c r="R244" s="1">
        <v>42</v>
      </c>
      <c r="S244" s="1">
        <v>37</v>
      </c>
      <c r="T244" s="1">
        <v>29</v>
      </c>
      <c r="U244" s="1">
        <v>15</v>
      </c>
      <c r="V244" s="1">
        <v>13</v>
      </c>
      <c r="W244" s="1">
        <v>8</v>
      </c>
      <c r="X244" s="1">
        <v>7</v>
      </c>
      <c r="Y244" s="1">
        <v>11</v>
      </c>
    </row>
    <row r="245" spans="1:25" x14ac:dyDescent="0.3">
      <c r="A245" s="2">
        <v>43678</v>
      </c>
      <c r="B245" s="1">
        <v>5</v>
      </c>
      <c r="C245" s="1">
        <v>3</v>
      </c>
      <c r="D245" s="1">
        <v>10</v>
      </c>
      <c r="E245" s="1">
        <v>5</v>
      </c>
      <c r="F245" s="1">
        <v>3</v>
      </c>
      <c r="G245" s="1">
        <v>8</v>
      </c>
      <c r="H245" s="1">
        <v>11</v>
      </c>
      <c r="I245" s="1">
        <v>21</v>
      </c>
      <c r="J245" s="1">
        <v>23</v>
      </c>
      <c r="K245" s="1">
        <v>37</v>
      </c>
      <c r="L245" s="1">
        <v>26</v>
      </c>
      <c r="M245" s="1">
        <v>29</v>
      </c>
      <c r="N245" s="1">
        <v>38</v>
      </c>
      <c r="O245" s="1">
        <v>27</v>
      </c>
      <c r="P245" s="1">
        <v>29</v>
      </c>
      <c r="Q245" s="1">
        <v>29</v>
      </c>
      <c r="R245" s="1">
        <v>36</v>
      </c>
      <c r="S245" s="1">
        <v>28</v>
      </c>
      <c r="T245" s="1">
        <v>24</v>
      </c>
      <c r="U245" s="1">
        <v>15</v>
      </c>
      <c r="V245" s="1">
        <v>19</v>
      </c>
      <c r="W245" s="1">
        <v>18</v>
      </c>
      <c r="X245" s="1">
        <v>18</v>
      </c>
      <c r="Y245" s="1">
        <v>10</v>
      </c>
    </row>
    <row r="246" spans="1:25" x14ac:dyDescent="0.3">
      <c r="A246" s="2">
        <v>43679</v>
      </c>
      <c r="B246" s="1">
        <v>6</v>
      </c>
      <c r="C246" s="1">
        <v>7</v>
      </c>
      <c r="D246" s="1">
        <v>6</v>
      </c>
      <c r="E246" s="1">
        <v>4</v>
      </c>
      <c r="F246" s="1">
        <v>4</v>
      </c>
      <c r="G246" s="1">
        <v>8</v>
      </c>
      <c r="H246" s="1">
        <v>15</v>
      </c>
      <c r="I246" s="1">
        <v>12</v>
      </c>
      <c r="J246" s="1">
        <v>10</v>
      </c>
      <c r="K246" s="1">
        <v>20</v>
      </c>
      <c r="L246" s="1">
        <v>24</v>
      </c>
      <c r="M246" s="1">
        <v>15</v>
      </c>
      <c r="N246" s="1">
        <v>29</v>
      </c>
      <c r="O246" s="1">
        <v>24</v>
      </c>
      <c r="P246" s="1">
        <v>18</v>
      </c>
      <c r="Q246" s="1">
        <v>30</v>
      </c>
      <c r="R246" s="1">
        <v>20</v>
      </c>
      <c r="S246" s="1">
        <v>26</v>
      </c>
      <c r="T246" s="1">
        <v>35</v>
      </c>
      <c r="U246" s="1">
        <v>17</v>
      </c>
      <c r="V246" s="1">
        <v>17</v>
      </c>
      <c r="W246" s="1">
        <v>19</v>
      </c>
      <c r="X246" s="1">
        <v>9</v>
      </c>
      <c r="Y246" s="1">
        <v>5</v>
      </c>
    </row>
    <row r="247" spans="1:25" x14ac:dyDescent="0.3">
      <c r="A247" s="2">
        <v>43680</v>
      </c>
      <c r="B247" s="1">
        <v>11</v>
      </c>
      <c r="C247" s="1">
        <v>8</v>
      </c>
      <c r="D247" s="1">
        <v>9</v>
      </c>
      <c r="E247" s="1">
        <v>10</v>
      </c>
      <c r="F247" s="1">
        <v>7</v>
      </c>
      <c r="G247" s="1">
        <v>6</v>
      </c>
      <c r="H247" s="1">
        <v>9</v>
      </c>
      <c r="I247" s="1">
        <v>13</v>
      </c>
      <c r="J247" s="1">
        <v>14</v>
      </c>
      <c r="K247" s="1">
        <v>21</v>
      </c>
      <c r="L247" s="1">
        <v>23</v>
      </c>
      <c r="M247" s="1">
        <v>17</v>
      </c>
      <c r="N247" s="1">
        <v>13</v>
      </c>
      <c r="O247" s="1">
        <v>22</v>
      </c>
      <c r="P247" s="1">
        <v>16</v>
      </c>
      <c r="Q247" s="1">
        <v>30</v>
      </c>
      <c r="R247" s="1">
        <v>19</v>
      </c>
      <c r="S247" s="1">
        <v>22</v>
      </c>
      <c r="T247" s="1">
        <v>15</v>
      </c>
      <c r="U247" s="1">
        <v>17</v>
      </c>
      <c r="V247" s="1">
        <v>16</v>
      </c>
      <c r="W247" s="1">
        <v>12</v>
      </c>
      <c r="X247" s="1">
        <v>10</v>
      </c>
      <c r="Y247" s="1">
        <v>12</v>
      </c>
    </row>
    <row r="248" spans="1:25" x14ac:dyDescent="0.3">
      <c r="A248" s="2">
        <v>43681</v>
      </c>
      <c r="B248" s="1">
        <v>6</v>
      </c>
      <c r="C248" s="1">
        <v>13</v>
      </c>
      <c r="D248" s="1">
        <v>8</v>
      </c>
      <c r="E248" s="1">
        <v>5</v>
      </c>
      <c r="F248" s="1">
        <v>16</v>
      </c>
      <c r="G248" s="1">
        <v>4</v>
      </c>
      <c r="H248" s="1">
        <v>9</v>
      </c>
      <c r="I248" s="1">
        <v>10</v>
      </c>
      <c r="J248" s="1">
        <v>11</v>
      </c>
      <c r="K248" s="1">
        <v>13</v>
      </c>
      <c r="L248" s="1">
        <v>6</v>
      </c>
      <c r="M248" s="1">
        <v>24</v>
      </c>
      <c r="N248" s="1">
        <v>23</v>
      </c>
      <c r="O248" s="1">
        <v>21</v>
      </c>
      <c r="P248" s="1">
        <v>19</v>
      </c>
      <c r="Q248" s="1">
        <v>22</v>
      </c>
      <c r="R248" s="1">
        <v>17</v>
      </c>
      <c r="S248" s="1">
        <v>16</v>
      </c>
      <c r="T248" s="1">
        <v>16</v>
      </c>
      <c r="U248" s="1">
        <v>20</v>
      </c>
      <c r="V248" s="1">
        <v>20</v>
      </c>
      <c r="W248" s="1">
        <v>17</v>
      </c>
      <c r="X248" s="1">
        <v>6</v>
      </c>
      <c r="Y248" s="1">
        <v>9</v>
      </c>
    </row>
    <row r="249" spans="1:25" x14ac:dyDescent="0.3">
      <c r="A249" s="2">
        <v>43682</v>
      </c>
      <c r="B249" s="1">
        <v>11</v>
      </c>
      <c r="C249" s="1">
        <v>8</v>
      </c>
      <c r="D249" s="1">
        <v>5</v>
      </c>
      <c r="E249" s="1">
        <v>2</v>
      </c>
      <c r="F249" s="1">
        <v>3</v>
      </c>
      <c r="G249" s="1">
        <v>5</v>
      </c>
      <c r="H249" s="1">
        <v>12</v>
      </c>
      <c r="I249" s="1">
        <v>25</v>
      </c>
      <c r="J249" s="1">
        <v>21</v>
      </c>
      <c r="K249" s="1">
        <v>23</v>
      </c>
      <c r="L249" s="1">
        <v>18</v>
      </c>
      <c r="M249" s="1">
        <v>23</v>
      </c>
      <c r="N249" s="1">
        <v>14</v>
      </c>
      <c r="O249" s="1">
        <v>30</v>
      </c>
      <c r="P249" s="1">
        <v>15</v>
      </c>
      <c r="Q249" s="1">
        <v>20</v>
      </c>
      <c r="R249" s="1">
        <v>23</v>
      </c>
      <c r="S249" s="1">
        <v>32</v>
      </c>
      <c r="T249" s="1">
        <v>23</v>
      </c>
      <c r="U249" s="1">
        <v>19</v>
      </c>
      <c r="V249" s="1">
        <v>13</v>
      </c>
      <c r="W249" s="1">
        <v>16</v>
      </c>
      <c r="X249" s="1">
        <v>9</v>
      </c>
      <c r="Y249" s="1">
        <v>17</v>
      </c>
    </row>
    <row r="250" spans="1:25" x14ac:dyDescent="0.3">
      <c r="A250" s="2">
        <v>43683</v>
      </c>
      <c r="B250" s="1">
        <v>7</v>
      </c>
      <c r="C250" s="1">
        <v>4</v>
      </c>
      <c r="D250" s="1">
        <v>3</v>
      </c>
      <c r="E250" s="1">
        <v>5</v>
      </c>
      <c r="F250" s="1">
        <v>5</v>
      </c>
      <c r="G250" s="1">
        <v>13</v>
      </c>
      <c r="H250" s="1">
        <v>6</v>
      </c>
      <c r="I250" s="1">
        <v>17</v>
      </c>
      <c r="J250" s="1">
        <v>19</v>
      </c>
      <c r="K250" s="1">
        <v>23</v>
      </c>
      <c r="L250" s="1">
        <v>16</v>
      </c>
      <c r="M250" s="1">
        <v>24</v>
      </c>
      <c r="N250" s="1">
        <v>37</v>
      </c>
      <c r="O250" s="1">
        <v>39</v>
      </c>
      <c r="P250" s="1">
        <v>35</v>
      </c>
      <c r="Q250" s="1">
        <v>33</v>
      </c>
      <c r="R250" s="1">
        <v>19</v>
      </c>
      <c r="S250" s="1">
        <v>29</v>
      </c>
      <c r="T250" s="1">
        <v>21</v>
      </c>
      <c r="U250" s="1">
        <v>19</v>
      </c>
      <c r="V250" s="1">
        <v>16</v>
      </c>
      <c r="W250" s="1">
        <v>16</v>
      </c>
      <c r="X250" s="1">
        <v>12</v>
      </c>
      <c r="Y250" s="1">
        <v>5</v>
      </c>
    </row>
    <row r="251" spans="1:25" x14ac:dyDescent="0.3">
      <c r="A251" s="2">
        <v>43684</v>
      </c>
      <c r="B251" s="1">
        <v>6</v>
      </c>
      <c r="C251" s="1">
        <v>9</v>
      </c>
      <c r="D251" s="1">
        <v>5</v>
      </c>
      <c r="E251" s="1">
        <v>5</v>
      </c>
      <c r="F251" s="1">
        <v>7</v>
      </c>
      <c r="G251" s="1">
        <v>10</v>
      </c>
      <c r="H251" s="1">
        <v>6</v>
      </c>
      <c r="I251" s="1">
        <v>9</v>
      </c>
      <c r="J251" s="1">
        <v>27</v>
      </c>
      <c r="K251" s="1">
        <v>23</v>
      </c>
      <c r="L251" s="1">
        <v>27</v>
      </c>
      <c r="M251" s="1">
        <v>23</v>
      </c>
      <c r="N251" s="1">
        <v>31</v>
      </c>
      <c r="O251" s="1">
        <v>30</v>
      </c>
      <c r="P251" s="1">
        <v>31</v>
      </c>
      <c r="Q251" s="1">
        <v>55</v>
      </c>
      <c r="R251" s="1">
        <v>57</v>
      </c>
      <c r="S251" s="1">
        <v>76</v>
      </c>
      <c r="T251" s="1">
        <v>53</v>
      </c>
      <c r="U251" s="1">
        <v>26</v>
      </c>
      <c r="V251" s="1">
        <v>21</v>
      </c>
      <c r="W251" s="1">
        <v>27</v>
      </c>
      <c r="X251" s="1">
        <v>12</v>
      </c>
      <c r="Y251" s="1">
        <v>6</v>
      </c>
    </row>
    <row r="252" spans="1:25" x14ac:dyDescent="0.3">
      <c r="A252" s="2">
        <v>43685</v>
      </c>
      <c r="B252" s="1">
        <v>8</v>
      </c>
      <c r="C252" s="1">
        <v>11</v>
      </c>
      <c r="D252" s="1">
        <v>3</v>
      </c>
      <c r="E252" s="1">
        <v>8</v>
      </c>
      <c r="F252" s="1">
        <v>4</v>
      </c>
      <c r="G252" s="1">
        <v>10</v>
      </c>
      <c r="H252" s="1">
        <v>10</v>
      </c>
      <c r="I252" s="1">
        <v>22</v>
      </c>
      <c r="J252" s="1">
        <v>21</v>
      </c>
      <c r="K252" s="1">
        <v>17</v>
      </c>
      <c r="L252" s="1">
        <v>34</v>
      </c>
      <c r="M252" s="1">
        <v>28</v>
      </c>
      <c r="N252" s="1">
        <v>25</v>
      </c>
      <c r="O252" s="1">
        <v>27</v>
      </c>
      <c r="P252" s="1">
        <v>23</v>
      </c>
      <c r="Q252" s="1">
        <v>42</v>
      </c>
      <c r="R252" s="1">
        <v>30</v>
      </c>
      <c r="S252" s="1">
        <v>26</v>
      </c>
      <c r="T252" s="1">
        <v>15</v>
      </c>
      <c r="U252" s="1">
        <v>26</v>
      </c>
      <c r="V252" s="1">
        <v>24</v>
      </c>
      <c r="W252" s="1">
        <v>11</v>
      </c>
      <c r="X252" s="1">
        <v>12</v>
      </c>
      <c r="Y252" s="1">
        <v>13</v>
      </c>
    </row>
    <row r="253" spans="1:25" x14ac:dyDescent="0.3">
      <c r="A253" s="2">
        <v>43686</v>
      </c>
      <c r="B253" s="1">
        <v>8</v>
      </c>
      <c r="C253" s="1">
        <v>7</v>
      </c>
      <c r="D253" s="1">
        <v>10</v>
      </c>
      <c r="E253" s="1">
        <v>2</v>
      </c>
      <c r="F253" s="1">
        <v>6</v>
      </c>
      <c r="G253" s="1">
        <v>4</v>
      </c>
      <c r="H253" s="1">
        <v>8</v>
      </c>
      <c r="I253" s="1">
        <v>23</v>
      </c>
      <c r="J253" s="1">
        <v>19</v>
      </c>
      <c r="K253" s="1">
        <v>13</v>
      </c>
      <c r="L253" s="1">
        <v>21</v>
      </c>
      <c r="M253" s="1">
        <v>23</v>
      </c>
      <c r="N253" s="1">
        <v>26</v>
      </c>
      <c r="O253" s="1">
        <v>29</v>
      </c>
      <c r="P253" s="1">
        <v>31</v>
      </c>
      <c r="Q253" s="1">
        <v>31</v>
      </c>
      <c r="R253" s="1">
        <v>24</v>
      </c>
      <c r="S253" s="1">
        <v>34</v>
      </c>
      <c r="T253" s="1">
        <v>29</v>
      </c>
      <c r="U253" s="1">
        <v>26</v>
      </c>
      <c r="V253" s="1">
        <v>22</v>
      </c>
      <c r="W253" s="1">
        <v>23</v>
      </c>
      <c r="X253" s="1">
        <v>13</v>
      </c>
      <c r="Y253" s="1">
        <v>8</v>
      </c>
    </row>
    <row r="254" spans="1:25" x14ac:dyDescent="0.3">
      <c r="A254" s="2">
        <v>43687</v>
      </c>
      <c r="B254" s="1">
        <v>16</v>
      </c>
      <c r="C254" s="1">
        <v>6</v>
      </c>
      <c r="D254" s="1">
        <v>4</v>
      </c>
      <c r="E254" s="1">
        <v>10</v>
      </c>
      <c r="F254" s="1">
        <v>6</v>
      </c>
      <c r="G254" s="1">
        <v>7</v>
      </c>
      <c r="H254" s="1">
        <v>9</v>
      </c>
      <c r="I254" s="1">
        <v>9</v>
      </c>
      <c r="J254" s="1">
        <v>19</v>
      </c>
      <c r="K254" s="1">
        <v>24</v>
      </c>
      <c r="L254" s="1">
        <v>24</v>
      </c>
      <c r="M254" s="1">
        <v>21</v>
      </c>
      <c r="N254" s="1">
        <v>13</v>
      </c>
      <c r="O254" s="1">
        <v>29</v>
      </c>
      <c r="P254" s="1">
        <v>22</v>
      </c>
      <c r="Q254" s="1">
        <v>23</v>
      </c>
      <c r="R254" s="1">
        <v>22</v>
      </c>
      <c r="S254" s="1">
        <v>22</v>
      </c>
      <c r="T254" s="1">
        <v>29</v>
      </c>
      <c r="U254" s="1">
        <v>20</v>
      </c>
      <c r="V254" s="1">
        <v>26</v>
      </c>
      <c r="W254" s="1">
        <v>19</v>
      </c>
      <c r="X254" s="1">
        <v>14</v>
      </c>
      <c r="Y254" s="1">
        <v>15</v>
      </c>
    </row>
    <row r="255" spans="1:25" x14ac:dyDescent="0.3">
      <c r="A255" s="2">
        <v>43688</v>
      </c>
      <c r="B255" s="1">
        <v>4</v>
      </c>
      <c r="C255" s="1">
        <v>5</v>
      </c>
      <c r="D255" s="1">
        <v>11</v>
      </c>
      <c r="E255" s="1">
        <v>11</v>
      </c>
      <c r="F255" s="1">
        <v>6</v>
      </c>
      <c r="G255" s="1">
        <v>5</v>
      </c>
      <c r="H255" s="1">
        <v>7</v>
      </c>
      <c r="I255" s="1">
        <v>14</v>
      </c>
      <c r="J255" s="1">
        <v>7</v>
      </c>
      <c r="K255" s="1">
        <v>16</v>
      </c>
      <c r="L255" s="1">
        <v>19</v>
      </c>
      <c r="M255" s="1">
        <v>25</v>
      </c>
      <c r="N255" s="1">
        <v>12</v>
      </c>
      <c r="O255" s="1">
        <v>21</v>
      </c>
      <c r="P255" s="1">
        <v>21</v>
      </c>
      <c r="Q255" s="1">
        <v>20</v>
      </c>
      <c r="R255" s="1">
        <v>16</v>
      </c>
      <c r="S255" s="1">
        <v>11</v>
      </c>
      <c r="T255" s="1">
        <v>16</v>
      </c>
      <c r="U255" s="1">
        <v>18</v>
      </c>
      <c r="V255" s="1">
        <v>15</v>
      </c>
      <c r="W255" s="1">
        <v>14</v>
      </c>
      <c r="X255" s="1">
        <v>13</v>
      </c>
      <c r="Y255" s="1">
        <v>6</v>
      </c>
    </row>
    <row r="256" spans="1:25" x14ac:dyDescent="0.3">
      <c r="A256" s="2">
        <v>43689</v>
      </c>
      <c r="B256" s="1">
        <v>7</v>
      </c>
      <c r="C256" s="1">
        <v>5</v>
      </c>
      <c r="D256" s="1">
        <v>3</v>
      </c>
      <c r="E256" s="1">
        <v>4</v>
      </c>
      <c r="F256" s="1">
        <v>4</v>
      </c>
      <c r="G256" s="1">
        <v>12</v>
      </c>
      <c r="H256" s="1">
        <v>7</v>
      </c>
      <c r="I256" s="1">
        <v>18</v>
      </c>
      <c r="J256" s="1">
        <v>24</v>
      </c>
      <c r="K256" s="1">
        <v>26</v>
      </c>
      <c r="L256" s="1">
        <v>24</v>
      </c>
      <c r="M256" s="1">
        <v>30</v>
      </c>
      <c r="N256" s="1">
        <v>30</v>
      </c>
      <c r="O256" s="1">
        <v>29</v>
      </c>
      <c r="P256" s="1">
        <v>34</v>
      </c>
      <c r="Q256" s="1">
        <v>29</v>
      </c>
      <c r="R256" s="1">
        <v>21</v>
      </c>
      <c r="S256" s="1">
        <v>24</v>
      </c>
      <c r="T256" s="1">
        <v>25</v>
      </c>
      <c r="U256" s="1">
        <v>18</v>
      </c>
      <c r="V256" s="1">
        <v>23</v>
      </c>
      <c r="W256" s="1">
        <v>16</v>
      </c>
      <c r="X256" s="1">
        <v>8</v>
      </c>
      <c r="Y256" s="1">
        <v>4</v>
      </c>
    </row>
    <row r="257" spans="1:25" x14ac:dyDescent="0.3">
      <c r="A257" s="2">
        <v>43690</v>
      </c>
      <c r="B257" s="1">
        <v>5</v>
      </c>
      <c r="C257" s="1">
        <v>3</v>
      </c>
      <c r="D257" s="1">
        <v>11</v>
      </c>
      <c r="E257" s="1">
        <v>5</v>
      </c>
      <c r="F257" s="1">
        <v>3</v>
      </c>
      <c r="G257" s="1">
        <v>7</v>
      </c>
      <c r="H257" s="1">
        <v>11</v>
      </c>
      <c r="I257" s="1">
        <v>15</v>
      </c>
      <c r="J257" s="1">
        <v>25</v>
      </c>
      <c r="K257" s="1">
        <v>28</v>
      </c>
      <c r="L257" s="1">
        <v>35</v>
      </c>
      <c r="M257" s="1">
        <v>19</v>
      </c>
      <c r="N257" s="1">
        <v>18</v>
      </c>
      <c r="O257" s="1">
        <v>29</v>
      </c>
      <c r="P257" s="1">
        <v>26</v>
      </c>
      <c r="Q257" s="1">
        <v>18</v>
      </c>
      <c r="R257" s="1">
        <v>22</v>
      </c>
      <c r="S257" s="1">
        <v>35</v>
      </c>
      <c r="T257" s="1">
        <v>18</v>
      </c>
      <c r="U257" s="1">
        <v>14</v>
      </c>
      <c r="V257" s="1">
        <v>13</v>
      </c>
      <c r="W257" s="1">
        <v>17</v>
      </c>
      <c r="X257" s="1">
        <v>11</v>
      </c>
      <c r="Y257" s="1">
        <v>14</v>
      </c>
    </row>
    <row r="258" spans="1:25" x14ac:dyDescent="0.3">
      <c r="A258" s="2">
        <v>43691</v>
      </c>
      <c r="B258" s="1">
        <v>8</v>
      </c>
      <c r="C258" s="1">
        <v>6</v>
      </c>
      <c r="D258" s="1">
        <v>2</v>
      </c>
      <c r="E258" s="1">
        <v>4</v>
      </c>
      <c r="F258" s="1">
        <v>5</v>
      </c>
      <c r="G258" s="1">
        <v>2</v>
      </c>
      <c r="H258" s="1">
        <v>11</v>
      </c>
      <c r="I258" s="1">
        <v>24</v>
      </c>
      <c r="J258" s="1">
        <v>30</v>
      </c>
      <c r="K258" s="1">
        <v>21</v>
      </c>
      <c r="L258" s="1">
        <v>28</v>
      </c>
      <c r="M258" s="1">
        <v>27</v>
      </c>
      <c r="N258" s="1">
        <v>28</v>
      </c>
      <c r="O258" s="1">
        <v>23</v>
      </c>
      <c r="P258" s="1">
        <v>24</v>
      </c>
      <c r="Q258" s="1">
        <v>22</v>
      </c>
      <c r="R258" s="1">
        <v>26</v>
      </c>
      <c r="S258" s="1">
        <v>29</v>
      </c>
      <c r="T258" s="1">
        <v>22</v>
      </c>
      <c r="U258" s="1">
        <v>22</v>
      </c>
      <c r="V258" s="1">
        <v>30</v>
      </c>
      <c r="W258" s="1">
        <v>34</v>
      </c>
      <c r="X258" s="1">
        <v>7</v>
      </c>
      <c r="Y258" s="1">
        <v>12</v>
      </c>
    </row>
    <row r="259" spans="1:25" x14ac:dyDescent="0.3">
      <c r="A259" s="2">
        <v>43692</v>
      </c>
      <c r="B259" s="1">
        <v>10</v>
      </c>
      <c r="C259" s="1">
        <v>10</v>
      </c>
      <c r="D259" s="1">
        <v>7</v>
      </c>
      <c r="E259" s="1">
        <v>5</v>
      </c>
      <c r="F259" s="1">
        <v>3</v>
      </c>
      <c r="G259" s="1">
        <v>9</v>
      </c>
      <c r="H259" s="1">
        <v>20</v>
      </c>
      <c r="I259" s="1">
        <v>20</v>
      </c>
      <c r="J259" s="1">
        <v>20</v>
      </c>
      <c r="K259" s="1">
        <v>21</v>
      </c>
      <c r="L259" s="1">
        <v>26</v>
      </c>
      <c r="M259" s="1">
        <v>23</v>
      </c>
      <c r="N259" s="1">
        <v>31</v>
      </c>
      <c r="O259" s="1">
        <v>14</v>
      </c>
      <c r="P259" s="1">
        <v>31</v>
      </c>
      <c r="Q259" s="1">
        <v>37</v>
      </c>
      <c r="R259" s="1">
        <v>29</v>
      </c>
      <c r="S259" s="1">
        <v>30</v>
      </c>
      <c r="T259" s="1">
        <v>23</v>
      </c>
      <c r="U259" s="1">
        <v>9</v>
      </c>
      <c r="V259" s="1">
        <v>20</v>
      </c>
      <c r="W259" s="1">
        <v>12</v>
      </c>
      <c r="X259" s="1">
        <v>16</v>
      </c>
      <c r="Y259" s="1">
        <v>9</v>
      </c>
    </row>
    <row r="260" spans="1:25" x14ac:dyDescent="0.3">
      <c r="A260" s="2">
        <v>43693</v>
      </c>
      <c r="B260" s="1">
        <v>6</v>
      </c>
      <c r="C260" s="1">
        <v>4</v>
      </c>
      <c r="D260" s="1">
        <v>7</v>
      </c>
      <c r="E260" s="1">
        <v>7</v>
      </c>
      <c r="F260" s="1">
        <v>3</v>
      </c>
      <c r="G260" s="1">
        <v>2</v>
      </c>
      <c r="H260" s="1">
        <v>10</v>
      </c>
      <c r="I260" s="1">
        <v>9</v>
      </c>
      <c r="J260" s="1">
        <v>13</v>
      </c>
      <c r="K260" s="1">
        <v>24</v>
      </c>
      <c r="L260" s="1">
        <v>21</v>
      </c>
      <c r="M260" s="1">
        <v>18</v>
      </c>
      <c r="N260" s="1">
        <v>29</v>
      </c>
      <c r="O260" s="1">
        <v>21</v>
      </c>
      <c r="P260" s="1">
        <v>15</v>
      </c>
      <c r="Q260" s="1">
        <v>24</v>
      </c>
      <c r="R260" s="1">
        <v>21</v>
      </c>
      <c r="S260" s="1">
        <v>23</v>
      </c>
      <c r="T260" s="1">
        <v>21</v>
      </c>
      <c r="U260" s="1">
        <v>27</v>
      </c>
      <c r="V260" s="1">
        <v>14</v>
      </c>
      <c r="W260" s="1">
        <v>18</v>
      </c>
      <c r="X260" s="1">
        <v>18</v>
      </c>
      <c r="Y260" s="1">
        <v>14</v>
      </c>
    </row>
    <row r="261" spans="1:25" x14ac:dyDescent="0.3">
      <c r="A261" s="2">
        <v>43694</v>
      </c>
      <c r="B261" s="1">
        <v>10</v>
      </c>
      <c r="C261" s="1">
        <v>4</v>
      </c>
      <c r="D261" s="1">
        <v>5</v>
      </c>
      <c r="E261" s="1">
        <v>5</v>
      </c>
      <c r="F261" s="1">
        <v>7</v>
      </c>
      <c r="G261" s="1">
        <v>4</v>
      </c>
      <c r="H261" s="1">
        <v>6</v>
      </c>
      <c r="I261" s="1">
        <v>9</v>
      </c>
      <c r="J261" s="1">
        <v>15</v>
      </c>
      <c r="K261" s="1">
        <v>17</v>
      </c>
      <c r="L261" s="1">
        <v>19</v>
      </c>
      <c r="M261" s="1">
        <v>21</v>
      </c>
      <c r="N261" s="1">
        <v>20</v>
      </c>
      <c r="O261" s="1">
        <v>11</v>
      </c>
      <c r="P261" s="1">
        <v>25</v>
      </c>
      <c r="Q261" s="1">
        <v>21</v>
      </c>
      <c r="R261" s="1">
        <v>18</v>
      </c>
      <c r="S261" s="1">
        <v>17</v>
      </c>
      <c r="T261" s="1">
        <v>16</v>
      </c>
      <c r="U261" s="1">
        <v>11</v>
      </c>
      <c r="V261" s="1">
        <v>19</v>
      </c>
      <c r="W261" s="1">
        <v>8</v>
      </c>
      <c r="X261" s="1">
        <v>7</v>
      </c>
      <c r="Y261" s="1">
        <v>9</v>
      </c>
    </row>
    <row r="262" spans="1:25" x14ac:dyDescent="0.3">
      <c r="A262" s="2">
        <v>43695</v>
      </c>
      <c r="B262" s="1">
        <v>10</v>
      </c>
      <c r="C262" s="1">
        <v>16</v>
      </c>
      <c r="D262" s="1">
        <v>7</v>
      </c>
      <c r="E262" s="1">
        <v>8</v>
      </c>
      <c r="F262" s="1">
        <v>10</v>
      </c>
      <c r="G262" s="1">
        <v>2</v>
      </c>
      <c r="H262" s="1">
        <v>8</v>
      </c>
      <c r="I262" s="1">
        <v>8</v>
      </c>
      <c r="J262" s="1">
        <v>5</v>
      </c>
      <c r="K262" s="1">
        <v>7</v>
      </c>
      <c r="L262" s="1">
        <v>17</v>
      </c>
      <c r="M262" s="1">
        <v>24</v>
      </c>
      <c r="N262" s="1">
        <v>28</v>
      </c>
      <c r="O262" s="1">
        <v>21</v>
      </c>
      <c r="P262" s="1">
        <v>20</v>
      </c>
      <c r="Q262" s="1">
        <v>15</v>
      </c>
      <c r="R262" s="1">
        <v>21</v>
      </c>
      <c r="S262" s="1">
        <v>32</v>
      </c>
      <c r="T262" s="1">
        <v>25</v>
      </c>
      <c r="U262" s="1">
        <v>13</v>
      </c>
      <c r="V262" s="1">
        <v>20</v>
      </c>
      <c r="W262" s="1">
        <v>14</v>
      </c>
      <c r="X262" s="1">
        <v>4</v>
      </c>
      <c r="Y262" s="1">
        <v>10</v>
      </c>
    </row>
    <row r="263" spans="1:25" x14ac:dyDescent="0.3">
      <c r="A263" s="2">
        <v>43696</v>
      </c>
      <c r="B263" s="1">
        <v>6</v>
      </c>
      <c r="C263" s="1">
        <v>7</v>
      </c>
      <c r="D263" s="1">
        <v>7</v>
      </c>
      <c r="E263" s="1">
        <v>7</v>
      </c>
      <c r="F263" s="1">
        <v>5</v>
      </c>
      <c r="G263" s="1">
        <v>4</v>
      </c>
      <c r="H263" s="1">
        <v>14</v>
      </c>
      <c r="I263" s="1">
        <v>18</v>
      </c>
      <c r="J263" s="1">
        <v>25</v>
      </c>
      <c r="K263" s="1">
        <v>22</v>
      </c>
      <c r="L263" s="1">
        <v>24</v>
      </c>
      <c r="M263" s="1">
        <v>26</v>
      </c>
      <c r="N263" s="1">
        <v>25</v>
      </c>
      <c r="O263" s="1">
        <v>27</v>
      </c>
      <c r="P263" s="1">
        <v>24</v>
      </c>
      <c r="Q263" s="1">
        <v>26</v>
      </c>
      <c r="R263" s="1">
        <v>32</v>
      </c>
      <c r="S263" s="1">
        <v>39</v>
      </c>
      <c r="T263" s="1">
        <v>18</v>
      </c>
      <c r="U263" s="1">
        <v>21</v>
      </c>
      <c r="V263" s="1">
        <v>22</v>
      </c>
      <c r="W263" s="1">
        <v>16</v>
      </c>
      <c r="X263" s="1">
        <v>11</v>
      </c>
      <c r="Y263" s="1">
        <v>8</v>
      </c>
    </row>
    <row r="264" spans="1:25" x14ac:dyDescent="0.3">
      <c r="A264" s="2">
        <v>43697</v>
      </c>
      <c r="B264" s="1">
        <v>4</v>
      </c>
      <c r="C264" s="1">
        <v>4</v>
      </c>
      <c r="D264" s="1">
        <v>11</v>
      </c>
      <c r="E264" s="1">
        <v>3</v>
      </c>
      <c r="F264" s="1">
        <v>5</v>
      </c>
      <c r="G264" s="1">
        <v>11</v>
      </c>
      <c r="H264" s="1">
        <v>9</v>
      </c>
      <c r="I264" s="1">
        <v>14</v>
      </c>
      <c r="J264" s="1">
        <v>32</v>
      </c>
      <c r="K264" s="1">
        <v>22</v>
      </c>
      <c r="L264" s="1">
        <v>16</v>
      </c>
      <c r="M264" s="1">
        <v>21</v>
      </c>
      <c r="N264" s="1">
        <v>33</v>
      </c>
      <c r="O264" s="1">
        <v>26</v>
      </c>
      <c r="P264" s="1">
        <v>18</v>
      </c>
      <c r="Q264" s="1">
        <v>23</v>
      </c>
      <c r="R264" s="1">
        <v>30</v>
      </c>
      <c r="S264" s="1">
        <v>27</v>
      </c>
      <c r="T264" s="1">
        <v>13</v>
      </c>
      <c r="U264" s="1">
        <v>6</v>
      </c>
      <c r="V264" s="1">
        <v>21</v>
      </c>
      <c r="W264" s="1">
        <v>12</v>
      </c>
      <c r="X264" s="1">
        <v>20</v>
      </c>
      <c r="Y264" s="1">
        <v>10</v>
      </c>
    </row>
    <row r="265" spans="1:25" x14ac:dyDescent="0.3">
      <c r="A265" s="2">
        <v>43698</v>
      </c>
      <c r="B265" s="1">
        <v>9</v>
      </c>
      <c r="C265" s="1">
        <v>6</v>
      </c>
      <c r="D265" s="1">
        <v>6</v>
      </c>
      <c r="E265" s="1">
        <v>4</v>
      </c>
      <c r="F265" s="1">
        <v>2</v>
      </c>
      <c r="G265" s="1">
        <v>3</v>
      </c>
      <c r="H265" s="1">
        <v>9</v>
      </c>
      <c r="I265" s="1">
        <v>10</v>
      </c>
      <c r="J265" s="1">
        <v>22</v>
      </c>
      <c r="K265" s="1">
        <v>23</v>
      </c>
      <c r="L265" s="1">
        <v>31</v>
      </c>
      <c r="M265" s="1">
        <v>28</v>
      </c>
      <c r="N265" s="1">
        <v>25</v>
      </c>
      <c r="O265" s="1">
        <v>27</v>
      </c>
      <c r="P265" s="1">
        <v>25</v>
      </c>
      <c r="Q265" s="1">
        <v>25</v>
      </c>
      <c r="R265" s="1">
        <v>30</v>
      </c>
      <c r="S265" s="1">
        <v>45</v>
      </c>
      <c r="T265" s="1">
        <v>29</v>
      </c>
      <c r="U265" s="1">
        <v>14</v>
      </c>
      <c r="V265" s="1">
        <v>13</v>
      </c>
      <c r="W265" s="1">
        <v>11</v>
      </c>
      <c r="X265" s="1">
        <v>14</v>
      </c>
      <c r="Y265" s="1">
        <v>8</v>
      </c>
    </row>
    <row r="266" spans="1:25" x14ac:dyDescent="0.3">
      <c r="A266" s="2">
        <v>43699</v>
      </c>
      <c r="B266" s="1">
        <v>8</v>
      </c>
      <c r="C266" s="1">
        <v>12</v>
      </c>
      <c r="D266" s="1">
        <v>14</v>
      </c>
      <c r="E266" s="1">
        <v>4</v>
      </c>
      <c r="F266" s="1">
        <v>5</v>
      </c>
      <c r="G266" s="1">
        <v>11</v>
      </c>
      <c r="H266" s="1">
        <v>12</v>
      </c>
      <c r="I266" s="1">
        <v>16</v>
      </c>
      <c r="J266" s="1">
        <v>23</v>
      </c>
      <c r="K266" s="1">
        <v>14</v>
      </c>
      <c r="L266" s="1">
        <v>24</v>
      </c>
      <c r="M266" s="1">
        <v>22</v>
      </c>
      <c r="N266" s="1">
        <v>24</v>
      </c>
      <c r="O266" s="1">
        <v>28</v>
      </c>
      <c r="P266" s="1">
        <v>27</v>
      </c>
      <c r="Q266" s="1">
        <v>35</v>
      </c>
      <c r="R266" s="1">
        <v>21</v>
      </c>
      <c r="S266" s="1">
        <v>15</v>
      </c>
      <c r="T266" s="1">
        <v>16</v>
      </c>
      <c r="U266" s="1">
        <v>15</v>
      </c>
      <c r="V266" s="1">
        <v>22</v>
      </c>
      <c r="W266" s="1">
        <v>12</v>
      </c>
      <c r="X266" s="1">
        <v>17</v>
      </c>
      <c r="Y266" s="1">
        <v>9</v>
      </c>
    </row>
    <row r="267" spans="1:25" x14ac:dyDescent="0.3">
      <c r="A267" s="2">
        <v>43700</v>
      </c>
      <c r="B267" s="1">
        <v>6</v>
      </c>
      <c r="C267" s="1">
        <v>3</v>
      </c>
      <c r="D267" s="1">
        <v>10</v>
      </c>
      <c r="E267" s="1">
        <v>6</v>
      </c>
      <c r="F267" s="1">
        <v>5</v>
      </c>
      <c r="G267" s="1">
        <v>4</v>
      </c>
      <c r="H267" s="1">
        <v>8</v>
      </c>
      <c r="I267" s="1">
        <v>15</v>
      </c>
      <c r="J267" s="1">
        <v>16</v>
      </c>
      <c r="K267" s="1">
        <v>15</v>
      </c>
      <c r="L267" s="1">
        <v>24</v>
      </c>
      <c r="M267" s="1">
        <v>16</v>
      </c>
      <c r="N267" s="1">
        <v>16</v>
      </c>
      <c r="O267" s="1">
        <v>32</v>
      </c>
      <c r="P267" s="1">
        <v>24</v>
      </c>
      <c r="Q267" s="1">
        <v>24</v>
      </c>
      <c r="R267" s="1">
        <v>24</v>
      </c>
      <c r="S267" s="1">
        <v>27</v>
      </c>
      <c r="T267" s="1">
        <v>29</v>
      </c>
      <c r="U267" s="1">
        <v>24</v>
      </c>
      <c r="V267" s="1">
        <v>13</v>
      </c>
      <c r="W267" s="1">
        <v>9</v>
      </c>
      <c r="X267" s="1">
        <v>18</v>
      </c>
      <c r="Y267" s="1">
        <v>8</v>
      </c>
    </row>
    <row r="268" spans="1:25" x14ac:dyDescent="0.3">
      <c r="A268" s="2">
        <v>43701</v>
      </c>
      <c r="B268" s="1">
        <v>10</v>
      </c>
      <c r="C268" s="1">
        <v>11</v>
      </c>
      <c r="D268" s="1">
        <v>12</v>
      </c>
      <c r="E268" s="1">
        <v>8</v>
      </c>
      <c r="F268" s="1">
        <v>9</v>
      </c>
      <c r="G268" s="1">
        <v>5</v>
      </c>
      <c r="H268" s="1">
        <v>6</v>
      </c>
      <c r="I268" s="1">
        <v>8</v>
      </c>
      <c r="J268" s="1">
        <v>15</v>
      </c>
      <c r="K268" s="1">
        <v>20</v>
      </c>
      <c r="L268" s="1">
        <v>10</v>
      </c>
      <c r="M268" s="1">
        <v>21</v>
      </c>
      <c r="N268" s="1">
        <v>19</v>
      </c>
      <c r="O268" s="1">
        <v>15</v>
      </c>
      <c r="P268" s="1">
        <v>28</v>
      </c>
      <c r="Q268" s="1">
        <v>25</v>
      </c>
      <c r="R268" s="1">
        <v>17</v>
      </c>
      <c r="S268" s="1">
        <v>23</v>
      </c>
      <c r="T268" s="1">
        <v>13</v>
      </c>
      <c r="U268" s="1">
        <v>12</v>
      </c>
      <c r="V268" s="1">
        <v>24</v>
      </c>
      <c r="W268" s="1">
        <v>13</v>
      </c>
      <c r="X268" s="1">
        <v>15</v>
      </c>
      <c r="Y268" s="1">
        <v>11</v>
      </c>
    </row>
    <row r="269" spans="1:25" x14ac:dyDescent="0.3">
      <c r="A269" s="2">
        <v>43702</v>
      </c>
      <c r="B269" s="1">
        <v>13</v>
      </c>
      <c r="C269" s="1">
        <v>10</v>
      </c>
      <c r="D269" s="1">
        <v>6</v>
      </c>
      <c r="E269" s="1">
        <v>9</v>
      </c>
      <c r="F269" s="1">
        <v>5</v>
      </c>
      <c r="G269" s="1">
        <v>2</v>
      </c>
      <c r="H269" s="1">
        <v>8</v>
      </c>
      <c r="I269" s="1">
        <v>11</v>
      </c>
      <c r="J269" s="1">
        <v>12</v>
      </c>
      <c r="K269" s="1">
        <v>20</v>
      </c>
      <c r="L269" s="1">
        <v>12</v>
      </c>
      <c r="M269" s="1">
        <v>21</v>
      </c>
      <c r="N269" s="1">
        <v>20</v>
      </c>
      <c r="O269" s="1">
        <v>17</v>
      </c>
      <c r="P269" s="1">
        <v>24</v>
      </c>
      <c r="Q269" s="1">
        <v>17</v>
      </c>
      <c r="R269" s="1">
        <v>14</v>
      </c>
      <c r="S269" s="1">
        <v>20</v>
      </c>
      <c r="T269" s="1">
        <v>20</v>
      </c>
      <c r="U269" s="1">
        <v>13</v>
      </c>
      <c r="V269" s="1">
        <v>19</v>
      </c>
      <c r="W269" s="1">
        <v>12</v>
      </c>
      <c r="X269" s="1">
        <v>13</v>
      </c>
      <c r="Y269" s="1">
        <v>5</v>
      </c>
    </row>
    <row r="270" spans="1:25" x14ac:dyDescent="0.3">
      <c r="A270" s="2">
        <v>43703</v>
      </c>
      <c r="B270" s="1">
        <v>3</v>
      </c>
      <c r="C270" s="1">
        <v>6</v>
      </c>
      <c r="D270" s="1">
        <v>4</v>
      </c>
      <c r="E270" s="1">
        <v>1</v>
      </c>
      <c r="F270" s="1">
        <v>8</v>
      </c>
      <c r="G270" s="1">
        <v>9</v>
      </c>
      <c r="H270" s="1">
        <v>9</v>
      </c>
      <c r="I270" s="1">
        <v>27</v>
      </c>
      <c r="J270" s="1">
        <v>21</v>
      </c>
      <c r="K270" s="1">
        <v>24</v>
      </c>
      <c r="L270" s="1">
        <v>20</v>
      </c>
      <c r="M270" s="1">
        <v>19</v>
      </c>
      <c r="N270" s="1">
        <v>21</v>
      </c>
      <c r="O270" s="1">
        <v>19</v>
      </c>
      <c r="P270" s="1">
        <v>24</v>
      </c>
      <c r="Q270" s="1">
        <v>17</v>
      </c>
      <c r="R270" s="1">
        <v>27</v>
      </c>
      <c r="S270" s="1">
        <v>18</v>
      </c>
      <c r="T270" s="1">
        <v>25</v>
      </c>
      <c r="U270" s="1">
        <v>21</v>
      </c>
      <c r="V270" s="1">
        <v>18</v>
      </c>
      <c r="W270" s="1">
        <v>26</v>
      </c>
      <c r="X270" s="1">
        <v>16</v>
      </c>
      <c r="Y270" s="1">
        <v>13</v>
      </c>
    </row>
    <row r="271" spans="1:25" x14ac:dyDescent="0.3">
      <c r="A271" s="2">
        <v>43704</v>
      </c>
      <c r="B271" s="1">
        <v>9</v>
      </c>
      <c r="C271" s="1">
        <v>5</v>
      </c>
      <c r="D271" s="1">
        <v>4</v>
      </c>
      <c r="E271" s="1">
        <v>5</v>
      </c>
      <c r="F271" s="1">
        <v>4</v>
      </c>
      <c r="G271" s="1">
        <v>6</v>
      </c>
      <c r="H271" s="1">
        <v>19</v>
      </c>
      <c r="I271" s="1">
        <v>21</v>
      </c>
      <c r="J271" s="1">
        <v>24</v>
      </c>
      <c r="K271" s="1">
        <v>19</v>
      </c>
      <c r="L271" s="1">
        <v>19</v>
      </c>
      <c r="M271" s="1">
        <v>17</v>
      </c>
      <c r="N271" s="1">
        <v>22</v>
      </c>
      <c r="O271" s="1">
        <v>26</v>
      </c>
      <c r="P271" s="1">
        <v>13</v>
      </c>
      <c r="Q271" s="1">
        <v>21</v>
      </c>
      <c r="R271" s="1">
        <v>24</v>
      </c>
      <c r="S271" s="1">
        <v>34</v>
      </c>
      <c r="T271" s="1">
        <v>27</v>
      </c>
      <c r="U271" s="1">
        <v>23</v>
      </c>
      <c r="V271" s="1">
        <v>10</v>
      </c>
      <c r="W271" s="1">
        <v>12</v>
      </c>
      <c r="X271" s="1">
        <v>11</v>
      </c>
      <c r="Y271" s="1">
        <v>10</v>
      </c>
    </row>
    <row r="272" spans="1:25" x14ac:dyDescent="0.3">
      <c r="A272" s="2">
        <v>43705</v>
      </c>
      <c r="B272" s="1">
        <v>7</v>
      </c>
      <c r="C272" s="1">
        <v>6</v>
      </c>
      <c r="D272" s="1">
        <v>11</v>
      </c>
      <c r="E272" s="1">
        <v>5</v>
      </c>
      <c r="F272" s="1">
        <v>5</v>
      </c>
      <c r="G272" s="1">
        <v>9</v>
      </c>
      <c r="H272" s="1">
        <v>12</v>
      </c>
      <c r="I272" s="1">
        <v>15</v>
      </c>
      <c r="J272" s="1">
        <v>17</v>
      </c>
      <c r="K272" s="1">
        <v>27</v>
      </c>
      <c r="L272" s="1">
        <v>25</v>
      </c>
      <c r="M272" s="1">
        <v>33</v>
      </c>
      <c r="N272" s="1">
        <v>21</v>
      </c>
      <c r="O272" s="1">
        <v>28</v>
      </c>
      <c r="P272" s="1">
        <v>32</v>
      </c>
      <c r="Q272" s="1">
        <v>35</v>
      </c>
      <c r="R272" s="1">
        <v>27</v>
      </c>
      <c r="S272" s="1">
        <v>19</v>
      </c>
      <c r="T272" s="1">
        <v>18</v>
      </c>
      <c r="U272" s="1">
        <v>12</v>
      </c>
      <c r="V272" s="1">
        <v>20</v>
      </c>
      <c r="W272" s="1">
        <v>19</v>
      </c>
      <c r="X272" s="1">
        <v>13</v>
      </c>
      <c r="Y272" s="1">
        <v>8</v>
      </c>
    </row>
    <row r="273" spans="1:25" x14ac:dyDescent="0.3">
      <c r="A273" s="2">
        <v>43706</v>
      </c>
      <c r="B273" s="1">
        <v>6</v>
      </c>
      <c r="C273" s="1">
        <v>4</v>
      </c>
      <c r="D273" s="1">
        <v>11</v>
      </c>
      <c r="E273" s="1">
        <v>4</v>
      </c>
      <c r="F273" s="1">
        <v>1</v>
      </c>
      <c r="G273" s="1">
        <v>4</v>
      </c>
      <c r="H273" s="1">
        <v>2</v>
      </c>
      <c r="I273" s="1">
        <v>15</v>
      </c>
      <c r="J273" s="1">
        <v>28</v>
      </c>
      <c r="K273" s="1">
        <v>33</v>
      </c>
      <c r="L273" s="1">
        <v>22</v>
      </c>
      <c r="M273" s="1">
        <v>30</v>
      </c>
      <c r="N273" s="1">
        <v>23</v>
      </c>
      <c r="O273" s="1">
        <v>18</v>
      </c>
      <c r="P273" s="1">
        <v>33</v>
      </c>
      <c r="Q273" s="1">
        <v>25</v>
      </c>
      <c r="R273" s="1">
        <v>23</v>
      </c>
      <c r="S273" s="1">
        <v>33</v>
      </c>
      <c r="T273" s="1">
        <v>21</v>
      </c>
      <c r="U273" s="1">
        <v>23</v>
      </c>
      <c r="V273" s="1">
        <v>24</v>
      </c>
      <c r="W273" s="1">
        <v>16</v>
      </c>
      <c r="X273" s="1">
        <v>10</v>
      </c>
      <c r="Y273" s="1">
        <v>8</v>
      </c>
    </row>
    <row r="274" spans="1:25" x14ac:dyDescent="0.3">
      <c r="A274" s="2">
        <v>43707</v>
      </c>
      <c r="B274" s="1">
        <v>15</v>
      </c>
      <c r="C274" s="1">
        <v>9</v>
      </c>
      <c r="D274" s="1">
        <v>6</v>
      </c>
      <c r="E274" s="1">
        <v>4</v>
      </c>
      <c r="F274" s="1">
        <v>5</v>
      </c>
      <c r="G274" s="1">
        <v>8</v>
      </c>
      <c r="H274" s="1">
        <v>7</v>
      </c>
      <c r="I274" s="1">
        <v>14</v>
      </c>
      <c r="J274" s="1">
        <v>20</v>
      </c>
      <c r="K274" s="1">
        <v>20</v>
      </c>
      <c r="L274" s="1">
        <v>28</v>
      </c>
      <c r="M274" s="1">
        <v>31</v>
      </c>
      <c r="N274" s="1">
        <v>28</v>
      </c>
      <c r="O274" s="1">
        <v>30</v>
      </c>
      <c r="P274" s="1">
        <v>34</v>
      </c>
      <c r="Q274" s="1">
        <v>40</v>
      </c>
      <c r="R274" s="1">
        <v>27</v>
      </c>
      <c r="S274" s="1">
        <v>19</v>
      </c>
      <c r="T274" s="1">
        <v>23</v>
      </c>
      <c r="U274" s="1">
        <v>17</v>
      </c>
      <c r="V274" s="1">
        <v>20</v>
      </c>
      <c r="W274" s="1">
        <v>24</v>
      </c>
      <c r="X274" s="1">
        <v>14</v>
      </c>
      <c r="Y274" s="1">
        <v>16</v>
      </c>
    </row>
    <row r="275" spans="1:25" x14ac:dyDescent="0.3">
      <c r="A275" s="2">
        <v>43708</v>
      </c>
      <c r="B275" s="1">
        <v>13</v>
      </c>
      <c r="C275" s="1">
        <v>9</v>
      </c>
      <c r="D275" s="1">
        <v>8</v>
      </c>
      <c r="E275" s="1">
        <v>7</v>
      </c>
      <c r="F275" s="1">
        <v>3</v>
      </c>
      <c r="G275" s="1">
        <v>5</v>
      </c>
      <c r="H275" s="1">
        <v>4</v>
      </c>
      <c r="I275" s="1">
        <v>9</v>
      </c>
      <c r="J275" s="1">
        <v>15</v>
      </c>
      <c r="K275" s="1">
        <v>16</v>
      </c>
      <c r="L275" s="1">
        <v>14</v>
      </c>
      <c r="M275" s="1">
        <v>14</v>
      </c>
      <c r="N275" s="1">
        <v>20</v>
      </c>
      <c r="O275" s="1">
        <v>22</v>
      </c>
      <c r="P275" s="1">
        <v>28</v>
      </c>
      <c r="Q275" s="1">
        <v>23</v>
      </c>
      <c r="R275" s="1">
        <v>18</v>
      </c>
      <c r="S275" s="1">
        <v>14</v>
      </c>
      <c r="T275" s="1">
        <v>15</v>
      </c>
      <c r="U275" s="1">
        <v>22</v>
      </c>
      <c r="V275" s="1">
        <v>29</v>
      </c>
      <c r="W275" s="1">
        <v>17</v>
      </c>
      <c r="X275" s="1">
        <v>8</v>
      </c>
      <c r="Y275" s="1">
        <v>8</v>
      </c>
    </row>
    <row r="276" spans="1:25" x14ac:dyDescent="0.3">
      <c r="A276" s="2">
        <v>43709</v>
      </c>
      <c r="B276" s="1">
        <v>8</v>
      </c>
      <c r="C276" s="1">
        <v>14</v>
      </c>
      <c r="D276" s="1">
        <v>8</v>
      </c>
      <c r="E276" s="1">
        <v>5</v>
      </c>
      <c r="F276" s="1">
        <v>3</v>
      </c>
      <c r="G276" s="1">
        <v>3</v>
      </c>
      <c r="H276" s="1">
        <v>10</v>
      </c>
      <c r="I276" s="1">
        <v>3</v>
      </c>
      <c r="J276" s="1">
        <v>7</v>
      </c>
      <c r="K276" s="1">
        <v>9</v>
      </c>
      <c r="L276" s="1">
        <v>20</v>
      </c>
      <c r="M276" s="1">
        <v>19</v>
      </c>
      <c r="N276" s="1">
        <v>21</v>
      </c>
      <c r="O276" s="1">
        <v>18</v>
      </c>
      <c r="P276" s="1">
        <v>23</v>
      </c>
      <c r="Q276" s="1">
        <v>15</v>
      </c>
      <c r="R276" s="1">
        <v>18</v>
      </c>
      <c r="S276" s="1">
        <v>19</v>
      </c>
      <c r="T276" s="1">
        <v>18</v>
      </c>
      <c r="U276" s="1">
        <v>9</v>
      </c>
      <c r="V276" s="1">
        <v>33</v>
      </c>
      <c r="W276" s="1">
        <v>16</v>
      </c>
      <c r="X276" s="1">
        <v>16</v>
      </c>
      <c r="Y276" s="1">
        <v>12</v>
      </c>
    </row>
    <row r="277" spans="1:25" x14ac:dyDescent="0.3">
      <c r="A277" s="2">
        <v>43710</v>
      </c>
      <c r="B277" s="1">
        <v>4</v>
      </c>
      <c r="C277" s="1">
        <v>14</v>
      </c>
      <c r="D277" s="1">
        <v>2</v>
      </c>
      <c r="E277" s="1">
        <v>6</v>
      </c>
      <c r="F277" s="1">
        <v>4</v>
      </c>
      <c r="G277" s="1">
        <v>7</v>
      </c>
      <c r="H277" s="1">
        <v>8</v>
      </c>
      <c r="I277" s="1">
        <v>8</v>
      </c>
      <c r="J277" s="1">
        <v>8</v>
      </c>
      <c r="K277" s="1">
        <v>28</v>
      </c>
      <c r="L277" s="1">
        <v>27</v>
      </c>
      <c r="M277" s="1">
        <v>15</v>
      </c>
      <c r="N277" s="1">
        <v>7</v>
      </c>
      <c r="O277" s="1">
        <v>18</v>
      </c>
      <c r="P277" s="1">
        <v>12</v>
      </c>
      <c r="Q277" s="1">
        <v>18</v>
      </c>
      <c r="R277" s="1">
        <v>17</v>
      </c>
      <c r="S277" s="1">
        <v>21</v>
      </c>
      <c r="T277" s="1">
        <v>10</v>
      </c>
      <c r="U277" s="1">
        <v>21</v>
      </c>
      <c r="V277" s="1">
        <v>21</v>
      </c>
      <c r="W277" s="1">
        <v>11</v>
      </c>
      <c r="X277" s="1">
        <v>6</v>
      </c>
      <c r="Y277" s="1">
        <v>13</v>
      </c>
    </row>
    <row r="278" spans="1:25" x14ac:dyDescent="0.3">
      <c r="A278" s="2">
        <v>43711</v>
      </c>
      <c r="B278" s="1">
        <v>6</v>
      </c>
      <c r="C278" s="1">
        <v>5</v>
      </c>
      <c r="D278" s="1">
        <v>8</v>
      </c>
      <c r="E278" s="1">
        <v>4</v>
      </c>
      <c r="F278" s="1">
        <v>2</v>
      </c>
      <c r="G278" s="1">
        <v>9</v>
      </c>
      <c r="H278" s="1">
        <v>7</v>
      </c>
      <c r="I278" s="1">
        <v>26</v>
      </c>
      <c r="J278" s="1">
        <v>25</v>
      </c>
      <c r="K278" s="1">
        <v>23</v>
      </c>
      <c r="L278" s="1">
        <v>26</v>
      </c>
      <c r="M278" s="1">
        <v>22</v>
      </c>
      <c r="N278" s="1">
        <v>27</v>
      </c>
      <c r="O278" s="1">
        <v>29</v>
      </c>
      <c r="P278" s="1">
        <v>30</v>
      </c>
      <c r="Q278" s="1">
        <v>21</v>
      </c>
      <c r="R278" s="1">
        <v>36</v>
      </c>
      <c r="S278" s="1">
        <v>45</v>
      </c>
      <c r="T278" s="1">
        <v>20</v>
      </c>
      <c r="U278" s="1">
        <v>27</v>
      </c>
      <c r="V278" s="1">
        <v>21</v>
      </c>
      <c r="W278" s="1">
        <v>19</v>
      </c>
      <c r="X278" s="1">
        <v>17</v>
      </c>
      <c r="Y278" s="1">
        <v>3</v>
      </c>
    </row>
    <row r="279" spans="1:25" x14ac:dyDescent="0.3">
      <c r="A279" s="2">
        <v>43712</v>
      </c>
      <c r="B279" s="1">
        <v>12</v>
      </c>
      <c r="C279" s="1">
        <v>3</v>
      </c>
      <c r="D279" s="1">
        <v>8</v>
      </c>
      <c r="E279" s="1">
        <v>3</v>
      </c>
      <c r="F279" s="1">
        <v>4</v>
      </c>
      <c r="G279" s="1">
        <v>4</v>
      </c>
      <c r="H279" s="1">
        <v>11</v>
      </c>
      <c r="I279" s="1">
        <v>24</v>
      </c>
      <c r="J279" s="1">
        <v>25</v>
      </c>
      <c r="K279" s="1">
        <v>23</v>
      </c>
      <c r="L279" s="1">
        <v>17</v>
      </c>
      <c r="M279" s="1">
        <v>21</v>
      </c>
      <c r="N279" s="1">
        <v>22</v>
      </c>
      <c r="O279" s="1">
        <v>34</v>
      </c>
      <c r="P279" s="1">
        <v>19</v>
      </c>
      <c r="Q279" s="1">
        <v>31</v>
      </c>
      <c r="R279" s="1">
        <v>32</v>
      </c>
      <c r="S279" s="1">
        <v>31</v>
      </c>
      <c r="T279" s="1">
        <v>30</v>
      </c>
      <c r="U279" s="1">
        <v>12</v>
      </c>
      <c r="V279" s="1">
        <v>10</v>
      </c>
      <c r="W279" s="1">
        <v>8</v>
      </c>
      <c r="X279" s="1">
        <v>10</v>
      </c>
      <c r="Y279" s="1">
        <v>13</v>
      </c>
    </row>
    <row r="280" spans="1:25" x14ac:dyDescent="0.3">
      <c r="A280" s="2">
        <v>43713</v>
      </c>
      <c r="B280" s="1">
        <v>7</v>
      </c>
      <c r="C280" s="1">
        <v>5</v>
      </c>
      <c r="D280" s="1">
        <v>4</v>
      </c>
      <c r="E280" s="1">
        <v>3</v>
      </c>
      <c r="F280" s="1">
        <v>4</v>
      </c>
      <c r="G280" s="1">
        <v>8</v>
      </c>
      <c r="H280" s="1">
        <v>8</v>
      </c>
      <c r="I280" s="1">
        <v>16</v>
      </c>
      <c r="J280" s="1">
        <v>18</v>
      </c>
      <c r="K280" s="1">
        <v>9</v>
      </c>
      <c r="L280" s="1">
        <v>16</v>
      </c>
      <c r="M280" s="1">
        <v>24</v>
      </c>
      <c r="N280" s="1">
        <v>16</v>
      </c>
      <c r="O280" s="1">
        <v>26</v>
      </c>
      <c r="P280" s="1">
        <v>23</v>
      </c>
      <c r="Q280" s="1">
        <v>39</v>
      </c>
      <c r="R280" s="1">
        <v>31</v>
      </c>
      <c r="S280" s="1">
        <v>28</v>
      </c>
      <c r="T280" s="1">
        <v>25</v>
      </c>
      <c r="U280" s="1">
        <v>16</v>
      </c>
      <c r="V280" s="1">
        <v>19</v>
      </c>
      <c r="W280" s="1">
        <v>9</v>
      </c>
      <c r="X280" s="1">
        <v>12</v>
      </c>
      <c r="Y280" s="1">
        <v>8</v>
      </c>
    </row>
    <row r="281" spans="1:25" x14ac:dyDescent="0.3">
      <c r="A281" s="2">
        <v>43714</v>
      </c>
      <c r="B281" s="1">
        <v>8</v>
      </c>
      <c r="C281" s="1">
        <v>5</v>
      </c>
      <c r="D281" s="1">
        <v>2</v>
      </c>
      <c r="E281" s="1">
        <v>4</v>
      </c>
      <c r="F281" s="1">
        <v>4</v>
      </c>
      <c r="G281" s="1">
        <v>5</v>
      </c>
      <c r="H281" s="1">
        <v>5</v>
      </c>
      <c r="I281" s="1">
        <v>12</v>
      </c>
      <c r="J281" s="1">
        <v>17</v>
      </c>
      <c r="K281" s="1">
        <v>24</v>
      </c>
      <c r="L281" s="1">
        <v>24</v>
      </c>
      <c r="M281" s="1">
        <v>19</v>
      </c>
      <c r="N281" s="1">
        <v>30</v>
      </c>
      <c r="O281" s="1">
        <v>24</v>
      </c>
      <c r="P281" s="1">
        <v>24</v>
      </c>
      <c r="Q281" s="1">
        <v>32</v>
      </c>
      <c r="R281" s="1">
        <v>18</v>
      </c>
      <c r="S281" s="1">
        <v>41</v>
      </c>
      <c r="T281" s="1">
        <v>19</v>
      </c>
      <c r="U281" s="1">
        <v>19</v>
      </c>
      <c r="V281" s="1">
        <v>17</v>
      </c>
      <c r="W281" s="1">
        <v>15</v>
      </c>
      <c r="X281" s="1">
        <v>13</v>
      </c>
      <c r="Y281" s="1">
        <v>4</v>
      </c>
    </row>
    <row r="282" spans="1:25" x14ac:dyDescent="0.3">
      <c r="A282" s="2">
        <v>43715</v>
      </c>
      <c r="B282" s="1">
        <v>10</v>
      </c>
      <c r="C282" s="1">
        <v>9</v>
      </c>
      <c r="D282" s="1">
        <v>5</v>
      </c>
      <c r="E282" s="1">
        <v>3</v>
      </c>
      <c r="F282" s="1">
        <v>4</v>
      </c>
      <c r="G282" s="1">
        <v>5</v>
      </c>
      <c r="H282" s="1">
        <v>10</v>
      </c>
      <c r="I282" s="1">
        <v>11</v>
      </c>
      <c r="J282" s="1">
        <v>11</v>
      </c>
      <c r="K282" s="1">
        <v>21</v>
      </c>
      <c r="L282" s="1">
        <v>16</v>
      </c>
      <c r="M282" s="1">
        <v>24</v>
      </c>
      <c r="N282" s="1">
        <v>23</v>
      </c>
      <c r="O282" s="1">
        <v>22</v>
      </c>
      <c r="P282" s="1">
        <v>27</v>
      </c>
      <c r="Q282" s="1">
        <v>30</v>
      </c>
      <c r="R282" s="1">
        <v>20</v>
      </c>
      <c r="S282" s="1">
        <v>25</v>
      </c>
      <c r="T282" s="1">
        <v>31</v>
      </c>
      <c r="U282" s="1">
        <v>23</v>
      </c>
      <c r="V282" s="1">
        <v>32</v>
      </c>
      <c r="W282" s="1">
        <v>22</v>
      </c>
      <c r="X282" s="1">
        <v>18</v>
      </c>
      <c r="Y282" s="1">
        <v>10</v>
      </c>
    </row>
    <row r="283" spans="1:25" x14ac:dyDescent="0.3">
      <c r="A283" s="2">
        <v>43716</v>
      </c>
      <c r="B283" s="1">
        <v>14</v>
      </c>
      <c r="C283" s="1">
        <v>9</v>
      </c>
      <c r="D283" s="1">
        <v>4</v>
      </c>
      <c r="E283" s="1">
        <v>13</v>
      </c>
      <c r="F283" s="1">
        <v>7</v>
      </c>
      <c r="G283" s="1">
        <v>6</v>
      </c>
      <c r="H283" s="1">
        <v>7</v>
      </c>
      <c r="I283" s="1">
        <v>4</v>
      </c>
      <c r="J283" s="1">
        <v>9</v>
      </c>
      <c r="K283" s="1">
        <v>12</v>
      </c>
      <c r="L283" s="1">
        <v>17</v>
      </c>
      <c r="M283" s="1">
        <v>21</v>
      </c>
      <c r="N283" s="1">
        <v>20</v>
      </c>
      <c r="O283" s="1">
        <v>21</v>
      </c>
      <c r="P283" s="1">
        <v>16</v>
      </c>
      <c r="Q283" s="1">
        <v>19</v>
      </c>
      <c r="R283" s="1">
        <v>23</v>
      </c>
      <c r="S283" s="1">
        <v>30</v>
      </c>
      <c r="T283" s="1">
        <v>14</v>
      </c>
      <c r="U283" s="1">
        <v>15</v>
      </c>
      <c r="V283" s="1">
        <v>17</v>
      </c>
      <c r="W283" s="1">
        <v>10</v>
      </c>
      <c r="X283" s="1">
        <v>13</v>
      </c>
      <c r="Y283" s="1">
        <v>7</v>
      </c>
    </row>
    <row r="284" spans="1:25" x14ac:dyDescent="0.3">
      <c r="A284" s="2">
        <v>43717</v>
      </c>
      <c r="B284" s="1">
        <v>11</v>
      </c>
      <c r="C284" s="1">
        <v>9</v>
      </c>
      <c r="D284" s="1">
        <v>7</v>
      </c>
      <c r="E284" s="1">
        <v>11</v>
      </c>
      <c r="F284" s="1">
        <v>6</v>
      </c>
      <c r="G284" s="1">
        <v>8</v>
      </c>
      <c r="H284" s="1">
        <v>14</v>
      </c>
      <c r="I284" s="1">
        <v>18</v>
      </c>
      <c r="J284" s="1">
        <v>21</v>
      </c>
      <c r="K284" s="1">
        <v>37</v>
      </c>
      <c r="L284" s="1">
        <v>20</v>
      </c>
      <c r="M284" s="1">
        <v>22</v>
      </c>
      <c r="N284" s="1">
        <v>22</v>
      </c>
      <c r="O284" s="1">
        <v>24</v>
      </c>
      <c r="P284" s="1">
        <v>26</v>
      </c>
      <c r="Q284" s="1">
        <v>23</v>
      </c>
      <c r="R284" s="1">
        <v>23</v>
      </c>
      <c r="S284" s="1">
        <v>23</v>
      </c>
      <c r="T284" s="1">
        <v>19</v>
      </c>
      <c r="U284" s="1">
        <v>14</v>
      </c>
      <c r="V284" s="1">
        <v>14</v>
      </c>
      <c r="W284" s="1">
        <v>22</v>
      </c>
      <c r="X284" s="1">
        <v>5</v>
      </c>
      <c r="Y284" s="1">
        <v>14</v>
      </c>
    </row>
    <row r="285" spans="1:25" x14ac:dyDescent="0.3">
      <c r="A285" s="2">
        <v>43718</v>
      </c>
      <c r="B285" s="1">
        <v>5</v>
      </c>
      <c r="C285" s="1">
        <v>7</v>
      </c>
      <c r="D285" s="1">
        <v>10</v>
      </c>
      <c r="E285" s="1">
        <v>4</v>
      </c>
      <c r="F285" s="1">
        <v>6</v>
      </c>
      <c r="G285" s="1">
        <v>9</v>
      </c>
      <c r="H285" s="1">
        <v>8</v>
      </c>
      <c r="I285" s="1">
        <v>19</v>
      </c>
      <c r="J285" s="1">
        <v>22</v>
      </c>
      <c r="K285" s="1">
        <v>21</v>
      </c>
      <c r="L285" s="1">
        <v>14</v>
      </c>
      <c r="M285" s="1">
        <v>28</v>
      </c>
      <c r="N285" s="1">
        <v>17</v>
      </c>
      <c r="O285" s="1">
        <v>13</v>
      </c>
      <c r="P285" s="1">
        <v>31</v>
      </c>
      <c r="Q285" s="1">
        <v>17</v>
      </c>
      <c r="R285" s="1">
        <v>28</v>
      </c>
      <c r="S285" s="1">
        <v>32</v>
      </c>
      <c r="T285" s="1">
        <v>24</v>
      </c>
      <c r="U285" s="1">
        <v>25</v>
      </c>
      <c r="V285" s="1">
        <v>12</v>
      </c>
      <c r="W285" s="1">
        <v>8</v>
      </c>
      <c r="X285" s="1">
        <v>8</v>
      </c>
      <c r="Y285" s="1">
        <v>9</v>
      </c>
    </row>
    <row r="286" spans="1:25" x14ac:dyDescent="0.3">
      <c r="A286" s="2">
        <v>43719</v>
      </c>
      <c r="B286" s="1">
        <v>10</v>
      </c>
      <c r="C286" s="1">
        <v>6</v>
      </c>
      <c r="D286" s="1">
        <v>5</v>
      </c>
      <c r="E286" s="1">
        <v>9</v>
      </c>
      <c r="F286" s="1">
        <v>7</v>
      </c>
      <c r="G286" s="1">
        <v>7</v>
      </c>
      <c r="H286" s="1">
        <v>9</v>
      </c>
      <c r="I286" s="1">
        <v>34</v>
      </c>
      <c r="J286" s="1">
        <v>18</v>
      </c>
      <c r="K286" s="1">
        <v>24</v>
      </c>
      <c r="L286" s="1">
        <v>27</v>
      </c>
      <c r="M286" s="1">
        <v>23</v>
      </c>
      <c r="N286" s="1">
        <v>43</v>
      </c>
      <c r="O286" s="1">
        <v>26</v>
      </c>
      <c r="P286" s="1">
        <v>28</v>
      </c>
      <c r="Q286" s="1">
        <v>28</v>
      </c>
      <c r="R286" s="1">
        <v>31</v>
      </c>
      <c r="S286" s="1">
        <v>23</v>
      </c>
      <c r="T286" s="1">
        <v>25</v>
      </c>
      <c r="U286" s="1">
        <v>20</v>
      </c>
      <c r="V286" s="1">
        <v>14</v>
      </c>
      <c r="W286" s="1">
        <v>13</v>
      </c>
      <c r="X286" s="1">
        <v>10</v>
      </c>
      <c r="Y286" s="1">
        <v>5</v>
      </c>
    </row>
    <row r="287" spans="1:25" x14ac:dyDescent="0.3">
      <c r="A287" s="2">
        <v>43720</v>
      </c>
      <c r="B287" s="1">
        <v>8</v>
      </c>
      <c r="C287" s="1">
        <v>3</v>
      </c>
      <c r="D287" s="1">
        <v>7</v>
      </c>
      <c r="E287" s="1">
        <v>10</v>
      </c>
      <c r="F287" s="1">
        <v>2</v>
      </c>
      <c r="G287" s="1">
        <v>6</v>
      </c>
      <c r="H287" s="1">
        <v>12</v>
      </c>
      <c r="I287" s="1">
        <v>19</v>
      </c>
      <c r="J287" s="1">
        <v>18</v>
      </c>
      <c r="K287" s="1">
        <v>27</v>
      </c>
      <c r="L287" s="1">
        <v>33</v>
      </c>
      <c r="M287" s="1">
        <v>14</v>
      </c>
      <c r="N287" s="1">
        <v>18</v>
      </c>
      <c r="O287" s="1">
        <v>29</v>
      </c>
      <c r="P287" s="1">
        <v>24</v>
      </c>
      <c r="Q287" s="1">
        <v>44</v>
      </c>
      <c r="R287" s="1">
        <v>35</v>
      </c>
      <c r="S287" s="1">
        <v>44</v>
      </c>
      <c r="T287" s="1">
        <v>17</v>
      </c>
      <c r="U287" s="1">
        <v>22</v>
      </c>
      <c r="V287" s="1">
        <v>16</v>
      </c>
      <c r="W287" s="1">
        <v>18</v>
      </c>
      <c r="X287" s="1">
        <v>17</v>
      </c>
      <c r="Y287" s="1">
        <v>12</v>
      </c>
    </row>
    <row r="288" spans="1:25" x14ac:dyDescent="0.3">
      <c r="A288" s="2">
        <v>43721</v>
      </c>
      <c r="B288" s="1">
        <v>9</v>
      </c>
      <c r="C288" s="1">
        <v>8</v>
      </c>
      <c r="D288" s="1">
        <v>10</v>
      </c>
      <c r="E288" s="1">
        <v>6</v>
      </c>
      <c r="F288" s="1">
        <v>5</v>
      </c>
      <c r="G288" s="1">
        <v>6</v>
      </c>
      <c r="H288" s="1">
        <v>4</v>
      </c>
      <c r="I288" s="1">
        <v>19</v>
      </c>
      <c r="J288" s="1">
        <v>24</v>
      </c>
      <c r="K288" s="1">
        <v>27</v>
      </c>
      <c r="L288" s="1">
        <v>21</v>
      </c>
      <c r="M288" s="1">
        <v>24</v>
      </c>
      <c r="N288" s="1">
        <v>27</v>
      </c>
      <c r="O288" s="1">
        <v>20</v>
      </c>
      <c r="P288" s="1">
        <v>20</v>
      </c>
      <c r="Q288" s="1">
        <v>33</v>
      </c>
      <c r="R288" s="1">
        <v>39</v>
      </c>
      <c r="S288" s="1">
        <v>18</v>
      </c>
      <c r="T288" s="1">
        <v>20</v>
      </c>
      <c r="U288" s="1">
        <v>23</v>
      </c>
      <c r="V288" s="1">
        <v>19</v>
      </c>
      <c r="W288" s="1">
        <v>19</v>
      </c>
      <c r="X288" s="1">
        <v>21</v>
      </c>
      <c r="Y288" s="1">
        <v>11</v>
      </c>
    </row>
    <row r="289" spans="1:25" x14ac:dyDescent="0.3">
      <c r="A289" s="2">
        <v>43722</v>
      </c>
      <c r="B289" s="1">
        <v>9</v>
      </c>
      <c r="C289" s="1">
        <v>10</v>
      </c>
      <c r="D289" s="1">
        <v>9</v>
      </c>
      <c r="E289" s="1">
        <v>11</v>
      </c>
      <c r="F289" s="1">
        <v>7</v>
      </c>
      <c r="G289" s="1">
        <v>7</v>
      </c>
      <c r="H289" s="1">
        <v>5</v>
      </c>
      <c r="I289" s="1">
        <v>14</v>
      </c>
      <c r="J289" s="1">
        <v>9</v>
      </c>
      <c r="K289" s="1">
        <v>14</v>
      </c>
      <c r="L289" s="1">
        <v>23</v>
      </c>
      <c r="M289" s="1">
        <v>23</v>
      </c>
      <c r="N289" s="1">
        <v>20</v>
      </c>
      <c r="O289" s="1">
        <v>17</v>
      </c>
      <c r="P289" s="1">
        <v>27</v>
      </c>
      <c r="Q289" s="1">
        <v>21</v>
      </c>
      <c r="R289" s="1">
        <v>14</v>
      </c>
      <c r="S289" s="1">
        <v>12</v>
      </c>
      <c r="T289" s="1">
        <v>15</v>
      </c>
      <c r="U289" s="1">
        <v>19</v>
      </c>
      <c r="V289" s="1">
        <v>14</v>
      </c>
      <c r="W289" s="1">
        <v>11</v>
      </c>
      <c r="X289" s="1">
        <v>20</v>
      </c>
      <c r="Y289" s="1">
        <v>11</v>
      </c>
    </row>
    <row r="290" spans="1:25" x14ac:dyDescent="0.3">
      <c r="A290" s="2">
        <v>43723</v>
      </c>
      <c r="B290" s="1">
        <v>11</v>
      </c>
      <c r="C290" s="1">
        <v>9</v>
      </c>
      <c r="D290" s="1">
        <v>14</v>
      </c>
      <c r="E290" s="1">
        <v>5</v>
      </c>
      <c r="F290" s="1">
        <v>6</v>
      </c>
      <c r="G290" s="1">
        <v>8</v>
      </c>
      <c r="H290" s="1">
        <v>3</v>
      </c>
      <c r="I290" s="1">
        <v>9</v>
      </c>
      <c r="J290" s="1">
        <v>12</v>
      </c>
      <c r="K290" s="1">
        <v>22</v>
      </c>
      <c r="L290" s="1">
        <v>13</v>
      </c>
      <c r="M290" s="1">
        <v>16</v>
      </c>
      <c r="N290" s="1">
        <v>24</v>
      </c>
      <c r="O290" s="1">
        <v>29</v>
      </c>
      <c r="P290" s="1">
        <v>24</v>
      </c>
      <c r="Q290" s="1">
        <v>26</v>
      </c>
      <c r="R290" s="1">
        <v>18</v>
      </c>
      <c r="S290" s="1">
        <v>26</v>
      </c>
      <c r="T290" s="1">
        <v>14</v>
      </c>
      <c r="U290" s="1">
        <v>21</v>
      </c>
      <c r="V290" s="1">
        <v>13</v>
      </c>
      <c r="W290" s="1">
        <v>11</v>
      </c>
      <c r="X290" s="1">
        <v>7</v>
      </c>
      <c r="Y290" s="1">
        <v>8</v>
      </c>
    </row>
    <row r="291" spans="1:25" x14ac:dyDescent="0.3">
      <c r="A291" s="2">
        <v>43724</v>
      </c>
      <c r="B291" s="1">
        <v>9</v>
      </c>
      <c r="C291" s="1">
        <v>9</v>
      </c>
      <c r="D291" s="1">
        <v>5</v>
      </c>
      <c r="E291" s="1">
        <v>5</v>
      </c>
      <c r="F291" s="1">
        <v>7</v>
      </c>
      <c r="G291" s="1">
        <v>6</v>
      </c>
      <c r="H291" s="1">
        <v>6</v>
      </c>
      <c r="I291" s="1">
        <v>14</v>
      </c>
      <c r="J291" s="1">
        <v>19</v>
      </c>
      <c r="K291" s="1">
        <v>26</v>
      </c>
      <c r="L291" s="1">
        <v>37</v>
      </c>
      <c r="M291" s="1">
        <v>31</v>
      </c>
      <c r="N291" s="1">
        <v>22</v>
      </c>
      <c r="O291" s="1">
        <v>21</v>
      </c>
      <c r="P291" s="1">
        <v>19</v>
      </c>
      <c r="Q291" s="1">
        <v>28</v>
      </c>
      <c r="R291" s="1">
        <v>18</v>
      </c>
      <c r="S291" s="1">
        <v>31</v>
      </c>
      <c r="T291" s="1">
        <v>25</v>
      </c>
      <c r="U291" s="1">
        <v>15</v>
      </c>
      <c r="V291" s="1">
        <v>16</v>
      </c>
      <c r="W291" s="1">
        <v>11</v>
      </c>
      <c r="X291" s="1">
        <v>8</v>
      </c>
      <c r="Y291" s="1">
        <v>11</v>
      </c>
    </row>
    <row r="292" spans="1:25" x14ac:dyDescent="0.3">
      <c r="A292" s="2">
        <v>43725</v>
      </c>
      <c r="B292" s="1">
        <v>8</v>
      </c>
      <c r="C292" s="1">
        <v>7</v>
      </c>
      <c r="D292" s="1">
        <v>7</v>
      </c>
      <c r="E292" s="1">
        <v>4</v>
      </c>
      <c r="F292" s="1">
        <v>11</v>
      </c>
      <c r="G292" s="1">
        <v>11</v>
      </c>
      <c r="H292" s="1">
        <v>9</v>
      </c>
      <c r="I292" s="1">
        <v>14</v>
      </c>
      <c r="J292" s="1">
        <v>21</v>
      </c>
      <c r="K292" s="1">
        <v>26</v>
      </c>
      <c r="L292" s="1">
        <v>24</v>
      </c>
      <c r="M292" s="1">
        <v>23</v>
      </c>
      <c r="N292" s="1">
        <v>20</v>
      </c>
      <c r="O292" s="1">
        <v>17</v>
      </c>
      <c r="P292" s="1">
        <v>33</v>
      </c>
      <c r="Q292" s="1">
        <v>22</v>
      </c>
      <c r="R292" s="1">
        <v>27</v>
      </c>
      <c r="S292" s="1">
        <v>31</v>
      </c>
      <c r="T292" s="1">
        <v>31</v>
      </c>
      <c r="U292" s="1">
        <v>18</v>
      </c>
      <c r="V292" s="1">
        <v>19</v>
      </c>
      <c r="W292" s="1">
        <v>9</v>
      </c>
      <c r="X292" s="1">
        <v>12</v>
      </c>
      <c r="Y292" s="1">
        <v>8</v>
      </c>
    </row>
    <row r="293" spans="1:25" x14ac:dyDescent="0.3">
      <c r="A293" s="2">
        <v>43726</v>
      </c>
      <c r="B293" s="1">
        <v>4</v>
      </c>
      <c r="C293" s="1">
        <v>6</v>
      </c>
      <c r="D293" s="1">
        <v>7</v>
      </c>
      <c r="E293" s="1">
        <v>4</v>
      </c>
      <c r="F293" s="1">
        <v>7</v>
      </c>
      <c r="G293" s="1">
        <v>14</v>
      </c>
      <c r="H293" s="1">
        <v>9</v>
      </c>
      <c r="I293" s="1">
        <v>22</v>
      </c>
      <c r="J293" s="1">
        <v>28</v>
      </c>
      <c r="K293" s="1">
        <v>26</v>
      </c>
      <c r="L293" s="1">
        <v>23</v>
      </c>
      <c r="M293" s="1">
        <v>21</v>
      </c>
      <c r="N293" s="1">
        <v>17</v>
      </c>
      <c r="O293" s="1">
        <v>26</v>
      </c>
      <c r="P293" s="1">
        <v>24</v>
      </c>
      <c r="Q293" s="1">
        <v>33</v>
      </c>
      <c r="R293" s="1">
        <v>20</v>
      </c>
      <c r="S293" s="1">
        <v>21</v>
      </c>
      <c r="T293" s="1">
        <v>25</v>
      </c>
      <c r="U293" s="1">
        <v>19</v>
      </c>
      <c r="V293" s="1">
        <v>9</v>
      </c>
      <c r="W293" s="1">
        <v>13</v>
      </c>
      <c r="X293" s="1">
        <v>12</v>
      </c>
      <c r="Y293" s="1">
        <v>11</v>
      </c>
    </row>
    <row r="294" spans="1:25" x14ac:dyDescent="0.3">
      <c r="A294" s="2">
        <v>43727</v>
      </c>
      <c r="B294" s="1">
        <v>8</v>
      </c>
      <c r="C294" s="1">
        <v>7</v>
      </c>
      <c r="D294" s="1">
        <v>2</v>
      </c>
      <c r="E294" s="1">
        <v>7</v>
      </c>
      <c r="F294" s="1">
        <v>5</v>
      </c>
      <c r="G294" s="1">
        <v>10</v>
      </c>
      <c r="H294" s="1">
        <v>9</v>
      </c>
      <c r="I294" s="1">
        <v>21</v>
      </c>
      <c r="J294" s="1">
        <v>17</v>
      </c>
      <c r="K294" s="1">
        <v>30</v>
      </c>
      <c r="L294" s="1">
        <v>22</v>
      </c>
      <c r="M294" s="1">
        <v>21</v>
      </c>
      <c r="N294" s="1">
        <v>19</v>
      </c>
      <c r="O294" s="1">
        <v>33</v>
      </c>
      <c r="P294" s="1">
        <v>33</v>
      </c>
      <c r="Q294" s="1">
        <v>34</v>
      </c>
      <c r="R294" s="1">
        <v>22</v>
      </c>
      <c r="S294" s="1">
        <v>30</v>
      </c>
      <c r="T294" s="1">
        <v>14</v>
      </c>
      <c r="U294" s="1">
        <v>13</v>
      </c>
      <c r="V294" s="1">
        <v>18</v>
      </c>
      <c r="W294" s="1">
        <v>9</v>
      </c>
      <c r="X294" s="1">
        <v>10</v>
      </c>
      <c r="Y294" s="1">
        <v>6</v>
      </c>
    </row>
    <row r="295" spans="1:25" x14ac:dyDescent="0.3">
      <c r="A295" s="2">
        <v>43728</v>
      </c>
      <c r="B295" s="1">
        <v>10</v>
      </c>
      <c r="C295" s="1">
        <v>6</v>
      </c>
      <c r="D295" s="1">
        <v>7</v>
      </c>
      <c r="E295" s="1">
        <v>7</v>
      </c>
      <c r="F295" s="1">
        <v>9</v>
      </c>
      <c r="G295" s="1">
        <v>12</v>
      </c>
      <c r="H295" s="1">
        <v>14</v>
      </c>
      <c r="I295" s="1">
        <v>21</v>
      </c>
      <c r="J295" s="1">
        <v>25</v>
      </c>
      <c r="K295" s="1">
        <v>29</v>
      </c>
      <c r="L295" s="1">
        <v>25</v>
      </c>
      <c r="M295" s="1">
        <v>29</v>
      </c>
      <c r="N295" s="1">
        <v>25</v>
      </c>
      <c r="O295" s="1">
        <v>23</v>
      </c>
      <c r="P295" s="1">
        <v>26</v>
      </c>
      <c r="Q295" s="1">
        <v>17</v>
      </c>
      <c r="R295" s="1">
        <v>17</v>
      </c>
      <c r="S295" s="1">
        <v>35</v>
      </c>
      <c r="T295" s="1">
        <v>22</v>
      </c>
      <c r="U295" s="1">
        <v>25</v>
      </c>
      <c r="V295" s="1">
        <v>18</v>
      </c>
      <c r="W295" s="1">
        <v>20</v>
      </c>
      <c r="X295" s="1">
        <v>16</v>
      </c>
      <c r="Y295" s="1">
        <v>12</v>
      </c>
    </row>
    <row r="296" spans="1:25" x14ac:dyDescent="0.3">
      <c r="A296" s="2">
        <v>43729</v>
      </c>
      <c r="B296" s="1">
        <v>13</v>
      </c>
      <c r="C296" s="1">
        <v>15</v>
      </c>
      <c r="D296" s="1">
        <v>14</v>
      </c>
      <c r="E296" s="1">
        <v>2</v>
      </c>
      <c r="F296" s="1">
        <v>6</v>
      </c>
      <c r="G296" s="1">
        <v>4</v>
      </c>
      <c r="H296" s="1">
        <v>7</v>
      </c>
      <c r="I296" s="1">
        <v>12</v>
      </c>
      <c r="J296" s="1">
        <v>12</v>
      </c>
      <c r="K296" s="1">
        <v>23</v>
      </c>
      <c r="L296" s="1">
        <v>20</v>
      </c>
      <c r="M296" s="1">
        <v>26</v>
      </c>
      <c r="N296" s="1">
        <v>27</v>
      </c>
      <c r="O296" s="1">
        <v>23</v>
      </c>
      <c r="P296" s="1">
        <v>32</v>
      </c>
      <c r="Q296" s="1">
        <v>30</v>
      </c>
      <c r="R296" s="1">
        <v>24</v>
      </c>
      <c r="S296" s="1">
        <v>12</v>
      </c>
      <c r="T296" s="1">
        <v>8</v>
      </c>
      <c r="U296" s="1">
        <v>29</v>
      </c>
      <c r="V296" s="1">
        <v>22</v>
      </c>
      <c r="W296" s="1">
        <v>31</v>
      </c>
      <c r="X296" s="1">
        <v>18</v>
      </c>
      <c r="Y296" s="1">
        <v>16</v>
      </c>
    </row>
    <row r="297" spans="1:25" x14ac:dyDescent="0.3">
      <c r="A297" s="2">
        <v>43730</v>
      </c>
      <c r="B297" s="1">
        <v>9</v>
      </c>
      <c r="C297" s="1">
        <v>13</v>
      </c>
      <c r="D297" s="1">
        <v>17</v>
      </c>
      <c r="E297" s="1">
        <v>10</v>
      </c>
      <c r="F297" s="1">
        <v>13</v>
      </c>
      <c r="G297" s="1">
        <v>10</v>
      </c>
      <c r="H297" s="1">
        <v>8</v>
      </c>
      <c r="I297" s="1">
        <v>9</v>
      </c>
      <c r="J297" s="1">
        <v>15</v>
      </c>
      <c r="K297" s="1">
        <v>23</v>
      </c>
      <c r="L297" s="1">
        <v>11</v>
      </c>
      <c r="M297" s="1">
        <v>26</v>
      </c>
      <c r="N297" s="1">
        <v>26</v>
      </c>
      <c r="O297" s="1">
        <v>16</v>
      </c>
      <c r="P297" s="1">
        <v>20</v>
      </c>
      <c r="Q297" s="1">
        <v>18</v>
      </c>
      <c r="R297" s="1">
        <v>17</v>
      </c>
      <c r="S297" s="1">
        <v>12</v>
      </c>
      <c r="T297" s="1">
        <v>22</v>
      </c>
      <c r="U297" s="1">
        <v>17</v>
      </c>
      <c r="V297" s="1">
        <v>12</v>
      </c>
      <c r="W297" s="1">
        <v>12</v>
      </c>
      <c r="X297" s="1">
        <v>13</v>
      </c>
      <c r="Y297" s="1">
        <v>8</v>
      </c>
    </row>
    <row r="298" spans="1:25" x14ac:dyDescent="0.3">
      <c r="A298" s="2">
        <v>43731</v>
      </c>
      <c r="B298" s="1">
        <v>4</v>
      </c>
      <c r="C298" s="1">
        <v>2</v>
      </c>
      <c r="D298" s="1">
        <v>3</v>
      </c>
      <c r="E298" s="1">
        <v>6</v>
      </c>
      <c r="F298" s="1">
        <v>4</v>
      </c>
      <c r="G298" s="1">
        <v>5</v>
      </c>
      <c r="H298" s="1">
        <v>20</v>
      </c>
      <c r="I298" s="1">
        <v>22</v>
      </c>
      <c r="J298" s="1">
        <v>28</v>
      </c>
      <c r="K298" s="1">
        <v>20</v>
      </c>
      <c r="L298" s="1">
        <v>24</v>
      </c>
      <c r="M298" s="1">
        <v>32</v>
      </c>
      <c r="N298" s="1">
        <v>27</v>
      </c>
      <c r="O298" s="1">
        <v>33</v>
      </c>
      <c r="P298" s="1">
        <v>23</v>
      </c>
      <c r="Q298" s="1">
        <v>31</v>
      </c>
      <c r="R298" s="1">
        <v>23</v>
      </c>
      <c r="S298" s="1">
        <v>32</v>
      </c>
      <c r="T298" s="1">
        <v>22</v>
      </c>
      <c r="U298" s="1">
        <v>20</v>
      </c>
      <c r="V298" s="1">
        <v>17</v>
      </c>
      <c r="W298" s="1">
        <v>11</v>
      </c>
      <c r="X298" s="1">
        <v>9</v>
      </c>
      <c r="Y298" s="1">
        <v>13</v>
      </c>
    </row>
    <row r="299" spans="1:25" x14ac:dyDescent="0.3">
      <c r="A299" s="2">
        <v>43732</v>
      </c>
      <c r="B299" s="1">
        <v>5</v>
      </c>
      <c r="C299" s="1">
        <v>5</v>
      </c>
      <c r="D299" s="1">
        <v>7</v>
      </c>
      <c r="E299" s="1">
        <v>6</v>
      </c>
      <c r="F299" s="1">
        <v>3</v>
      </c>
      <c r="G299" s="1">
        <v>20</v>
      </c>
      <c r="H299" s="1">
        <v>16</v>
      </c>
      <c r="I299" s="1">
        <v>7</v>
      </c>
      <c r="J299" s="1">
        <v>27</v>
      </c>
      <c r="K299" s="1">
        <v>29</v>
      </c>
      <c r="L299" s="1">
        <v>25</v>
      </c>
      <c r="M299" s="1">
        <v>27</v>
      </c>
      <c r="N299" s="1">
        <v>25</v>
      </c>
      <c r="O299" s="1">
        <v>29</v>
      </c>
      <c r="P299" s="1">
        <v>27</v>
      </c>
      <c r="Q299" s="1">
        <v>26</v>
      </c>
      <c r="R299" s="1">
        <v>26</v>
      </c>
      <c r="S299" s="1">
        <v>28</v>
      </c>
      <c r="T299" s="1">
        <v>20</v>
      </c>
      <c r="U299" s="1">
        <v>31</v>
      </c>
      <c r="V299" s="1">
        <v>14</v>
      </c>
      <c r="W299" s="1">
        <v>6</v>
      </c>
      <c r="X299" s="1">
        <v>6</v>
      </c>
      <c r="Y299" s="1">
        <v>9</v>
      </c>
    </row>
    <row r="300" spans="1:25" x14ac:dyDescent="0.3">
      <c r="A300" s="2">
        <v>43733</v>
      </c>
      <c r="B300" s="1">
        <v>4</v>
      </c>
      <c r="C300" s="1">
        <v>12</v>
      </c>
      <c r="D300" s="1">
        <v>5</v>
      </c>
      <c r="E300" s="1">
        <v>7</v>
      </c>
      <c r="F300" s="1">
        <v>6</v>
      </c>
      <c r="G300" s="1">
        <v>3</v>
      </c>
      <c r="H300" s="1">
        <v>15</v>
      </c>
      <c r="I300" s="1">
        <v>16</v>
      </c>
      <c r="J300" s="1">
        <v>28</v>
      </c>
      <c r="K300" s="1">
        <v>24</v>
      </c>
      <c r="L300" s="1">
        <v>24</v>
      </c>
      <c r="M300" s="1">
        <v>24</v>
      </c>
      <c r="N300" s="1">
        <v>32</v>
      </c>
      <c r="O300" s="1">
        <v>18</v>
      </c>
      <c r="P300" s="1">
        <v>21</v>
      </c>
      <c r="Q300" s="1">
        <v>31</v>
      </c>
      <c r="R300" s="1">
        <v>35</v>
      </c>
      <c r="S300" s="1">
        <v>28</v>
      </c>
      <c r="T300" s="1">
        <v>16</v>
      </c>
      <c r="U300" s="1">
        <v>28</v>
      </c>
      <c r="V300" s="1">
        <v>22</v>
      </c>
      <c r="W300" s="1">
        <v>13</v>
      </c>
      <c r="X300" s="1">
        <v>12</v>
      </c>
      <c r="Y300" s="1">
        <v>11</v>
      </c>
    </row>
    <row r="301" spans="1:25" x14ac:dyDescent="0.3">
      <c r="A301" s="2">
        <v>43734</v>
      </c>
      <c r="B301" s="1">
        <v>11</v>
      </c>
      <c r="C301" s="1">
        <v>4</v>
      </c>
      <c r="D301" s="1">
        <v>3</v>
      </c>
      <c r="E301" s="1">
        <v>3</v>
      </c>
      <c r="F301" s="1">
        <v>7</v>
      </c>
      <c r="G301" s="1">
        <v>5</v>
      </c>
      <c r="H301" s="1">
        <v>9</v>
      </c>
      <c r="I301" s="1">
        <v>22</v>
      </c>
      <c r="J301" s="1">
        <v>26</v>
      </c>
      <c r="K301" s="1">
        <v>29</v>
      </c>
      <c r="L301" s="1">
        <v>28</v>
      </c>
      <c r="M301" s="1">
        <v>16</v>
      </c>
      <c r="N301" s="1">
        <v>28</v>
      </c>
      <c r="O301" s="1">
        <v>20</v>
      </c>
      <c r="P301" s="1">
        <v>28</v>
      </c>
      <c r="Q301" s="1">
        <v>27</v>
      </c>
      <c r="R301" s="1">
        <v>28</v>
      </c>
      <c r="S301" s="1">
        <v>33</v>
      </c>
      <c r="T301" s="1">
        <v>25</v>
      </c>
      <c r="U301" s="1">
        <v>14</v>
      </c>
      <c r="V301" s="1">
        <v>19</v>
      </c>
      <c r="W301" s="1">
        <v>18</v>
      </c>
      <c r="X301" s="1">
        <v>9</v>
      </c>
      <c r="Y301" s="1">
        <v>13</v>
      </c>
    </row>
    <row r="302" spans="1:25" x14ac:dyDescent="0.3">
      <c r="A302" s="2">
        <v>43735</v>
      </c>
      <c r="B302" s="1">
        <v>7</v>
      </c>
      <c r="C302" s="1">
        <v>4</v>
      </c>
      <c r="D302" s="1">
        <v>6</v>
      </c>
      <c r="E302" s="1">
        <v>3</v>
      </c>
      <c r="F302" s="1">
        <v>4</v>
      </c>
      <c r="G302" s="1">
        <v>5</v>
      </c>
      <c r="H302" s="1">
        <v>15</v>
      </c>
      <c r="I302" s="1">
        <v>14</v>
      </c>
      <c r="J302" s="1">
        <v>21</v>
      </c>
      <c r="K302" s="1">
        <v>32</v>
      </c>
      <c r="L302" s="1">
        <v>26</v>
      </c>
      <c r="M302" s="1">
        <v>33</v>
      </c>
      <c r="N302" s="1">
        <v>16</v>
      </c>
      <c r="O302" s="1">
        <v>26</v>
      </c>
      <c r="P302" s="1">
        <v>26</v>
      </c>
      <c r="Q302" s="1">
        <v>26</v>
      </c>
      <c r="R302" s="1">
        <v>24</v>
      </c>
      <c r="S302" s="1">
        <v>26</v>
      </c>
      <c r="T302" s="1">
        <v>17</v>
      </c>
      <c r="U302" s="1">
        <v>19</v>
      </c>
      <c r="V302" s="1">
        <v>24</v>
      </c>
      <c r="W302" s="1">
        <v>20</v>
      </c>
      <c r="X302" s="1">
        <v>11</v>
      </c>
      <c r="Y302" s="1">
        <v>11</v>
      </c>
    </row>
    <row r="303" spans="1:25" x14ac:dyDescent="0.3">
      <c r="A303" s="2">
        <v>43736</v>
      </c>
      <c r="B303" s="1">
        <v>11</v>
      </c>
      <c r="C303" s="1">
        <v>6</v>
      </c>
      <c r="D303" s="1">
        <v>9</v>
      </c>
      <c r="E303" s="1">
        <v>12</v>
      </c>
      <c r="F303" s="1">
        <v>8</v>
      </c>
      <c r="G303" s="1">
        <v>3</v>
      </c>
      <c r="H303" s="1">
        <v>0</v>
      </c>
      <c r="I303" s="1">
        <v>11</v>
      </c>
      <c r="J303" s="1">
        <v>9</v>
      </c>
      <c r="K303" s="1">
        <v>16</v>
      </c>
      <c r="L303" s="1">
        <v>19</v>
      </c>
      <c r="M303" s="1">
        <v>17</v>
      </c>
      <c r="N303" s="1">
        <v>21</v>
      </c>
      <c r="O303" s="1">
        <v>31</v>
      </c>
      <c r="P303" s="1">
        <v>19</v>
      </c>
      <c r="Q303" s="1">
        <v>14</v>
      </c>
      <c r="R303" s="1">
        <v>18</v>
      </c>
      <c r="S303" s="1">
        <v>26</v>
      </c>
      <c r="T303" s="1">
        <v>19</v>
      </c>
      <c r="U303" s="1">
        <v>18</v>
      </c>
      <c r="V303" s="1">
        <v>19</v>
      </c>
      <c r="W303" s="1">
        <v>16</v>
      </c>
      <c r="X303" s="1">
        <v>23</v>
      </c>
      <c r="Y303" s="1">
        <v>18</v>
      </c>
    </row>
    <row r="304" spans="1:25" x14ac:dyDescent="0.3">
      <c r="A304" s="2">
        <v>43737</v>
      </c>
      <c r="B304" s="1">
        <v>18</v>
      </c>
      <c r="C304" s="1">
        <v>10</v>
      </c>
      <c r="D304" s="1">
        <v>15</v>
      </c>
      <c r="E304" s="1">
        <v>5</v>
      </c>
      <c r="F304" s="1">
        <v>4</v>
      </c>
      <c r="G304" s="1">
        <v>4</v>
      </c>
      <c r="H304" s="1">
        <v>4</v>
      </c>
      <c r="I304" s="1">
        <v>4</v>
      </c>
      <c r="J304" s="1">
        <v>9</v>
      </c>
      <c r="K304" s="1">
        <v>16</v>
      </c>
      <c r="L304" s="1">
        <v>14</v>
      </c>
      <c r="M304" s="1">
        <v>24</v>
      </c>
      <c r="N304" s="1">
        <v>23</v>
      </c>
      <c r="O304" s="1">
        <v>28</v>
      </c>
      <c r="P304" s="1">
        <v>16</v>
      </c>
      <c r="Q304" s="1">
        <v>17</v>
      </c>
      <c r="R304" s="1">
        <v>25</v>
      </c>
      <c r="S304" s="1">
        <v>21</v>
      </c>
      <c r="T304" s="1">
        <v>24</v>
      </c>
      <c r="U304" s="1">
        <v>19</v>
      </c>
      <c r="V304" s="1">
        <v>14</v>
      </c>
      <c r="W304" s="1">
        <v>8</v>
      </c>
      <c r="X304" s="1">
        <v>8</v>
      </c>
      <c r="Y304" s="1">
        <v>20</v>
      </c>
    </row>
    <row r="305" spans="1:25" x14ac:dyDescent="0.3">
      <c r="A305" s="2">
        <v>43738</v>
      </c>
      <c r="B305" s="1">
        <v>9</v>
      </c>
      <c r="C305" s="1">
        <v>4</v>
      </c>
      <c r="D305" s="1">
        <v>7</v>
      </c>
      <c r="E305" s="1">
        <v>9</v>
      </c>
      <c r="F305" s="1">
        <v>4</v>
      </c>
      <c r="G305" s="1">
        <v>10</v>
      </c>
      <c r="H305" s="1">
        <v>16</v>
      </c>
      <c r="I305" s="1">
        <v>18</v>
      </c>
      <c r="J305" s="1">
        <v>21</v>
      </c>
      <c r="K305" s="1">
        <v>17</v>
      </c>
      <c r="L305" s="1">
        <v>40</v>
      </c>
      <c r="M305" s="1">
        <v>27</v>
      </c>
      <c r="N305" s="1">
        <v>14</v>
      </c>
      <c r="O305" s="1">
        <v>18</v>
      </c>
      <c r="P305" s="1">
        <v>21</v>
      </c>
      <c r="Q305" s="1">
        <v>17</v>
      </c>
      <c r="R305" s="1">
        <v>16</v>
      </c>
      <c r="S305" s="1">
        <v>20</v>
      </c>
      <c r="T305" s="1">
        <v>20</v>
      </c>
      <c r="U305" s="1">
        <v>13</v>
      </c>
      <c r="V305" s="1">
        <v>17</v>
      </c>
      <c r="W305" s="1">
        <v>14</v>
      </c>
      <c r="X305" s="1">
        <v>8</v>
      </c>
      <c r="Y305" s="1">
        <v>14</v>
      </c>
    </row>
    <row r="306" spans="1:25" x14ac:dyDescent="0.3">
      <c r="A306" s="2">
        <v>43739</v>
      </c>
      <c r="B306" s="1">
        <v>4</v>
      </c>
      <c r="C306" s="1">
        <v>1</v>
      </c>
      <c r="D306" s="1">
        <v>5</v>
      </c>
      <c r="E306" s="1">
        <v>5</v>
      </c>
      <c r="F306" s="1">
        <v>2</v>
      </c>
      <c r="G306" s="1">
        <v>9</v>
      </c>
      <c r="H306" s="1">
        <v>8</v>
      </c>
      <c r="I306" s="1">
        <v>9</v>
      </c>
      <c r="J306" s="1">
        <v>16</v>
      </c>
      <c r="K306" s="1">
        <v>18</v>
      </c>
      <c r="L306" s="1">
        <v>29</v>
      </c>
      <c r="M306" s="1">
        <v>16</v>
      </c>
      <c r="N306" s="1">
        <v>32</v>
      </c>
      <c r="O306" s="1">
        <v>16</v>
      </c>
      <c r="P306" s="1">
        <v>25</v>
      </c>
      <c r="Q306" s="1">
        <v>28</v>
      </c>
      <c r="R306" s="1">
        <v>23</v>
      </c>
      <c r="S306" s="1">
        <v>29</v>
      </c>
      <c r="T306" s="1">
        <v>23</v>
      </c>
      <c r="U306" s="1">
        <v>7</v>
      </c>
      <c r="V306" s="1">
        <v>19</v>
      </c>
      <c r="W306" s="1">
        <v>7</v>
      </c>
      <c r="X306" s="1">
        <v>10</v>
      </c>
      <c r="Y306" s="1">
        <v>7</v>
      </c>
    </row>
    <row r="307" spans="1:25" x14ac:dyDescent="0.3">
      <c r="A307" s="2">
        <v>43740</v>
      </c>
      <c r="B307" s="1">
        <v>5</v>
      </c>
      <c r="C307" s="1">
        <v>9</v>
      </c>
      <c r="D307" s="1">
        <v>5</v>
      </c>
      <c r="E307" s="1">
        <v>8</v>
      </c>
      <c r="F307" s="1">
        <v>9</v>
      </c>
      <c r="G307" s="1">
        <v>5</v>
      </c>
      <c r="H307" s="1">
        <v>4</v>
      </c>
      <c r="I307" s="1">
        <v>24</v>
      </c>
      <c r="J307" s="1">
        <v>23</v>
      </c>
      <c r="K307" s="1">
        <v>23</v>
      </c>
      <c r="L307" s="1">
        <v>23</v>
      </c>
      <c r="M307" s="1">
        <v>32</v>
      </c>
      <c r="N307" s="1">
        <v>29</v>
      </c>
      <c r="O307" s="1">
        <v>38</v>
      </c>
      <c r="P307" s="1">
        <v>35</v>
      </c>
      <c r="Q307" s="1">
        <v>30</v>
      </c>
      <c r="R307" s="1">
        <v>33</v>
      </c>
      <c r="S307" s="1">
        <v>27</v>
      </c>
      <c r="T307" s="1">
        <v>14</v>
      </c>
      <c r="U307" s="1">
        <v>30</v>
      </c>
      <c r="V307" s="1">
        <v>23</v>
      </c>
      <c r="W307" s="1">
        <v>15</v>
      </c>
      <c r="X307" s="1">
        <v>11</v>
      </c>
      <c r="Y307" s="1">
        <v>4</v>
      </c>
    </row>
    <row r="308" spans="1:25" x14ac:dyDescent="0.3">
      <c r="A308" s="2">
        <v>43741</v>
      </c>
      <c r="B308" s="1">
        <v>3</v>
      </c>
      <c r="C308" s="1">
        <v>6</v>
      </c>
      <c r="D308" s="1">
        <v>6</v>
      </c>
      <c r="E308" s="1">
        <v>6</v>
      </c>
      <c r="F308" s="1">
        <v>3</v>
      </c>
      <c r="G308" s="1">
        <v>3</v>
      </c>
      <c r="H308" s="1">
        <v>12</v>
      </c>
      <c r="I308" s="1">
        <v>35</v>
      </c>
      <c r="J308" s="1">
        <v>37</v>
      </c>
      <c r="K308" s="1">
        <v>34</v>
      </c>
      <c r="L308" s="1">
        <v>23</v>
      </c>
      <c r="M308" s="1">
        <v>27</v>
      </c>
      <c r="N308" s="1">
        <v>38</v>
      </c>
      <c r="O308" s="1">
        <v>24</v>
      </c>
      <c r="P308" s="1">
        <v>31</v>
      </c>
      <c r="Q308" s="1">
        <v>30</v>
      </c>
      <c r="R308" s="1">
        <v>36</v>
      </c>
      <c r="S308" s="1">
        <v>35</v>
      </c>
      <c r="T308" s="1">
        <v>17</v>
      </c>
      <c r="U308" s="1">
        <v>24</v>
      </c>
      <c r="V308" s="1">
        <v>19</v>
      </c>
      <c r="W308" s="1">
        <v>24</v>
      </c>
      <c r="X308" s="1">
        <v>18</v>
      </c>
      <c r="Y308" s="1">
        <v>6</v>
      </c>
    </row>
    <row r="309" spans="1:25" x14ac:dyDescent="0.3">
      <c r="A309" s="2">
        <v>43742</v>
      </c>
      <c r="B309" s="1">
        <v>6</v>
      </c>
      <c r="C309" s="1">
        <v>8</v>
      </c>
      <c r="D309" s="1">
        <v>8</v>
      </c>
      <c r="E309" s="1">
        <v>6</v>
      </c>
      <c r="F309" s="1">
        <v>2</v>
      </c>
      <c r="G309" s="1">
        <v>2</v>
      </c>
      <c r="H309" s="1">
        <v>12</v>
      </c>
      <c r="I309" s="1">
        <v>21</v>
      </c>
      <c r="J309" s="1">
        <v>32</v>
      </c>
      <c r="K309" s="1">
        <v>18</v>
      </c>
      <c r="L309" s="1">
        <v>28</v>
      </c>
      <c r="M309" s="1">
        <v>33</v>
      </c>
      <c r="N309" s="1">
        <v>27</v>
      </c>
      <c r="O309" s="1">
        <v>28</v>
      </c>
      <c r="P309" s="1">
        <v>29</v>
      </c>
      <c r="Q309" s="1">
        <v>35</v>
      </c>
      <c r="R309" s="1">
        <v>37</v>
      </c>
      <c r="S309" s="1">
        <v>36</v>
      </c>
      <c r="T309" s="1">
        <v>19</v>
      </c>
      <c r="U309" s="1">
        <v>22</v>
      </c>
      <c r="V309" s="1">
        <v>20</v>
      </c>
      <c r="W309" s="1">
        <v>12</v>
      </c>
      <c r="X309" s="1">
        <v>11</v>
      </c>
      <c r="Y309" s="1">
        <v>8</v>
      </c>
    </row>
    <row r="310" spans="1:25" x14ac:dyDescent="0.3">
      <c r="A310" s="2">
        <v>43743</v>
      </c>
      <c r="B310" s="1">
        <v>12</v>
      </c>
      <c r="C310" s="1">
        <v>5</v>
      </c>
      <c r="D310" s="1">
        <v>7</v>
      </c>
      <c r="E310" s="1">
        <v>3</v>
      </c>
      <c r="F310" s="1">
        <v>8</v>
      </c>
      <c r="G310" s="1">
        <v>5</v>
      </c>
      <c r="H310" s="1">
        <v>7</v>
      </c>
      <c r="I310" s="1">
        <v>6</v>
      </c>
      <c r="J310" s="1">
        <v>11</v>
      </c>
      <c r="K310" s="1">
        <v>18</v>
      </c>
      <c r="L310" s="1">
        <v>20</v>
      </c>
      <c r="M310" s="1">
        <v>23</v>
      </c>
      <c r="N310" s="1">
        <v>22</v>
      </c>
      <c r="O310" s="1">
        <v>11</v>
      </c>
      <c r="P310" s="1">
        <v>21</v>
      </c>
      <c r="Q310" s="1">
        <v>29</v>
      </c>
      <c r="R310" s="1">
        <v>16</v>
      </c>
      <c r="S310" s="1">
        <v>23</v>
      </c>
      <c r="T310" s="1">
        <v>22</v>
      </c>
      <c r="U310" s="1">
        <v>30</v>
      </c>
      <c r="V310" s="1">
        <v>27</v>
      </c>
      <c r="W310" s="1">
        <v>24</v>
      </c>
      <c r="X310" s="1">
        <v>18</v>
      </c>
      <c r="Y310" s="1">
        <v>17</v>
      </c>
    </row>
    <row r="311" spans="1:25" x14ac:dyDescent="0.3">
      <c r="A311" s="2">
        <v>43744</v>
      </c>
      <c r="B311" s="1">
        <v>16</v>
      </c>
      <c r="C311" s="1">
        <v>14</v>
      </c>
      <c r="D311" s="1">
        <v>7</v>
      </c>
      <c r="E311" s="1">
        <v>11</v>
      </c>
      <c r="F311" s="1">
        <v>7</v>
      </c>
      <c r="G311" s="1">
        <v>4</v>
      </c>
      <c r="H311" s="1">
        <v>13</v>
      </c>
      <c r="I311" s="1">
        <v>15</v>
      </c>
      <c r="J311" s="1">
        <v>11</v>
      </c>
      <c r="K311" s="1">
        <v>14</v>
      </c>
      <c r="L311" s="1">
        <v>23</v>
      </c>
      <c r="M311" s="1">
        <v>15</v>
      </c>
      <c r="N311" s="1">
        <v>22</v>
      </c>
      <c r="O311" s="1">
        <v>34</v>
      </c>
      <c r="P311" s="1">
        <v>23</v>
      </c>
      <c r="Q311" s="1">
        <v>23</v>
      </c>
      <c r="R311" s="1">
        <v>13</v>
      </c>
      <c r="S311" s="1">
        <v>20</v>
      </c>
      <c r="T311" s="1">
        <v>25</v>
      </c>
      <c r="U311" s="1">
        <v>14</v>
      </c>
      <c r="V311" s="1">
        <v>16</v>
      </c>
      <c r="W311" s="1">
        <v>9</v>
      </c>
      <c r="X311" s="1">
        <v>16</v>
      </c>
      <c r="Y311" s="1">
        <v>18</v>
      </c>
    </row>
    <row r="312" spans="1:25" x14ac:dyDescent="0.3">
      <c r="A312" s="2">
        <v>43745</v>
      </c>
      <c r="B312" s="1">
        <v>10</v>
      </c>
      <c r="C312" s="1">
        <v>6</v>
      </c>
      <c r="D312" s="1">
        <v>9</v>
      </c>
      <c r="E312" s="1">
        <v>3</v>
      </c>
      <c r="F312" s="1">
        <v>5</v>
      </c>
      <c r="G312" s="1">
        <v>12</v>
      </c>
      <c r="H312" s="1">
        <v>14</v>
      </c>
      <c r="I312" s="1">
        <v>21</v>
      </c>
      <c r="J312" s="1">
        <v>29</v>
      </c>
      <c r="K312" s="1">
        <v>20</v>
      </c>
      <c r="L312" s="1">
        <v>22</v>
      </c>
      <c r="M312" s="1">
        <v>27</v>
      </c>
      <c r="N312" s="1">
        <v>16</v>
      </c>
      <c r="O312" s="1">
        <v>23</v>
      </c>
      <c r="P312" s="1">
        <v>28</v>
      </c>
      <c r="Q312" s="1">
        <v>28</v>
      </c>
      <c r="R312" s="1">
        <v>24</v>
      </c>
      <c r="S312" s="1">
        <v>18</v>
      </c>
      <c r="T312" s="1">
        <v>26</v>
      </c>
      <c r="U312" s="1">
        <v>17</v>
      </c>
      <c r="V312" s="1">
        <v>10</v>
      </c>
      <c r="W312" s="1">
        <v>11</v>
      </c>
      <c r="X312" s="1">
        <v>16</v>
      </c>
      <c r="Y312" s="1">
        <v>6</v>
      </c>
    </row>
    <row r="313" spans="1:25" x14ac:dyDescent="0.3">
      <c r="A313" s="2">
        <v>43746</v>
      </c>
      <c r="B313" s="1">
        <v>9</v>
      </c>
      <c r="C313" s="1">
        <v>7</v>
      </c>
      <c r="D313" s="1">
        <v>6</v>
      </c>
      <c r="E313" s="1">
        <v>1</v>
      </c>
      <c r="F313" s="1">
        <v>6</v>
      </c>
      <c r="G313" s="1">
        <v>6</v>
      </c>
      <c r="H313" s="1">
        <v>11</v>
      </c>
      <c r="I313" s="1">
        <v>11</v>
      </c>
      <c r="J313" s="1">
        <v>17</v>
      </c>
      <c r="K313" s="1">
        <v>36</v>
      </c>
      <c r="L313" s="1">
        <v>29</v>
      </c>
      <c r="M313" s="1">
        <v>27</v>
      </c>
      <c r="N313" s="1">
        <v>21</v>
      </c>
      <c r="O313" s="1">
        <v>25</v>
      </c>
      <c r="P313" s="1">
        <v>29</v>
      </c>
      <c r="Q313" s="1">
        <v>21</v>
      </c>
      <c r="R313" s="1">
        <v>14</v>
      </c>
      <c r="S313" s="1">
        <v>30</v>
      </c>
      <c r="T313" s="1">
        <v>15</v>
      </c>
      <c r="U313" s="1">
        <v>21</v>
      </c>
      <c r="V313" s="1">
        <v>16</v>
      </c>
      <c r="W313" s="1">
        <v>21</v>
      </c>
      <c r="X313" s="1">
        <v>7</v>
      </c>
      <c r="Y313" s="1">
        <v>10</v>
      </c>
    </row>
    <row r="314" spans="1:25" x14ac:dyDescent="0.3">
      <c r="A314" s="2">
        <v>43747</v>
      </c>
      <c r="B314" s="1">
        <v>6</v>
      </c>
      <c r="C314" s="1">
        <v>10</v>
      </c>
      <c r="D314" s="1">
        <v>4</v>
      </c>
      <c r="E314" s="1">
        <v>3</v>
      </c>
      <c r="F314" s="1">
        <v>4</v>
      </c>
      <c r="G314" s="1">
        <v>5</v>
      </c>
      <c r="H314" s="1">
        <v>8</v>
      </c>
      <c r="I314" s="1">
        <v>21</v>
      </c>
      <c r="J314" s="1">
        <v>25</v>
      </c>
      <c r="K314" s="1">
        <v>31</v>
      </c>
      <c r="L314" s="1">
        <v>36</v>
      </c>
      <c r="M314" s="1">
        <v>14</v>
      </c>
      <c r="N314" s="1">
        <v>25</v>
      </c>
      <c r="O314" s="1">
        <v>17</v>
      </c>
      <c r="P314" s="1">
        <v>24</v>
      </c>
      <c r="Q314" s="1">
        <v>28</v>
      </c>
      <c r="R314" s="1">
        <v>20</v>
      </c>
      <c r="S314" s="1">
        <v>28</v>
      </c>
      <c r="T314" s="1">
        <v>24</v>
      </c>
      <c r="U314" s="1">
        <v>22</v>
      </c>
      <c r="V314" s="1">
        <v>14</v>
      </c>
      <c r="W314" s="1">
        <v>21</v>
      </c>
      <c r="X314" s="1">
        <v>14</v>
      </c>
      <c r="Y314" s="1">
        <v>7</v>
      </c>
    </row>
    <row r="315" spans="1:25" x14ac:dyDescent="0.3">
      <c r="A315" s="2">
        <v>43748</v>
      </c>
      <c r="B315" s="1">
        <v>7</v>
      </c>
      <c r="C315" s="1">
        <v>3</v>
      </c>
      <c r="D315" s="1">
        <v>8</v>
      </c>
      <c r="E315" s="1">
        <v>2</v>
      </c>
      <c r="F315" s="1">
        <v>8</v>
      </c>
      <c r="G315" s="1">
        <v>8</v>
      </c>
      <c r="H315" s="1">
        <v>15</v>
      </c>
      <c r="I315" s="1">
        <v>18</v>
      </c>
      <c r="J315" s="1">
        <v>25</v>
      </c>
      <c r="K315" s="1">
        <v>25</v>
      </c>
      <c r="L315" s="1">
        <v>26</v>
      </c>
      <c r="M315" s="1">
        <v>30</v>
      </c>
      <c r="N315" s="1">
        <v>22</v>
      </c>
      <c r="O315" s="1">
        <v>26</v>
      </c>
      <c r="P315" s="1">
        <v>32</v>
      </c>
      <c r="Q315" s="1">
        <v>17</v>
      </c>
      <c r="R315" s="1">
        <v>33</v>
      </c>
      <c r="S315" s="1">
        <v>27</v>
      </c>
      <c r="T315" s="1">
        <v>27</v>
      </c>
      <c r="U315" s="1">
        <v>21</v>
      </c>
      <c r="V315" s="1">
        <v>11</v>
      </c>
      <c r="W315" s="1">
        <v>17</v>
      </c>
      <c r="X315" s="1">
        <v>9</v>
      </c>
      <c r="Y315" s="1">
        <v>5</v>
      </c>
    </row>
    <row r="316" spans="1:25" x14ac:dyDescent="0.3">
      <c r="A316" s="2">
        <v>43749</v>
      </c>
      <c r="B316" s="1">
        <v>9</v>
      </c>
      <c r="C316" s="1">
        <v>10</v>
      </c>
      <c r="D316" s="1">
        <v>5</v>
      </c>
      <c r="E316" s="1">
        <v>4</v>
      </c>
      <c r="F316" s="1">
        <v>2</v>
      </c>
      <c r="G316" s="1">
        <v>8</v>
      </c>
      <c r="H316" s="1">
        <v>14</v>
      </c>
      <c r="I316" s="1">
        <v>18</v>
      </c>
      <c r="J316" s="1">
        <v>19</v>
      </c>
      <c r="K316" s="1">
        <v>11</v>
      </c>
      <c r="L316" s="1">
        <v>23</v>
      </c>
      <c r="M316" s="1">
        <v>25</v>
      </c>
      <c r="N316" s="1">
        <v>21</v>
      </c>
      <c r="O316" s="1">
        <v>14</v>
      </c>
      <c r="P316" s="1">
        <v>30</v>
      </c>
      <c r="Q316" s="1">
        <v>35</v>
      </c>
      <c r="R316" s="1">
        <v>29</v>
      </c>
      <c r="S316" s="1">
        <v>40</v>
      </c>
      <c r="T316" s="1">
        <v>20</v>
      </c>
      <c r="U316" s="1">
        <v>16</v>
      </c>
      <c r="V316" s="1">
        <v>11</v>
      </c>
      <c r="W316" s="1">
        <v>16</v>
      </c>
      <c r="X316" s="1">
        <v>19</v>
      </c>
      <c r="Y316" s="1">
        <v>16</v>
      </c>
    </row>
    <row r="317" spans="1:25" x14ac:dyDescent="0.3">
      <c r="A317" s="2">
        <v>43750</v>
      </c>
      <c r="B317" s="1">
        <v>20</v>
      </c>
      <c r="C317" s="1">
        <v>7</v>
      </c>
      <c r="D317" s="1">
        <v>9</v>
      </c>
      <c r="E317" s="1">
        <v>6</v>
      </c>
      <c r="F317" s="1">
        <v>4</v>
      </c>
      <c r="G317" s="1">
        <v>5</v>
      </c>
      <c r="H317" s="1">
        <v>4</v>
      </c>
      <c r="I317" s="1">
        <v>19</v>
      </c>
      <c r="J317" s="1">
        <v>19</v>
      </c>
      <c r="K317" s="1">
        <v>19</v>
      </c>
      <c r="L317" s="1">
        <v>24</v>
      </c>
      <c r="M317" s="1">
        <v>29</v>
      </c>
      <c r="N317" s="1">
        <v>12</v>
      </c>
      <c r="O317" s="1">
        <v>23</v>
      </c>
      <c r="P317" s="1">
        <v>35</v>
      </c>
      <c r="Q317" s="1">
        <v>21</v>
      </c>
      <c r="R317" s="1">
        <v>19</v>
      </c>
      <c r="S317" s="1">
        <v>22</v>
      </c>
      <c r="T317" s="1">
        <v>18</v>
      </c>
      <c r="U317" s="1">
        <v>23</v>
      </c>
      <c r="V317" s="1">
        <v>12</v>
      </c>
      <c r="W317" s="1">
        <v>21</v>
      </c>
      <c r="X317" s="1">
        <v>13</v>
      </c>
      <c r="Y317" s="1">
        <v>11</v>
      </c>
    </row>
    <row r="318" spans="1:25" x14ac:dyDescent="0.3">
      <c r="A318" s="2">
        <v>43751</v>
      </c>
      <c r="B318" s="1">
        <v>10</v>
      </c>
      <c r="C318" s="1">
        <v>12</v>
      </c>
      <c r="D318" s="1">
        <v>7</v>
      </c>
      <c r="E318" s="1">
        <v>5</v>
      </c>
      <c r="F318" s="1">
        <v>15</v>
      </c>
      <c r="G318" s="1">
        <v>14</v>
      </c>
      <c r="H318" s="1">
        <v>8</v>
      </c>
      <c r="I318" s="1">
        <v>7</v>
      </c>
      <c r="J318" s="1">
        <v>18</v>
      </c>
      <c r="K318" s="1">
        <v>19</v>
      </c>
      <c r="L318" s="1">
        <v>20</v>
      </c>
      <c r="M318" s="1">
        <v>21</v>
      </c>
      <c r="N318" s="1">
        <v>24</v>
      </c>
      <c r="O318" s="1">
        <v>19</v>
      </c>
      <c r="P318" s="1">
        <v>21</v>
      </c>
      <c r="Q318" s="1">
        <v>17</v>
      </c>
      <c r="R318" s="1">
        <v>18</v>
      </c>
      <c r="S318" s="1">
        <v>13</v>
      </c>
      <c r="T318" s="1">
        <v>15</v>
      </c>
      <c r="U318" s="1">
        <v>17</v>
      </c>
      <c r="V318" s="1">
        <v>10</v>
      </c>
      <c r="W318" s="1">
        <v>15</v>
      </c>
      <c r="X318" s="1">
        <v>11</v>
      </c>
      <c r="Y318" s="1">
        <v>11</v>
      </c>
    </row>
    <row r="319" spans="1:25" x14ac:dyDescent="0.3">
      <c r="A319" s="2">
        <v>43752</v>
      </c>
      <c r="B319" s="1">
        <v>4</v>
      </c>
      <c r="C319" s="1">
        <v>11</v>
      </c>
      <c r="D319" s="1">
        <v>6</v>
      </c>
      <c r="E319" s="1">
        <v>8</v>
      </c>
      <c r="F319" s="1">
        <v>7</v>
      </c>
      <c r="G319" s="1">
        <v>11</v>
      </c>
      <c r="H319" s="1">
        <v>3</v>
      </c>
      <c r="I319" s="1">
        <v>21</v>
      </c>
      <c r="J319" s="1">
        <v>30</v>
      </c>
      <c r="K319" s="1">
        <v>20</v>
      </c>
      <c r="L319" s="1">
        <v>20</v>
      </c>
      <c r="M319" s="1">
        <v>19</v>
      </c>
      <c r="N319" s="1">
        <v>30</v>
      </c>
      <c r="O319" s="1">
        <v>39</v>
      </c>
      <c r="P319" s="1">
        <v>27</v>
      </c>
      <c r="Q319" s="1">
        <v>32</v>
      </c>
      <c r="R319" s="1">
        <v>41</v>
      </c>
      <c r="S319" s="1">
        <v>26</v>
      </c>
      <c r="T319" s="1">
        <v>23</v>
      </c>
      <c r="U319" s="1">
        <v>20</v>
      </c>
      <c r="V319" s="1">
        <v>17</v>
      </c>
      <c r="W319" s="1">
        <v>13</v>
      </c>
      <c r="X319" s="1">
        <v>10</v>
      </c>
      <c r="Y319" s="1">
        <v>4</v>
      </c>
    </row>
    <row r="320" spans="1:25" x14ac:dyDescent="0.3">
      <c r="A320" s="2">
        <v>43753</v>
      </c>
      <c r="B320" s="1">
        <v>6</v>
      </c>
      <c r="C320" s="1">
        <v>3</v>
      </c>
      <c r="D320" s="1">
        <v>11</v>
      </c>
      <c r="E320" s="1">
        <v>4</v>
      </c>
      <c r="F320" s="1">
        <v>3</v>
      </c>
      <c r="G320" s="1">
        <v>7</v>
      </c>
      <c r="H320" s="1">
        <v>8</v>
      </c>
      <c r="I320" s="1">
        <v>25</v>
      </c>
      <c r="J320" s="1">
        <v>33</v>
      </c>
      <c r="K320" s="1">
        <v>31</v>
      </c>
      <c r="L320" s="1">
        <v>31</v>
      </c>
      <c r="M320" s="1">
        <v>20</v>
      </c>
      <c r="N320" s="1">
        <v>26</v>
      </c>
      <c r="O320" s="1">
        <v>22</v>
      </c>
      <c r="P320" s="1">
        <v>27</v>
      </c>
      <c r="Q320" s="1">
        <v>38</v>
      </c>
      <c r="R320" s="1">
        <v>20</v>
      </c>
      <c r="S320" s="1">
        <v>27</v>
      </c>
      <c r="T320" s="1">
        <v>32</v>
      </c>
      <c r="U320" s="1">
        <v>20</v>
      </c>
      <c r="V320" s="1">
        <v>9</v>
      </c>
      <c r="W320" s="1">
        <v>11</v>
      </c>
      <c r="X320" s="1">
        <v>9</v>
      </c>
      <c r="Y320" s="1">
        <v>9</v>
      </c>
    </row>
    <row r="321" spans="1:25" x14ac:dyDescent="0.3">
      <c r="A321" s="2">
        <v>43754</v>
      </c>
      <c r="B321" s="1">
        <v>5</v>
      </c>
      <c r="C321" s="1">
        <v>4</v>
      </c>
      <c r="D321" s="1">
        <v>6</v>
      </c>
      <c r="E321" s="1">
        <v>10</v>
      </c>
      <c r="F321" s="1">
        <v>1</v>
      </c>
      <c r="G321" s="1">
        <v>3</v>
      </c>
      <c r="H321" s="1">
        <v>11</v>
      </c>
      <c r="I321" s="1">
        <v>18</v>
      </c>
      <c r="J321" s="1">
        <v>22</v>
      </c>
      <c r="K321" s="1">
        <v>21</v>
      </c>
      <c r="L321" s="1">
        <v>23</v>
      </c>
      <c r="M321" s="1">
        <v>23</v>
      </c>
      <c r="N321" s="1">
        <v>23</v>
      </c>
      <c r="O321" s="1">
        <v>21</v>
      </c>
      <c r="P321" s="1">
        <v>26</v>
      </c>
      <c r="Q321" s="1">
        <v>38</v>
      </c>
      <c r="R321" s="1">
        <v>34</v>
      </c>
      <c r="S321" s="1">
        <v>28</v>
      </c>
      <c r="T321" s="1">
        <v>33</v>
      </c>
      <c r="U321" s="1">
        <v>45</v>
      </c>
      <c r="V321" s="1">
        <v>41</v>
      </c>
      <c r="W321" s="1">
        <v>31</v>
      </c>
      <c r="X321" s="1">
        <v>20</v>
      </c>
      <c r="Y321" s="1">
        <v>12</v>
      </c>
    </row>
    <row r="322" spans="1:25" x14ac:dyDescent="0.3">
      <c r="A322" s="2">
        <v>43755</v>
      </c>
      <c r="B322" s="1">
        <v>8</v>
      </c>
      <c r="C322" s="1">
        <v>7</v>
      </c>
      <c r="D322" s="1">
        <v>8</v>
      </c>
      <c r="E322" s="1">
        <v>6</v>
      </c>
      <c r="F322" s="1">
        <v>9</v>
      </c>
      <c r="G322" s="1">
        <v>6</v>
      </c>
      <c r="H322" s="1">
        <v>18</v>
      </c>
      <c r="I322" s="1">
        <v>27</v>
      </c>
      <c r="J322" s="1">
        <v>35</v>
      </c>
      <c r="K322" s="1">
        <v>34</v>
      </c>
      <c r="L322" s="1">
        <v>25</v>
      </c>
      <c r="M322" s="1">
        <v>26</v>
      </c>
      <c r="N322" s="1">
        <v>47</v>
      </c>
      <c r="O322" s="1">
        <v>52</v>
      </c>
      <c r="P322" s="1">
        <v>34</v>
      </c>
      <c r="Q322" s="1">
        <v>39</v>
      </c>
      <c r="R322" s="1">
        <v>35</v>
      </c>
      <c r="S322" s="1">
        <v>32</v>
      </c>
      <c r="T322" s="1">
        <v>24</v>
      </c>
      <c r="U322" s="1">
        <v>25</v>
      </c>
      <c r="V322" s="1">
        <v>6</v>
      </c>
      <c r="W322" s="1">
        <v>15</v>
      </c>
      <c r="X322" s="1">
        <v>19</v>
      </c>
      <c r="Y322" s="1">
        <v>9</v>
      </c>
    </row>
    <row r="323" spans="1:25" x14ac:dyDescent="0.3">
      <c r="A323" s="2">
        <v>43756</v>
      </c>
      <c r="B323" s="1">
        <v>11</v>
      </c>
      <c r="C323" s="1">
        <v>4</v>
      </c>
      <c r="D323" s="1">
        <v>3</v>
      </c>
      <c r="E323" s="1">
        <v>7</v>
      </c>
      <c r="F323" s="1">
        <v>7</v>
      </c>
      <c r="G323" s="1">
        <v>5</v>
      </c>
      <c r="H323" s="1">
        <v>9</v>
      </c>
      <c r="I323" s="1">
        <v>18</v>
      </c>
      <c r="J323" s="1">
        <v>25</v>
      </c>
      <c r="K323" s="1">
        <v>26</v>
      </c>
      <c r="L323" s="1">
        <v>26</v>
      </c>
      <c r="M323" s="1">
        <v>23</v>
      </c>
      <c r="N323" s="1">
        <v>24</v>
      </c>
      <c r="O323" s="1">
        <v>19</v>
      </c>
      <c r="P323" s="1">
        <v>20</v>
      </c>
      <c r="Q323" s="1">
        <v>27</v>
      </c>
      <c r="R323" s="1">
        <v>32</v>
      </c>
      <c r="S323" s="1">
        <v>36</v>
      </c>
      <c r="T323" s="1">
        <v>32</v>
      </c>
      <c r="U323" s="1">
        <v>19</v>
      </c>
      <c r="V323" s="1">
        <v>23</v>
      </c>
      <c r="W323" s="1">
        <v>20</v>
      </c>
      <c r="X323" s="1">
        <v>21</v>
      </c>
      <c r="Y323" s="1">
        <v>12</v>
      </c>
    </row>
    <row r="324" spans="1:25" x14ac:dyDescent="0.3">
      <c r="A324" s="2">
        <v>43757</v>
      </c>
      <c r="B324" s="1">
        <v>11</v>
      </c>
      <c r="C324" s="1">
        <v>12</v>
      </c>
      <c r="D324" s="1">
        <v>13</v>
      </c>
      <c r="E324" s="1">
        <v>6</v>
      </c>
      <c r="F324" s="1">
        <v>4</v>
      </c>
      <c r="G324" s="1">
        <v>13</v>
      </c>
      <c r="H324" s="1">
        <v>11</v>
      </c>
      <c r="I324" s="1">
        <v>7</v>
      </c>
      <c r="J324" s="1">
        <v>12</v>
      </c>
      <c r="K324" s="1">
        <v>21</v>
      </c>
      <c r="L324" s="1">
        <v>19</v>
      </c>
      <c r="M324" s="1">
        <v>25</v>
      </c>
      <c r="N324" s="1">
        <v>23</v>
      </c>
      <c r="O324" s="1">
        <v>23</v>
      </c>
      <c r="P324" s="1">
        <v>19</v>
      </c>
      <c r="Q324" s="1">
        <v>35</v>
      </c>
      <c r="R324" s="1">
        <v>24</v>
      </c>
      <c r="S324" s="1">
        <v>16</v>
      </c>
      <c r="T324" s="1">
        <v>16</v>
      </c>
      <c r="U324" s="1">
        <v>21</v>
      </c>
      <c r="V324" s="1">
        <v>16</v>
      </c>
      <c r="W324" s="1">
        <v>24</v>
      </c>
      <c r="X324" s="1">
        <v>17</v>
      </c>
      <c r="Y324" s="1">
        <v>13</v>
      </c>
    </row>
    <row r="325" spans="1:25" x14ac:dyDescent="0.3">
      <c r="A325" s="2">
        <v>43758</v>
      </c>
      <c r="B325" s="1">
        <v>9</v>
      </c>
      <c r="C325" s="1">
        <v>7</v>
      </c>
      <c r="D325" s="1">
        <v>6</v>
      </c>
      <c r="E325" s="1">
        <v>2</v>
      </c>
      <c r="F325" s="1">
        <v>4</v>
      </c>
      <c r="G325" s="1">
        <v>14</v>
      </c>
      <c r="H325" s="1">
        <v>3</v>
      </c>
      <c r="I325" s="1">
        <v>9</v>
      </c>
      <c r="J325" s="1">
        <v>9</v>
      </c>
      <c r="K325" s="1">
        <v>19</v>
      </c>
      <c r="L325" s="1">
        <v>22</v>
      </c>
      <c r="M325" s="1">
        <v>18</v>
      </c>
      <c r="N325" s="1">
        <v>26</v>
      </c>
      <c r="O325" s="1">
        <v>22</v>
      </c>
      <c r="P325" s="1">
        <v>15</v>
      </c>
      <c r="Q325" s="1">
        <v>16</v>
      </c>
      <c r="R325" s="1">
        <v>18</v>
      </c>
      <c r="S325" s="1">
        <v>22</v>
      </c>
      <c r="T325" s="1">
        <v>20</v>
      </c>
      <c r="U325" s="1">
        <v>11</v>
      </c>
      <c r="V325" s="1">
        <v>20</v>
      </c>
      <c r="W325" s="1">
        <v>14</v>
      </c>
      <c r="X325" s="1">
        <v>20</v>
      </c>
      <c r="Y325" s="1">
        <v>10</v>
      </c>
    </row>
    <row r="326" spans="1:25" x14ac:dyDescent="0.3">
      <c r="A326" s="2">
        <v>43759</v>
      </c>
      <c r="B326" s="1">
        <v>12</v>
      </c>
      <c r="C326" s="1">
        <v>8</v>
      </c>
      <c r="D326" s="1">
        <v>9</v>
      </c>
      <c r="E326" s="1">
        <v>5</v>
      </c>
      <c r="F326" s="1">
        <v>5</v>
      </c>
      <c r="G326" s="1">
        <v>6</v>
      </c>
      <c r="H326" s="1">
        <v>19</v>
      </c>
      <c r="I326" s="1">
        <v>24</v>
      </c>
      <c r="J326" s="1">
        <v>35</v>
      </c>
      <c r="K326" s="1">
        <v>23</v>
      </c>
      <c r="L326" s="1">
        <v>29</v>
      </c>
      <c r="M326" s="1">
        <v>19</v>
      </c>
      <c r="N326" s="1">
        <v>35</v>
      </c>
      <c r="O326" s="1">
        <v>16</v>
      </c>
      <c r="P326" s="1">
        <v>22</v>
      </c>
      <c r="Q326" s="1">
        <v>16</v>
      </c>
      <c r="R326" s="1">
        <v>25</v>
      </c>
      <c r="S326" s="1">
        <v>39</v>
      </c>
      <c r="T326" s="1">
        <v>30</v>
      </c>
      <c r="U326" s="1">
        <v>24</v>
      </c>
      <c r="V326" s="1">
        <v>13</v>
      </c>
      <c r="W326" s="1">
        <v>20</v>
      </c>
      <c r="X326" s="1">
        <v>14</v>
      </c>
      <c r="Y326" s="1">
        <v>9</v>
      </c>
    </row>
    <row r="327" spans="1:25" x14ac:dyDescent="0.3">
      <c r="A327" s="2">
        <v>43760</v>
      </c>
      <c r="B327" s="1">
        <v>7</v>
      </c>
      <c r="C327" s="1">
        <v>3</v>
      </c>
      <c r="D327" s="1">
        <v>8</v>
      </c>
      <c r="E327" s="1">
        <v>6</v>
      </c>
      <c r="F327" s="1">
        <v>5</v>
      </c>
      <c r="G327" s="1">
        <v>14</v>
      </c>
      <c r="H327" s="1">
        <v>12</v>
      </c>
      <c r="I327" s="1">
        <v>17</v>
      </c>
      <c r="J327" s="1">
        <v>34</v>
      </c>
      <c r="K327" s="1">
        <v>27</v>
      </c>
      <c r="L327" s="1">
        <v>26</v>
      </c>
      <c r="M327" s="1">
        <v>28</v>
      </c>
      <c r="N327" s="1">
        <v>27</v>
      </c>
      <c r="O327" s="1">
        <v>21</v>
      </c>
      <c r="P327" s="1">
        <v>30</v>
      </c>
      <c r="Q327" s="1">
        <v>39</v>
      </c>
      <c r="R327" s="1">
        <v>31</v>
      </c>
      <c r="S327" s="1">
        <v>22</v>
      </c>
      <c r="T327" s="1">
        <v>32</v>
      </c>
      <c r="U327" s="1">
        <v>25</v>
      </c>
      <c r="V327" s="1">
        <v>23</v>
      </c>
      <c r="W327" s="1">
        <v>30</v>
      </c>
      <c r="X327" s="1">
        <v>20</v>
      </c>
      <c r="Y327" s="1">
        <v>7</v>
      </c>
    </row>
    <row r="328" spans="1:25" x14ac:dyDescent="0.3">
      <c r="A328" s="2">
        <v>43761</v>
      </c>
      <c r="B328" s="1">
        <v>14</v>
      </c>
      <c r="C328" s="1">
        <v>6</v>
      </c>
      <c r="D328" s="1">
        <v>7</v>
      </c>
      <c r="E328" s="1">
        <v>8</v>
      </c>
      <c r="F328" s="1">
        <v>3</v>
      </c>
      <c r="G328" s="1">
        <v>8</v>
      </c>
      <c r="H328" s="1">
        <v>14</v>
      </c>
      <c r="I328" s="1">
        <v>23</v>
      </c>
      <c r="J328" s="1">
        <v>29</v>
      </c>
      <c r="K328" s="1">
        <v>35</v>
      </c>
      <c r="L328" s="1">
        <v>27</v>
      </c>
      <c r="M328" s="1">
        <v>24</v>
      </c>
      <c r="N328" s="1">
        <v>23</v>
      </c>
      <c r="O328" s="1">
        <v>33</v>
      </c>
      <c r="P328" s="1">
        <v>29</v>
      </c>
      <c r="Q328" s="1">
        <v>40</v>
      </c>
      <c r="R328" s="1">
        <v>33</v>
      </c>
      <c r="S328" s="1">
        <v>28</v>
      </c>
      <c r="T328" s="1">
        <v>16</v>
      </c>
      <c r="U328" s="1">
        <v>23</v>
      </c>
      <c r="V328" s="1">
        <v>19</v>
      </c>
      <c r="W328" s="1">
        <v>10</v>
      </c>
      <c r="X328" s="1">
        <v>13</v>
      </c>
      <c r="Y328" s="1">
        <v>8</v>
      </c>
    </row>
    <row r="329" spans="1:25" x14ac:dyDescent="0.3">
      <c r="A329" s="2">
        <v>43762</v>
      </c>
      <c r="B329" s="1">
        <v>4</v>
      </c>
      <c r="C329" s="1">
        <v>7</v>
      </c>
      <c r="D329" s="1">
        <v>4</v>
      </c>
      <c r="E329" s="1">
        <v>3</v>
      </c>
      <c r="F329" s="1">
        <v>2</v>
      </c>
      <c r="G329" s="1">
        <v>12</v>
      </c>
      <c r="H329" s="1">
        <v>22</v>
      </c>
      <c r="I329" s="1">
        <v>28</v>
      </c>
      <c r="J329" s="1">
        <v>29</v>
      </c>
      <c r="K329" s="1">
        <v>24</v>
      </c>
      <c r="L329" s="1">
        <v>27</v>
      </c>
      <c r="M329" s="1">
        <v>27</v>
      </c>
      <c r="N329" s="1">
        <v>23</v>
      </c>
      <c r="O329" s="1">
        <v>24</v>
      </c>
      <c r="P329" s="1">
        <v>15</v>
      </c>
      <c r="Q329" s="1">
        <v>37</v>
      </c>
      <c r="R329" s="1">
        <v>31</v>
      </c>
      <c r="S329" s="1">
        <v>48</v>
      </c>
      <c r="T329" s="1">
        <v>24</v>
      </c>
      <c r="U329" s="1">
        <v>22</v>
      </c>
      <c r="V329" s="1">
        <v>19</v>
      </c>
      <c r="W329" s="1">
        <v>17</v>
      </c>
      <c r="X329" s="1">
        <v>17</v>
      </c>
      <c r="Y329" s="1">
        <v>13</v>
      </c>
    </row>
    <row r="330" spans="1:25" x14ac:dyDescent="0.3">
      <c r="A330" s="2">
        <v>43763</v>
      </c>
      <c r="B330" s="1">
        <v>7</v>
      </c>
      <c r="C330" s="1">
        <v>6</v>
      </c>
      <c r="D330" s="1">
        <v>4</v>
      </c>
      <c r="E330" s="1">
        <v>6</v>
      </c>
      <c r="F330" s="1">
        <v>5</v>
      </c>
      <c r="G330" s="1">
        <v>7</v>
      </c>
      <c r="H330" s="1">
        <v>17</v>
      </c>
      <c r="I330" s="1">
        <v>14</v>
      </c>
      <c r="J330" s="1">
        <v>28</v>
      </c>
      <c r="K330" s="1">
        <v>22</v>
      </c>
      <c r="L330" s="1">
        <v>35</v>
      </c>
      <c r="M330" s="1">
        <v>15</v>
      </c>
      <c r="N330" s="1">
        <v>20</v>
      </c>
      <c r="O330" s="1">
        <v>27</v>
      </c>
      <c r="P330" s="1">
        <v>35</v>
      </c>
      <c r="Q330" s="1">
        <v>30</v>
      </c>
      <c r="R330" s="1">
        <v>23</v>
      </c>
      <c r="S330" s="1">
        <v>33</v>
      </c>
      <c r="T330" s="1">
        <v>25</v>
      </c>
      <c r="U330" s="1">
        <v>16</v>
      </c>
      <c r="V330" s="1">
        <v>17</v>
      </c>
      <c r="W330" s="1">
        <v>14</v>
      </c>
      <c r="X330" s="1">
        <v>18</v>
      </c>
      <c r="Y330" s="1">
        <v>7</v>
      </c>
    </row>
    <row r="331" spans="1:25" x14ac:dyDescent="0.3">
      <c r="A331" s="2">
        <v>43764</v>
      </c>
      <c r="B331" s="1">
        <v>9</v>
      </c>
      <c r="C331" s="1">
        <v>9</v>
      </c>
      <c r="D331" s="1">
        <v>12</v>
      </c>
      <c r="E331" s="1">
        <v>6</v>
      </c>
      <c r="F331" s="1">
        <v>3</v>
      </c>
      <c r="G331" s="1">
        <v>4</v>
      </c>
      <c r="H331" s="1">
        <v>6</v>
      </c>
      <c r="I331" s="1">
        <v>7</v>
      </c>
      <c r="J331" s="1">
        <v>15</v>
      </c>
      <c r="K331" s="1">
        <v>23</v>
      </c>
      <c r="L331" s="1">
        <v>24</v>
      </c>
      <c r="M331" s="1">
        <v>20</v>
      </c>
      <c r="N331" s="1">
        <v>19</v>
      </c>
      <c r="O331" s="1">
        <v>22</v>
      </c>
      <c r="P331" s="1">
        <v>25</v>
      </c>
      <c r="Q331" s="1">
        <v>15</v>
      </c>
      <c r="R331" s="1">
        <v>28</v>
      </c>
      <c r="S331" s="1">
        <v>21</v>
      </c>
      <c r="T331" s="1">
        <v>22</v>
      </c>
      <c r="U331" s="1">
        <v>29</v>
      </c>
      <c r="V331" s="1">
        <v>20</v>
      </c>
      <c r="W331" s="1">
        <v>12</v>
      </c>
      <c r="X331" s="1">
        <v>12</v>
      </c>
      <c r="Y331" s="1">
        <v>14</v>
      </c>
    </row>
    <row r="332" spans="1:25" x14ac:dyDescent="0.3">
      <c r="A332" s="2">
        <v>43765</v>
      </c>
      <c r="B332" s="1">
        <v>11</v>
      </c>
      <c r="C332" s="1">
        <v>7</v>
      </c>
      <c r="D332" s="1">
        <v>7</v>
      </c>
      <c r="E332" s="1">
        <v>5</v>
      </c>
      <c r="F332" s="1">
        <v>3</v>
      </c>
      <c r="G332" s="1">
        <v>3</v>
      </c>
      <c r="H332" s="1">
        <v>7</v>
      </c>
      <c r="I332" s="1">
        <v>5</v>
      </c>
      <c r="J332" s="1">
        <v>14</v>
      </c>
      <c r="K332" s="1">
        <v>22</v>
      </c>
      <c r="L332" s="1">
        <v>26</v>
      </c>
      <c r="M332" s="1">
        <v>39</v>
      </c>
      <c r="N332" s="1">
        <v>24</v>
      </c>
      <c r="O332" s="1">
        <v>23</v>
      </c>
      <c r="P332" s="1">
        <v>23</v>
      </c>
      <c r="Q332" s="1">
        <v>22</v>
      </c>
      <c r="R332" s="1">
        <v>19</v>
      </c>
      <c r="S332" s="1">
        <v>17</v>
      </c>
      <c r="T332" s="1">
        <v>26</v>
      </c>
      <c r="U332" s="1">
        <v>32</v>
      </c>
      <c r="V332" s="1">
        <v>16</v>
      </c>
      <c r="W332" s="1">
        <v>11</v>
      </c>
      <c r="X332" s="1">
        <v>5</v>
      </c>
      <c r="Y332" s="1">
        <v>31</v>
      </c>
    </row>
    <row r="333" spans="1:25" x14ac:dyDescent="0.3">
      <c r="A333" s="2">
        <v>43766</v>
      </c>
      <c r="B333" s="1">
        <v>3</v>
      </c>
      <c r="C333" s="1">
        <v>4</v>
      </c>
      <c r="D333" s="1">
        <v>4</v>
      </c>
      <c r="E333" s="1">
        <v>7</v>
      </c>
      <c r="F333" s="1">
        <v>4</v>
      </c>
      <c r="G333" s="1">
        <v>13</v>
      </c>
      <c r="H333" s="1">
        <v>14</v>
      </c>
      <c r="I333" s="1">
        <v>20</v>
      </c>
      <c r="J333" s="1">
        <v>24</v>
      </c>
      <c r="K333" s="1">
        <v>33</v>
      </c>
      <c r="L333" s="1">
        <v>30</v>
      </c>
      <c r="M333" s="1">
        <v>21</v>
      </c>
      <c r="N333" s="1">
        <v>23</v>
      </c>
      <c r="O333" s="1">
        <v>16</v>
      </c>
      <c r="P333" s="1">
        <v>26</v>
      </c>
      <c r="Q333" s="1">
        <v>16</v>
      </c>
      <c r="R333" s="1">
        <v>27</v>
      </c>
      <c r="S333" s="1">
        <v>22</v>
      </c>
      <c r="T333" s="1">
        <v>18</v>
      </c>
      <c r="U333" s="1">
        <v>24</v>
      </c>
      <c r="V333" s="1">
        <v>16</v>
      </c>
      <c r="W333" s="1">
        <v>16</v>
      </c>
      <c r="X333" s="1">
        <v>7</v>
      </c>
      <c r="Y333" s="1">
        <v>2</v>
      </c>
    </row>
    <row r="334" spans="1:25" x14ac:dyDescent="0.3">
      <c r="A334" s="2">
        <v>43767</v>
      </c>
      <c r="B334" s="1">
        <v>12</v>
      </c>
      <c r="C334" s="1">
        <v>8</v>
      </c>
      <c r="D334" s="1">
        <v>5</v>
      </c>
      <c r="E334" s="1">
        <v>5</v>
      </c>
      <c r="F334" s="1">
        <v>7</v>
      </c>
      <c r="G334" s="1">
        <v>8</v>
      </c>
      <c r="H334" s="1">
        <v>14</v>
      </c>
      <c r="I334" s="1">
        <v>26</v>
      </c>
      <c r="J334" s="1">
        <v>28</v>
      </c>
      <c r="K334" s="1">
        <v>32</v>
      </c>
      <c r="L334" s="1">
        <v>25</v>
      </c>
      <c r="M334" s="1">
        <v>28</v>
      </c>
      <c r="N334" s="1">
        <v>32</v>
      </c>
      <c r="O334" s="1">
        <v>25</v>
      </c>
      <c r="P334" s="1">
        <v>26</v>
      </c>
      <c r="Q334" s="1">
        <v>24</v>
      </c>
      <c r="R334" s="1">
        <v>42</v>
      </c>
      <c r="S334" s="1">
        <v>20</v>
      </c>
      <c r="T334" s="1">
        <v>21</v>
      </c>
      <c r="U334" s="1">
        <v>19</v>
      </c>
      <c r="V334" s="1">
        <v>11</v>
      </c>
      <c r="W334" s="1">
        <v>21</v>
      </c>
      <c r="X334" s="1">
        <v>6</v>
      </c>
      <c r="Y334" s="1">
        <v>6</v>
      </c>
    </row>
    <row r="335" spans="1:25" x14ac:dyDescent="0.3">
      <c r="A335" s="2">
        <v>43768</v>
      </c>
      <c r="B335" s="1">
        <v>5</v>
      </c>
      <c r="C335" s="1">
        <v>3</v>
      </c>
      <c r="D335" s="1">
        <v>2</v>
      </c>
      <c r="E335" s="1">
        <v>2</v>
      </c>
      <c r="F335" s="1">
        <v>4</v>
      </c>
      <c r="G335" s="1">
        <v>10</v>
      </c>
      <c r="H335" s="1">
        <v>13</v>
      </c>
      <c r="I335" s="1">
        <v>16</v>
      </c>
      <c r="J335" s="1">
        <v>22</v>
      </c>
      <c r="K335" s="1">
        <v>37</v>
      </c>
      <c r="L335" s="1">
        <v>23</v>
      </c>
      <c r="M335" s="1">
        <v>25</v>
      </c>
      <c r="N335" s="1">
        <v>19</v>
      </c>
      <c r="O335" s="1">
        <v>23</v>
      </c>
      <c r="P335" s="1">
        <v>25</v>
      </c>
      <c r="Q335" s="1">
        <v>40</v>
      </c>
      <c r="R335" s="1">
        <v>33</v>
      </c>
      <c r="S335" s="1">
        <v>22</v>
      </c>
      <c r="T335" s="1">
        <v>35</v>
      </c>
      <c r="U335" s="1">
        <v>37</v>
      </c>
      <c r="V335" s="1">
        <v>14</v>
      </c>
      <c r="W335" s="1">
        <v>14</v>
      </c>
      <c r="X335" s="1">
        <v>16</v>
      </c>
      <c r="Y335" s="1">
        <v>13</v>
      </c>
    </row>
    <row r="336" spans="1:25" x14ac:dyDescent="0.3">
      <c r="A336" s="2">
        <v>43769</v>
      </c>
      <c r="B336" s="1">
        <v>14</v>
      </c>
      <c r="C336" s="1">
        <v>6</v>
      </c>
      <c r="D336" s="1">
        <v>10</v>
      </c>
      <c r="E336" s="1">
        <v>7</v>
      </c>
      <c r="F336" s="1">
        <v>4</v>
      </c>
      <c r="G336" s="1">
        <v>10</v>
      </c>
      <c r="H336" s="1">
        <v>10</v>
      </c>
      <c r="I336" s="1">
        <v>35</v>
      </c>
      <c r="J336" s="1">
        <v>26</v>
      </c>
      <c r="K336" s="1">
        <v>14</v>
      </c>
      <c r="L336" s="1">
        <v>18</v>
      </c>
      <c r="M336" s="1">
        <v>30</v>
      </c>
      <c r="N336" s="1">
        <v>42</v>
      </c>
      <c r="O336" s="1">
        <v>33</v>
      </c>
      <c r="P336" s="1">
        <v>26</v>
      </c>
      <c r="Q336" s="1">
        <v>27</v>
      </c>
      <c r="R336" s="1">
        <v>45</v>
      </c>
      <c r="S336" s="1">
        <v>26</v>
      </c>
      <c r="T336" s="1">
        <v>28</v>
      </c>
      <c r="U336" s="1">
        <v>31</v>
      </c>
      <c r="V336" s="1">
        <v>43</v>
      </c>
      <c r="W336" s="1">
        <v>20</v>
      </c>
      <c r="X336" s="1">
        <v>28</v>
      </c>
      <c r="Y336" s="1">
        <v>65</v>
      </c>
    </row>
    <row r="337" spans="1:25" x14ac:dyDescent="0.3">
      <c r="A337" s="2">
        <v>43770</v>
      </c>
      <c r="B337" s="1">
        <v>129</v>
      </c>
      <c r="C337" s="1">
        <v>76</v>
      </c>
      <c r="D337" s="1">
        <v>24</v>
      </c>
      <c r="E337" s="1">
        <v>19</v>
      </c>
      <c r="F337" s="1">
        <v>20</v>
      </c>
      <c r="G337" s="1">
        <v>22</v>
      </c>
      <c r="H337" s="1">
        <v>29</v>
      </c>
      <c r="I337" s="1">
        <v>64</v>
      </c>
      <c r="J337" s="1">
        <v>48</v>
      </c>
      <c r="K337" s="1">
        <v>46</v>
      </c>
      <c r="L337" s="1">
        <v>42</v>
      </c>
      <c r="M337" s="1">
        <v>42</v>
      </c>
      <c r="N337" s="1">
        <v>32</v>
      </c>
      <c r="O337" s="1">
        <v>36</v>
      </c>
      <c r="P337" s="1">
        <v>28</v>
      </c>
      <c r="Q337" s="1">
        <v>38</v>
      </c>
      <c r="R337" s="1">
        <v>31</v>
      </c>
      <c r="S337" s="1">
        <v>41</v>
      </c>
      <c r="T337" s="1">
        <v>37</v>
      </c>
      <c r="U337" s="1">
        <v>19</v>
      </c>
      <c r="V337" s="1">
        <v>19</v>
      </c>
      <c r="W337" s="1">
        <v>18</v>
      </c>
      <c r="X337" s="1">
        <v>7</v>
      </c>
      <c r="Y337" s="1">
        <v>10</v>
      </c>
    </row>
    <row r="338" spans="1:25" x14ac:dyDescent="0.3">
      <c r="A338" s="2">
        <v>43771</v>
      </c>
      <c r="B338" s="1">
        <v>14</v>
      </c>
      <c r="C338" s="1">
        <v>14</v>
      </c>
      <c r="D338" s="1">
        <v>8</v>
      </c>
      <c r="E338" s="1">
        <v>7</v>
      </c>
      <c r="F338" s="1">
        <v>8</v>
      </c>
      <c r="G338" s="1">
        <v>18</v>
      </c>
      <c r="H338" s="1">
        <v>12</v>
      </c>
      <c r="I338" s="1">
        <v>12</v>
      </c>
      <c r="J338" s="1">
        <v>5</v>
      </c>
      <c r="K338" s="1">
        <v>24</v>
      </c>
      <c r="L338" s="1">
        <v>23</v>
      </c>
      <c r="M338" s="1">
        <v>24</v>
      </c>
      <c r="N338" s="1">
        <v>32</v>
      </c>
      <c r="O338" s="1">
        <v>28</v>
      </c>
      <c r="P338" s="1">
        <v>21</v>
      </c>
      <c r="Q338" s="1">
        <v>27</v>
      </c>
      <c r="R338" s="1">
        <v>26</v>
      </c>
      <c r="S338" s="1">
        <v>16</v>
      </c>
      <c r="T338" s="1">
        <v>35</v>
      </c>
      <c r="U338" s="1">
        <v>22</v>
      </c>
      <c r="V338" s="1">
        <v>21</v>
      </c>
      <c r="W338" s="1">
        <v>14</v>
      </c>
      <c r="X338" s="1">
        <v>12</v>
      </c>
      <c r="Y338" s="1">
        <v>19</v>
      </c>
    </row>
    <row r="339" spans="1:25" x14ac:dyDescent="0.3">
      <c r="A339" s="2">
        <v>43772</v>
      </c>
      <c r="B339" s="1">
        <v>15</v>
      </c>
      <c r="C339" s="1">
        <v>1</v>
      </c>
      <c r="D339" s="1">
        <v>0</v>
      </c>
      <c r="E339" s="1">
        <v>0</v>
      </c>
      <c r="F339" s="1">
        <v>1</v>
      </c>
      <c r="G339" s="1">
        <v>3</v>
      </c>
      <c r="H339" s="1">
        <v>1</v>
      </c>
      <c r="I339" s="1">
        <v>0</v>
      </c>
      <c r="J339" s="1">
        <v>1</v>
      </c>
      <c r="K339" s="1">
        <v>1</v>
      </c>
      <c r="L339" s="1">
        <v>9</v>
      </c>
      <c r="M339" s="1">
        <v>30</v>
      </c>
      <c r="N339" s="1">
        <v>17</v>
      </c>
      <c r="O339" s="1">
        <v>27</v>
      </c>
      <c r="P339" s="1">
        <v>24</v>
      </c>
      <c r="Q339" s="1">
        <v>13</v>
      </c>
      <c r="R339" s="1">
        <v>14</v>
      </c>
      <c r="S339" s="1">
        <v>21</v>
      </c>
      <c r="T339" s="1">
        <v>20</v>
      </c>
      <c r="U339" s="1">
        <v>20</v>
      </c>
      <c r="V339" s="1">
        <v>12</v>
      </c>
      <c r="W339" s="1">
        <v>13</v>
      </c>
      <c r="X339" s="1">
        <v>8</v>
      </c>
      <c r="Y339" s="1">
        <v>5</v>
      </c>
    </row>
    <row r="340" spans="1:25" x14ac:dyDescent="0.3">
      <c r="A340" s="2">
        <v>43773</v>
      </c>
      <c r="B340" s="1">
        <v>5</v>
      </c>
      <c r="C340" s="1">
        <v>10</v>
      </c>
      <c r="D340" s="1">
        <v>4</v>
      </c>
      <c r="E340" s="1">
        <v>6</v>
      </c>
      <c r="F340" s="1">
        <v>4</v>
      </c>
      <c r="G340" s="1">
        <v>7</v>
      </c>
      <c r="H340" s="1">
        <v>13</v>
      </c>
      <c r="I340" s="1">
        <v>25</v>
      </c>
      <c r="J340" s="1">
        <v>23</v>
      </c>
      <c r="K340" s="1">
        <v>13</v>
      </c>
      <c r="L340" s="1">
        <v>22</v>
      </c>
      <c r="M340" s="1">
        <v>32</v>
      </c>
      <c r="N340" s="1">
        <v>22</v>
      </c>
      <c r="O340" s="1">
        <v>35</v>
      </c>
      <c r="P340" s="1">
        <v>34</v>
      </c>
      <c r="Q340" s="1">
        <v>28</v>
      </c>
      <c r="R340" s="1">
        <v>21</v>
      </c>
      <c r="S340" s="1">
        <v>40</v>
      </c>
      <c r="T340" s="1">
        <v>29</v>
      </c>
      <c r="U340" s="1">
        <v>17</v>
      </c>
      <c r="V340" s="1">
        <v>22</v>
      </c>
      <c r="W340" s="1">
        <v>14</v>
      </c>
      <c r="X340" s="1">
        <v>9</v>
      </c>
      <c r="Y340" s="1">
        <v>9</v>
      </c>
    </row>
    <row r="341" spans="1:25" x14ac:dyDescent="0.3">
      <c r="A341" s="2">
        <v>43774</v>
      </c>
      <c r="B341" s="1">
        <v>9</v>
      </c>
      <c r="C341" s="1">
        <v>5</v>
      </c>
      <c r="D341" s="1">
        <v>6</v>
      </c>
      <c r="E341" s="1">
        <v>4</v>
      </c>
      <c r="F341" s="1">
        <v>5</v>
      </c>
      <c r="G341" s="1">
        <v>9</v>
      </c>
      <c r="H341" s="1">
        <v>13</v>
      </c>
      <c r="I341" s="1">
        <v>13</v>
      </c>
      <c r="J341" s="1">
        <v>15</v>
      </c>
      <c r="K341" s="1">
        <v>21</v>
      </c>
      <c r="L341" s="1">
        <v>33</v>
      </c>
      <c r="M341" s="1">
        <v>24</v>
      </c>
      <c r="N341" s="1">
        <v>21</v>
      </c>
      <c r="O341" s="1">
        <v>18</v>
      </c>
      <c r="P341" s="1">
        <v>16</v>
      </c>
      <c r="Q341" s="1">
        <v>15</v>
      </c>
      <c r="R341" s="1">
        <v>29</v>
      </c>
      <c r="S341" s="1">
        <v>34</v>
      </c>
      <c r="T341" s="1">
        <v>16</v>
      </c>
      <c r="U341" s="1">
        <v>22</v>
      </c>
      <c r="V341" s="1">
        <v>18</v>
      </c>
      <c r="W341" s="1">
        <v>13</v>
      </c>
      <c r="X341" s="1">
        <v>22</v>
      </c>
      <c r="Y341" s="1">
        <v>11</v>
      </c>
    </row>
    <row r="342" spans="1:25" x14ac:dyDescent="0.3">
      <c r="A342" s="2">
        <v>43775</v>
      </c>
      <c r="B342" s="1">
        <v>6</v>
      </c>
      <c r="C342" s="1">
        <v>4</v>
      </c>
      <c r="D342" s="1">
        <v>4</v>
      </c>
      <c r="E342" s="1">
        <v>6</v>
      </c>
      <c r="F342" s="1">
        <v>4</v>
      </c>
      <c r="G342" s="1">
        <v>6</v>
      </c>
      <c r="H342" s="1">
        <v>16</v>
      </c>
      <c r="I342" s="1">
        <v>27</v>
      </c>
      <c r="J342" s="1">
        <v>22</v>
      </c>
      <c r="K342" s="1">
        <v>23</v>
      </c>
      <c r="L342" s="1">
        <v>26</v>
      </c>
      <c r="M342" s="1">
        <v>32</v>
      </c>
      <c r="N342" s="1">
        <v>35</v>
      </c>
      <c r="O342" s="1">
        <v>22</v>
      </c>
      <c r="P342" s="1">
        <v>24</v>
      </c>
      <c r="Q342" s="1">
        <v>26</v>
      </c>
      <c r="R342" s="1">
        <v>37</v>
      </c>
      <c r="S342" s="1">
        <v>35</v>
      </c>
      <c r="T342" s="1">
        <v>32</v>
      </c>
      <c r="U342" s="1">
        <v>21</v>
      </c>
      <c r="V342" s="1">
        <v>13</v>
      </c>
      <c r="W342" s="1">
        <v>13</v>
      </c>
      <c r="X342" s="1">
        <v>8</v>
      </c>
      <c r="Y342" s="1">
        <v>3</v>
      </c>
    </row>
    <row r="343" spans="1:25" x14ac:dyDescent="0.3">
      <c r="A343" s="2">
        <v>43776</v>
      </c>
      <c r="B343" s="1">
        <v>1</v>
      </c>
      <c r="C343" s="1">
        <v>6</v>
      </c>
      <c r="D343" s="1">
        <v>4</v>
      </c>
      <c r="E343" s="1">
        <v>4</v>
      </c>
      <c r="F343" s="1">
        <v>6</v>
      </c>
      <c r="G343" s="1">
        <v>6</v>
      </c>
      <c r="H343" s="1">
        <v>4</v>
      </c>
      <c r="I343" s="1">
        <v>25</v>
      </c>
      <c r="J343" s="1">
        <v>23</v>
      </c>
      <c r="K343" s="1">
        <v>19</v>
      </c>
      <c r="L343" s="1">
        <v>22</v>
      </c>
      <c r="M343" s="1">
        <v>29</v>
      </c>
      <c r="N343" s="1">
        <v>24</v>
      </c>
      <c r="O343" s="1">
        <v>23</v>
      </c>
      <c r="P343" s="1">
        <v>18</v>
      </c>
      <c r="Q343" s="1">
        <v>30</v>
      </c>
      <c r="R343" s="1">
        <v>26</v>
      </c>
      <c r="S343" s="1">
        <v>38</v>
      </c>
      <c r="T343" s="1">
        <v>46</v>
      </c>
      <c r="U343" s="1">
        <v>19</v>
      </c>
      <c r="V343" s="1">
        <v>25</v>
      </c>
      <c r="W343" s="1">
        <v>12</v>
      </c>
      <c r="X343" s="1">
        <v>13</v>
      </c>
      <c r="Y343" s="1">
        <v>9</v>
      </c>
    </row>
    <row r="344" spans="1:25" x14ac:dyDescent="0.3">
      <c r="A344" s="2">
        <v>43777</v>
      </c>
      <c r="B344" s="1">
        <v>4</v>
      </c>
      <c r="C344" s="1">
        <v>12</v>
      </c>
      <c r="D344" s="1">
        <v>3</v>
      </c>
      <c r="E344" s="1">
        <v>3</v>
      </c>
      <c r="F344" s="1">
        <v>5</v>
      </c>
      <c r="G344" s="1">
        <v>5</v>
      </c>
      <c r="H344" s="1">
        <v>13</v>
      </c>
      <c r="I344" s="1">
        <v>15</v>
      </c>
      <c r="J344" s="1">
        <v>13</v>
      </c>
      <c r="K344" s="1">
        <v>26</v>
      </c>
      <c r="L344" s="1">
        <v>30</v>
      </c>
      <c r="M344" s="1">
        <v>27</v>
      </c>
      <c r="N344" s="1">
        <v>19</v>
      </c>
      <c r="O344" s="1">
        <v>37</v>
      </c>
      <c r="P344" s="1">
        <v>27</v>
      </c>
      <c r="Q344" s="1">
        <v>37</v>
      </c>
      <c r="R344" s="1">
        <v>32</v>
      </c>
      <c r="S344" s="1">
        <v>30</v>
      </c>
      <c r="T344" s="1">
        <v>33</v>
      </c>
      <c r="U344" s="1">
        <v>20</v>
      </c>
      <c r="V344" s="1">
        <v>24</v>
      </c>
      <c r="W344" s="1">
        <v>9</v>
      </c>
      <c r="X344" s="1">
        <v>10</v>
      </c>
      <c r="Y344" s="1">
        <v>6</v>
      </c>
    </row>
    <row r="345" spans="1:25" x14ac:dyDescent="0.3">
      <c r="A345" s="2">
        <v>43778</v>
      </c>
      <c r="B345" s="1">
        <v>8</v>
      </c>
      <c r="C345" s="1">
        <v>10</v>
      </c>
      <c r="D345" s="1">
        <v>17</v>
      </c>
      <c r="E345" s="1">
        <v>3</v>
      </c>
      <c r="F345" s="1">
        <v>3</v>
      </c>
      <c r="G345" s="1">
        <v>4</v>
      </c>
      <c r="H345" s="1">
        <v>11</v>
      </c>
      <c r="I345" s="1">
        <v>16</v>
      </c>
      <c r="J345" s="1">
        <v>15</v>
      </c>
      <c r="K345" s="1">
        <v>20</v>
      </c>
      <c r="L345" s="1">
        <v>28</v>
      </c>
      <c r="M345" s="1">
        <v>23</v>
      </c>
      <c r="N345" s="1">
        <v>31</v>
      </c>
      <c r="O345" s="1">
        <v>22</v>
      </c>
      <c r="P345" s="1">
        <v>16</v>
      </c>
      <c r="Q345" s="1">
        <v>22</v>
      </c>
      <c r="R345" s="1">
        <v>15</v>
      </c>
      <c r="S345" s="1">
        <v>29</v>
      </c>
      <c r="T345" s="1">
        <v>33</v>
      </c>
      <c r="U345" s="1">
        <v>18</v>
      </c>
      <c r="V345" s="1">
        <v>15</v>
      </c>
      <c r="W345" s="1">
        <v>11</v>
      </c>
      <c r="X345" s="1">
        <v>11</v>
      </c>
      <c r="Y345" s="1">
        <v>13</v>
      </c>
    </row>
    <row r="346" spans="1:25" x14ac:dyDescent="0.3">
      <c r="A346" s="2">
        <v>43779</v>
      </c>
      <c r="B346" s="1">
        <v>19</v>
      </c>
      <c r="C346" s="1">
        <v>11</v>
      </c>
      <c r="D346" s="1">
        <v>7</v>
      </c>
      <c r="E346" s="1">
        <v>9</v>
      </c>
      <c r="F346" s="1">
        <v>3</v>
      </c>
      <c r="G346" s="1">
        <v>9</v>
      </c>
      <c r="H346" s="1">
        <v>8</v>
      </c>
      <c r="I346" s="1">
        <v>10</v>
      </c>
      <c r="J346" s="1">
        <v>7</v>
      </c>
      <c r="K346" s="1">
        <v>21</v>
      </c>
      <c r="L346" s="1">
        <v>21</v>
      </c>
      <c r="M346" s="1">
        <v>15</v>
      </c>
      <c r="N346" s="1">
        <v>27</v>
      </c>
      <c r="O346" s="1">
        <v>17</v>
      </c>
      <c r="P346" s="1">
        <v>16</v>
      </c>
      <c r="Q346" s="1">
        <v>23</v>
      </c>
      <c r="R346" s="1">
        <v>27</v>
      </c>
      <c r="S346" s="1">
        <v>18</v>
      </c>
      <c r="T346" s="1">
        <v>18</v>
      </c>
      <c r="U346" s="1">
        <v>16</v>
      </c>
      <c r="V346" s="1">
        <v>17</v>
      </c>
      <c r="W346" s="1">
        <v>7</v>
      </c>
      <c r="X346" s="1">
        <v>9</v>
      </c>
      <c r="Y346" s="1">
        <v>5</v>
      </c>
    </row>
    <row r="347" spans="1:25" x14ac:dyDescent="0.3">
      <c r="A347" s="2">
        <v>43780</v>
      </c>
      <c r="B347" s="1">
        <v>4</v>
      </c>
      <c r="C347" s="1">
        <v>15</v>
      </c>
      <c r="D347" s="1">
        <v>3</v>
      </c>
      <c r="E347" s="1">
        <v>5</v>
      </c>
      <c r="F347" s="1">
        <v>4</v>
      </c>
      <c r="G347" s="1">
        <v>6</v>
      </c>
      <c r="H347" s="1">
        <v>21</v>
      </c>
      <c r="I347" s="1">
        <v>28</v>
      </c>
      <c r="J347" s="1">
        <v>21</v>
      </c>
      <c r="K347" s="1">
        <v>21</v>
      </c>
      <c r="L347" s="1">
        <v>23</v>
      </c>
      <c r="M347" s="1">
        <v>17</v>
      </c>
      <c r="N347" s="1">
        <v>30</v>
      </c>
      <c r="O347" s="1">
        <v>18</v>
      </c>
      <c r="P347" s="1">
        <v>28</v>
      </c>
      <c r="Q347" s="1">
        <v>20</v>
      </c>
      <c r="R347" s="1">
        <v>34</v>
      </c>
      <c r="S347" s="1">
        <v>41</v>
      </c>
      <c r="T347" s="1">
        <v>21</v>
      </c>
      <c r="U347" s="1">
        <v>26</v>
      </c>
      <c r="V347" s="1">
        <v>27</v>
      </c>
      <c r="W347" s="1">
        <v>11</v>
      </c>
      <c r="X347" s="1">
        <v>17</v>
      </c>
      <c r="Y347" s="1">
        <v>6</v>
      </c>
    </row>
    <row r="348" spans="1:25" x14ac:dyDescent="0.3">
      <c r="A348" s="2">
        <v>43781</v>
      </c>
      <c r="B348" s="1">
        <v>9</v>
      </c>
      <c r="C348" s="1">
        <v>4</v>
      </c>
      <c r="D348" s="1">
        <v>4</v>
      </c>
      <c r="E348" s="1">
        <v>11</v>
      </c>
      <c r="F348" s="1">
        <v>4</v>
      </c>
      <c r="G348" s="1">
        <v>10</v>
      </c>
      <c r="H348" s="1">
        <v>24</v>
      </c>
      <c r="I348" s="1">
        <v>17</v>
      </c>
      <c r="J348" s="1">
        <v>30</v>
      </c>
      <c r="K348" s="1">
        <v>31</v>
      </c>
      <c r="L348" s="1">
        <v>26</v>
      </c>
      <c r="M348" s="1">
        <v>21</v>
      </c>
      <c r="N348" s="1">
        <v>17</v>
      </c>
      <c r="O348" s="1">
        <v>18</v>
      </c>
      <c r="P348" s="1">
        <v>25</v>
      </c>
      <c r="Q348" s="1">
        <v>31</v>
      </c>
      <c r="R348" s="1">
        <v>32</v>
      </c>
      <c r="S348" s="1">
        <v>30</v>
      </c>
      <c r="T348" s="1">
        <v>22</v>
      </c>
      <c r="U348" s="1">
        <v>11</v>
      </c>
      <c r="V348" s="1">
        <v>11</v>
      </c>
      <c r="W348" s="1">
        <v>13</v>
      </c>
      <c r="X348" s="1">
        <v>6</v>
      </c>
      <c r="Y348" s="1">
        <v>5</v>
      </c>
    </row>
    <row r="349" spans="1:25" x14ac:dyDescent="0.3">
      <c r="A349" s="2">
        <v>43782</v>
      </c>
      <c r="B349" s="1">
        <v>8</v>
      </c>
      <c r="C349" s="1">
        <v>7</v>
      </c>
      <c r="D349" s="1">
        <v>4</v>
      </c>
      <c r="E349" s="1">
        <v>4</v>
      </c>
      <c r="F349" s="1">
        <v>4</v>
      </c>
      <c r="G349" s="1">
        <v>6</v>
      </c>
      <c r="H349" s="1">
        <v>10</v>
      </c>
      <c r="I349" s="1">
        <v>25</v>
      </c>
      <c r="J349" s="1">
        <v>31</v>
      </c>
      <c r="K349" s="1">
        <v>15</v>
      </c>
      <c r="L349" s="1">
        <v>19</v>
      </c>
      <c r="M349" s="1">
        <v>24</v>
      </c>
      <c r="N349" s="1">
        <v>26</v>
      </c>
      <c r="O349" s="1">
        <v>24</v>
      </c>
      <c r="P349" s="1">
        <v>16</v>
      </c>
      <c r="Q349" s="1">
        <v>23</v>
      </c>
      <c r="R349" s="1">
        <v>22</v>
      </c>
      <c r="S349" s="1">
        <v>42</v>
      </c>
      <c r="T349" s="1">
        <v>26</v>
      </c>
      <c r="U349" s="1">
        <v>29</v>
      </c>
      <c r="V349" s="1">
        <v>14</v>
      </c>
      <c r="W349" s="1">
        <v>22</v>
      </c>
      <c r="X349" s="1">
        <v>24</v>
      </c>
      <c r="Y349" s="1">
        <v>12</v>
      </c>
    </row>
    <row r="350" spans="1:25" x14ac:dyDescent="0.3">
      <c r="A350" s="2">
        <v>43783</v>
      </c>
      <c r="B350" s="1">
        <v>6</v>
      </c>
      <c r="C350" s="1">
        <v>6</v>
      </c>
      <c r="D350" s="1">
        <v>2</v>
      </c>
      <c r="E350" s="1">
        <v>4</v>
      </c>
      <c r="F350" s="1">
        <v>1</v>
      </c>
      <c r="G350" s="1">
        <v>9</v>
      </c>
      <c r="H350" s="1">
        <v>9</v>
      </c>
      <c r="I350" s="1">
        <v>28</v>
      </c>
      <c r="J350" s="1">
        <v>18</v>
      </c>
      <c r="K350" s="1">
        <v>18</v>
      </c>
      <c r="L350" s="1">
        <v>20</v>
      </c>
      <c r="M350" s="1">
        <v>24</v>
      </c>
      <c r="N350" s="1">
        <v>16</v>
      </c>
      <c r="O350" s="1">
        <v>30</v>
      </c>
      <c r="P350" s="1">
        <v>19</v>
      </c>
      <c r="Q350" s="1">
        <v>16</v>
      </c>
      <c r="R350" s="1">
        <v>21</v>
      </c>
      <c r="S350" s="1">
        <v>24</v>
      </c>
      <c r="T350" s="1">
        <v>26</v>
      </c>
      <c r="U350" s="1">
        <v>30</v>
      </c>
      <c r="V350" s="1">
        <v>9</v>
      </c>
      <c r="W350" s="1">
        <v>11</v>
      </c>
      <c r="X350" s="1">
        <v>14</v>
      </c>
      <c r="Y350" s="1">
        <v>15</v>
      </c>
    </row>
    <row r="351" spans="1:25" x14ac:dyDescent="0.3">
      <c r="A351" s="2">
        <v>43784</v>
      </c>
      <c r="B351" s="1">
        <v>12</v>
      </c>
      <c r="C351" s="1">
        <v>6</v>
      </c>
      <c r="D351" s="1">
        <v>5</v>
      </c>
      <c r="E351" s="1">
        <v>6</v>
      </c>
      <c r="F351" s="1">
        <v>3</v>
      </c>
      <c r="G351" s="1">
        <v>7</v>
      </c>
      <c r="H351" s="1">
        <v>13</v>
      </c>
      <c r="I351" s="1">
        <v>16</v>
      </c>
      <c r="J351" s="1">
        <v>26</v>
      </c>
      <c r="K351" s="1">
        <v>31</v>
      </c>
      <c r="L351" s="1">
        <v>21</v>
      </c>
      <c r="M351" s="1">
        <v>29</v>
      </c>
      <c r="N351" s="1">
        <v>23</v>
      </c>
      <c r="O351" s="1">
        <v>23</v>
      </c>
      <c r="P351" s="1">
        <v>16</v>
      </c>
      <c r="Q351" s="1">
        <v>37</v>
      </c>
      <c r="R351" s="1">
        <v>24</v>
      </c>
      <c r="S351" s="1">
        <v>38</v>
      </c>
      <c r="T351" s="1">
        <v>34</v>
      </c>
      <c r="U351" s="1">
        <v>21</v>
      </c>
      <c r="V351" s="1">
        <v>17</v>
      </c>
      <c r="W351" s="1">
        <v>14</v>
      </c>
      <c r="X351" s="1">
        <v>11</v>
      </c>
      <c r="Y351" s="1">
        <v>10</v>
      </c>
    </row>
    <row r="352" spans="1:25" x14ac:dyDescent="0.3">
      <c r="A352" s="2">
        <v>43785</v>
      </c>
      <c r="B352" s="1">
        <v>2</v>
      </c>
      <c r="C352" s="1">
        <v>6</v>
      </c>
      <c r="D352" s="1">
        <v>5</v>
      </c>
      <c r="E352" s="1">
        <v>7</v>
      </c>
      <c r="F352" s="1">
        <v>7</v>
      </c>
      <c r="G352" s="1">
        <v>6</v>
      </c>
      <c r="H352" s="1">
        <v>8</v>
      </c>
      <c r="I352" s="1">
        <v>11</v>
      </c>
      <c r="J352" s="1">
        <v>13</v>
      </c>
      <c r="K352" s="1">
        <v>23</v>
      </c>
      <c r="L352" s="1">
        <v>16</v>
      </c>
      <c r="M352" s="1">
        <v>34</v>
      </c>
      <c r="N352" s="1">
        <v>34</v>
      </c>
      <c r="O352" s="1">
        <v>29</v>
      </c>
      <c r="P352" s="1">
        <v>13</v>
      </c>
      <c r="Q352" s="1">
        <v>20</v>
      </c>
      <c r="R352" s="1">
        <v>25</v>
      </c>
      <c r="S352" s="1">
        <v>20</v>
      </c>
      <c r="T352" s="1">
        <v>25</v>
      </c>
      <c r="U352" s="1">
        <v>21</v>
      </c>
      <c r="V352" s="1">
        <v>11</v>
      </c>
      <c r="W352" s="1">
        <v>9</v>
      </c>
      <c r="X352" s="1">
        <v>12</v>
      </c>
      <c r="Y352" s="1">
        <v>14</v>
      </c>
    </row>
    <row r="353" spans="1:25" x14ac:dyDescent="0.3">
      <c r="A353" s="2">
        <v>43786</v>
      </c>
      <c r="B353" s="1">
        <v>12</v>
      </c>
      <c r="C353" s="1">
        <v>8</v>
      </c>
      <c r="D353" s="1">
        <v>4</v>
      </c>
      <c r="E353" s="1">
        <v>6</v>
      </c>
      <c r="F353" s="1">
        <v>3</v>
      </c>
      <c r="G353" s="1">
        <v>7</v>
      </c>
      <c r="H353" s="1">
        <v>9</v>
      </c>
      <c r="I353" s="1">
        <v>11</v>
      </c>
      <c r="J353" s="1">
        <v>14</v>
      </c>
      <c r="K353" s="1">
        <v>22</v>
      </c>
      <c r="L353" s="1">
        <v>16</v>
      </c>
      <c r="M353" s="1">
        <v>28</v>
      </c>
      <c r="N353" s="1">
        <v>27</v>
      </c>
      <c r="O353" s="1">
        <v>17</v>
      </c>
      <c r="P353" s="1">
        <v>13</v>
      </c>
      <c r="Q353" s="1">
        <v>22</v>
      </c>
      <c r="R353" s="1">
        <v>11</v>
      </c>
      <c r="S353" s="1">
        <v>21</v>
      </c>
      <c r="T353" s="1">
        <v>22</v>
      </c>
      <c r="U353" s="1">
        <v>19</v>
      </c>
      <c r="V353" s="1">
        <v>16</v>
      </c>
      <c r="W353" s="1">
        <v>20</v>
      </c>
      <c r="X353" s="1">
        <v>9</v>
      </c>
      <c r="Y353" s="1">
        <v>4</v>
      </c>
    </row>
    <row r="354" spans="1:25" x14ac:dyDescent="0.3">
      <c r="A354" s="2">
        <v>43787</v>
      </c>
      <c r="B354" s="1">
        <v>3</v>
      </c>
      <c r="C354" s="1">
        <v>5</v>
      </c>
      <c r="D354" s="1">
        <v>4</v>
      </c>
      <c r="E354" s="1">
        <v>1</v>
      </c>
      <c r="F354" s="1">
        <v>3</v>
      </c>
      <c r="G354" s="1">
        <v>3</v>
      </c>
      <c r="H354" s="1">
        <v>12</v>
      </c>
      <c r="I354" s="1">
        <v>14</v>
      </c>
      <c r="J354" s="1">
        <v>24</v>
      </c>
      <c r="K354" s="1">
        <v>24</v>
      </c>
      <c r="L354" s="1">
        <v>12</v>
      </c>
      <c r="M354" s="1">
        <v>14</v>
      </c>
      <c r="N354" s="1">
        <v>20</v>
      </c>
      <c r="O354" s="1">
        <v>26</v>
      </c>
      <c r="P354" s="1">
        <v>32</v>
      </c>
      <c r="Q354" s="1">
        <v>24</v>
      </c>
      <c r="R354" s="1">
        <v>21</v>
      </c>
      <c r="S354" s="1">
        <v>31</v>
      </c>
      <c r="T354" s="1">
        <v>25</v>
      </c>
      <c r="U354" s="1">
        <v>20</v>
      </c>
      <c r="V354" s="1">
        <v>10</v>
      </c>
      <c r="W354" s="1">
        <v>18</v>
      </c>
      <c r="X354" s="1">
        <v>7</v>
      </c>
      <c r="Y354" s="1">
        <v>7</v>
      </c>
    </row>
    <row r="355" spans="1:25" x14ac:dyDescent="0.3">
      <c r="A355" s="2">
        <v>43788</v>
      </c>
      <c r="B355" s="1">
        <v>6</v>
      </c>
      <c r="C355" s="1">
        <v>3</v>
      </c>
      <c r="D355" s="1">
        <v>9</v>
      </c>
      <c r="E355" s="1">
        <v>7</v>
      </c>
      <c r="F355" s="1">
        <v>6</v>
      </c>
      <c r="G355" s="1">
        <v>1</v>
      </c>
      <c r="H355" s="1">
        <v>7</v>
      </c>
      <c r="I355" s="1">
        <v>15</v>
      </c>
      <c r="J355" s="1">
        <v>22</v>
      </c>
      <c r="K355" s="1">
        <v>16</v>
      </c>
      <c r="L355" s="1">
        <v>12</v>
      </c>
      <c r="M355" s="1">
        <v>25</v>
      </c>
      <c r="N355" s="1">
        <v>22</v>
      </c>
      <c r="O355" s="1">
        <v>31</v>
      </c>
      <c r="P355" s="1">
        <v>29</v>
      </c>
      <c r="Q355" s="1">
        <v>21</v>
      </c>
      <c r="R355" s="1">
        <v>25</v>
      </c>
      <c r="S355" s="1">
        <v>48</v>
      </c>
      <c r="T355" s="1">
        <v>20</v>
      </c>
      <c r="U355" s="1">
        <v>17</v>
      </c>
      <c r="V355" s="1">
        <v>18</v>
      </c>
      <c r="W355" s="1">
        <v>16</v>
      </c>
      <c r="X355" s="1">
        <v>12</v>
      </c>
      <c r="Y355" s="1">
        <v>7</v>
      </c>
    </row>
    <row r="356" spans="1:25" x14ac:dyDescent="0.3">
      <c r="A356" s="2">
        <v>43789</v>
      </c>
      <c r="B356" s="1">
        <v>9</v>
      </c>
      <c r="C356" s="1">
        <v>5</v>
      </c>
      <c r="D356" s="1">
        <v>2</v>
      </c>
      <c r="E356" s="1">
        <v>9</v>
      </c>
      <c r="F356" s="1">
        <v>3</v>
      </c>
      <c r="G356" s="1">
        <v>2</v>
      </c>
      <c r="H356" s="1">
        <v>9</v>
      </c>
      <c r="I356" s="1">
        <v>20</v>
      </c>
      <c r="J356" s="1">
        <v>28</v>
      </c>
      <c r="K356" s="1">
        <v>29</v>
      </c>
      <c r="L356" s="1">
        <v>14</v>
      </c>
      <c r="M356" s="1">
        <v>24</v>
      </c>
      <c r="N356" s="1">
        <v>15</v>
      </c>
      <c r="O356" s="1">
        <v>17</v>
      </c>
      <c r="P356" s="1">
        <v>18</v>
      </c>
      <c r="Q356" s="1">
        <v>43</v>
      </c>
      <c r="R356" s="1">
        <v>29</v>
      </c>
      <c r="S356" s="1">
        <v>28</v>
      </c>
      <c r="T356" s="1">
        <v>25</v>
      </c>
      <c r="U356" s="1">
        <v>15</v>
      </c>
      <c r="V356" s="1">
        <v>11</v>
      </c>
      <c r="W356" s="1">
        <v>16</v>
      </c>
      <c r="X356" s="1">
        <v>16</v>
      </c>
      <c r="Y356" s="1">
        <v>7</v>
      </c>
    </row>
    <row r="357" spans="1:25" x14ac:dyDescent="0.3">
      <c r="A357" s="2">
        <v>43790</v>
      </c>
      <c r="B357" s="1">
        <v>5</v>
      </c>
      <c r="C357" s="1">
        <v>6</v>
      </c>
      <c r="D357" s="1">
        <v>6</v>
      </c>
      <c r="E357" s="1">
        <v>3</v>
      </c>
      <c r="F357" s="1">
        <v>6</v>
      </c>
      <c r="G357" s="1">
        <v>4</v>
      </c>
      <c r="H357" s="1">
        <v>14</v>
      </c>
      <c r="I357" s="1">
        <v>26</v>
      </c>
      <c r="J357" s="1">
        <v>35</v>
      </c>
      <c r="K357" s="1">
        <v>18</v>
      </c>
      <c r="L357" s="1">
        <v>21</v>
      </c>
      <c r="M357" s="1">
        <v>24</v>
      </c>
      <c r="N357" s="1">
        <v>11</v>
      </c>
      <c r="O357" s="1">
        <v>24</v>
      </c>
      <c r="P357" s="1">
        <v>21</v>
      </c>
      <c r="Q357" s="1">
        <v>31</v>
      </c>
      <c r="R357" s="1">
        <v>29</v>
      </c>
      <c r="S357" s="1">
        <v>26</v>
      </c>
      <c r="T357" s="1">
        <v>17</v>
      </c>
      <c r="U357" s="1">
        <v>25</v>
      </c>
      <c r="V357" s="1">
        <v>19</v>
      </c>
      <c r="W357" s="1">
        <v>9</v>
      </c>
      <c r="X357" s="1">
        <v>10</v>
      </c>
      <c r="Y357" s="1">
        <v>7</v>
      </c>
    </row>
    <row r="358" spans="1:25" x14ac:dyDescent="0.3">
      <c r="A358" s="2">
        <v>43791</v>
      </c>
      <c r="B358" s="1">
        <v>15</v>
      </c>
      <c r="C358" s="1">
        <v>1</v>
      </c>
      <c r="D358" s="1">
        <v>0</v>
      </c>
      <c r="E358" s="1">
        <v>3</v>
      </c>
      <c r="F358" s="1">
        <v>4</v>
      </c>
      <c r="G358" s="1">
        <v>9</v>
      </c>
      <c r="H358" s="1">
        <v>7</v>
      </c>
      <c r="I358" s="1">
        <v>18</v>
      </c>
      <c r="J358" s="1">
        <v>23</v>
      </c>
      <c r="K358" s="1">
        <v>33</v>
      </c>
      <c r="L358" s="1">
        <v>24</v>
      </c>
      <c r="M358" s="1">
        <v>21</v>
      </c>
      <c r="N358" s="1">
        <v>21</v>
      </c>
      <c r="O358" s="1">
        <v>24</v>
      </c>
      <c r="P358" s="1">
        <v>28</v>
      </c>
      <c r="Q358" s="1">
        <v>30</v>
      </c>
      <c r="R358" s="1">
        <v>27</v>
      </c>
      <c r="S358" s="1">
        <v>41</v>
      </c>
      <c r="T358" s="1">
        <v>20</v>
      </c>
      <c r="U358" s="1">
        <v>22</v>
      </c>
      <c r="V358" s="1">
        <v>9</v>
      </c>
      <c r="W358" s="1">
        <v>18</v>
      </c>
      <c r="X358" s="1">
        <v>8</v>
      </c>
      <c r="Y358" s="1">
        <v>9</v>
      </c>
    </row>
    <row r="359" spans="1:25" x14ac:dyDescent="0.3">
      <c r="A359" s="2">
        <v>43792</v>
      </c>
      <c r="B359" s="1">
        <v>8</v>
      </c>
      <c r="C359" s="1">
        <v>8</v>
      </c>
      <c r="D359" s="1">
        <v>15</v>
      </c>
      <c r="E359" s="1">
        <v>8</v>
      </c>
      <c r="F359" s="1">
        <v>3</v>
      </c>
      <c r="G359" s="1">
        <v>7</v>
      </c>
      <c r="H359" s="1">
        <v>5</v>
      </c>
      <c r="I359" s="1">
        <v>9</v>
      </c>
      <c r="J359" s="1">
        <v>15</v>
      </c>
      <c r="K359" s="1">
        <v>14</v>
      </c>
      <c r="L359" s="1">
        <v>19</v>
      </c>
      <c r="M359" s="1">
        <v>27</v>
      </c>
      <c r="N359" s="1">
        <v>30</v>
      </c>
      <c r="O359" s="1">
        <v>22</v>
      </c>
      <c r="P359" s="1">
        <v>26</v>
      </c>
      <c r="Q359" s="1">
        <v>10</v>
      </c>
      <c r="R359" s="1">
        <v>15</v>
      </c>
      <c r="S359" s="1">
        <v>24</v>
      </c>
      <c r="T359" s="1">
        <v>24</v>
      </c>
      <c r="U359" s="1">
        <v>24</v>
      </c>
      <c r="V359" s="1">
        <v>17</v>
      </c>
      <c r="W359" s="1">
        <v>11</v>
      </c>
      <c r="X359" s="1">
        <v>13</v>
      </c>
      <c r="Y359" s="1">
        <v>13</v>
      </c>
    </row>
    <row r="360" spans="1:25" x14ac:dyDescent="0.3">
      <c r="A360" s="2">
        <v>43793</v>
      </c>
      <c r="B360" s="1">
        <v>16</v>
      </c>
      <c r="C360" s="1">
        <v>8</v>
      </c>
      <c r="D360" s="1">
        <v>15</v>
      </c>
      <c r="E360" s="1">
        <v>6</v>
      </c>
      <c r="F360" s="1">
        <v>10</v>
      </c>
      <c r="G360" s="1">
        <v>10</v>
      </c>
      <c r="H360" s="1">
        <v>6</v>
      </c>
      <c r="I360" s="1">
        <v>8</v>
      </c>
      <c r="J360" s="1">
        <v>13</v>
      </c>
      <c r="K360" s="1">
        <v>14</v>
      </c>
      <c r="L360" s="1">
        <v>20</v>
      </c>
      <c r="M360" s="1">
        <v>25</v>
      </c>
      <c r="N360" s="1">
        <v>26</v>
      </c>
      <c r="O360" s="1">
        <v>23</v>
      </c>
      <c r="P360" s="1">
        <v>19</v>
      </c>
      <c r="Q360" s="1">
        <v>11</v>
      </c>
      <c r="R360" s="1">
        <v>24</v>
      </c>
      <c r="S360" s="1">
        <v>17</v>
      </c>
      <c r="T360" s="1">
        <v>22</v>
      </c>
      <c r="U360" s="1">
        <v>11</v>
      </c>
      <c r="V360" s="1">
        <v>31</v>
      </c>
      <c r="W360" s="1">
        <v>9</v>
      </c>
      <c r="X360" s="1">
        <v>12</v>
      </c>
      <c r="Y360" s="1">
        <v>5</v>
      </c>
    </row>
    <row r="361" spans="1:25" x14ac:dyDescent="0.3">
      <c r="A361" s="2">
        <v>43794</v>
      </c>
      <c r="B361" s="1">
        <v>9</v>
      </c>
      <c r="C361" s="1">
        <v>5</v>
      </c>
      <c r="D361" s="1">
        <v>4</v>
      </c>
      <c r="E361" s="1">
        <v>6</v>
      </c>
      <c r="F361" s="1">
        <v>3</v>
      </c>
      <c r="G361" s="1">
        <v>14</v>
      </c>
      <c r="H361" s="1">
        <v>11</v>
      </c>
      <c r="I361" s="1">
        <v>25</v>
      </c>
      <c r="J361" s="1">
        <v>37</v>
      </c>
      <c r="K361" s="1">
        <v>19</v>
      </c>
      <c r="L361" s="1">
        <v>29</v>
      </c>
      <c r="M361" s="1">
        <v>22</v>
      </c>
      <c r="N361" s="1">
        <v>24</v>
      </c>
      <c r="O361" s="1">
        <v>13</v>
      </c>
      <c r="P361" s="1">
        <v>27</v>
      </c>
      <c r="Q361" s="1">
        <v>17</v>
      </c>
      <c r="R361" s="1">
        <v>20</v>
      </c>
      <c r="S361" s="1">
        <v>44</v>
      </c>
      <c r="T361" s="1">
        <v>23</v>
      </c>
      <c r="U361" s="1">
        <v>19</v>
      </c>
      <c r="V361" s="1">
        <v>12</v>
      </c>
      <c r="W361" s="1">
        <v>8</v>
      </c>
      <c r="X361" s="1">
        <v>20</v>
      </c>
      <c r="Y361" s="1">
        <v>2</v>
      </c>
    </row>
    <row r="362" spans="1:25" x14ac:dyDescent="0.3">
      <c r="A362" s="2">
        <v>43795</v>
      </c>
      <c r="B362" s="1">
        <v>1</v>
      </c>
      <c r="C362" s="1">
        <v>8</v>
      </c>
      <c r="D362" s="1">
        <v>7</v>
      </c>
      <c r="E362" s="1">
        <v>5</v>
      </c>
      <c r="F362" s="1">
        <v>8</v>
      </c>
      <c r="G362" s="1">
        <v>7</v>
      </c>
      <c r="H362" s="1">
        <v>12</v>
      </c>
      <c r="I362" s="1">
        <v>28</v>
      </c>
      <c r="J362" s="1">
        <v>34</v>
      </c>
      <c r="K362" s="1">
        <v>35</v>
      </c>
      <c r="L362" s="1">
        <v>30</v>
      </c>
      <c r="M362" s="1">
        <v>27</v>
      </c>
      <c r="N362" s="1">
        <v>30</v>
      </c>
      <c r="O362" s="1">
        <v>20</v>
      </c>
      <c r="P362" s="1">
        <v>31</v>
      </c>
      <c r="Q362" s="1">
        <v>31</v>
      </c>
      <c r="R362" s="1">
        <v>23</v>
      </c>
      <c r="S362" s="1">
        <v>27</v>
      </c>
      <c r="T362" s="1">
        <v>33</v>
      </c>
      <c r="U362" s="1">
        <v>32</v>
      </c>
      <c r="V362" s="1">
        <v>22</v>
      </c>
      <c r="W362" s="1">
        <v>12</v>
      </c>
      <c r="X362" s="1">
        <v>16</v>
      </c>
      <c r="Y362" s="1">
        <v>11</v>
      </c>
    </row>
    <row r="363" spans="1:25" x14ac:dyDescent="0.3">
      <c r="A363" s="2">
        <v>43796</v>
      </c>
      <c r="B363" s="1">
        <v>6</v>
      </c>
      <c r="C363" s="1">
        <v>7</v>
      </c>
      <c r="D363" s="1">
        <v>6</v>
      </c>
      <c r="E363" s="1">
        <v>2</v>
      </c>
      <c r="F363" s="1">
        <v>16</v>
      </c>
      <c r="G363" s="1">
        <v>3</v>
      </c>
      <c r="H363" s="1">
        <v>10</v>
      </c>
      <c r="I363" s="1">
        <v>15</v>
      </c>
      <c r="J363" s="1">
        <v>15</v>
      </c>
      <c r="K363" s="1">
        <v>11</v>
      </c>
      <c r="L363" s="1">
        <v>20</v>
      </c>
      <c r="M363" s="1">
        <v>32</v>
      </c>
      <c r="N363" s="1">
        <v>27</v>
      </c>
      <c r="O363" s="1">
        <v>23</v>
      </c>
      <c r="P363" s="1">
        <v>29</v>
      </c>
      <c r="Q363" s="1">
        <v>25</v>
      </c>
      <c r="R363" s="1">
        <v>17</v>
      </c>
      <c r="S363" s="1">
        <v>28</v>
      </c>
      <c r="T363" s="1">
        <v>23</v>
      </c>
      <c r="U363" s="1">
        <v>17</v>
      </c>
      <c r="V363" s="1">
        <v>16</v>
      </c>
      <c r="W363" s="1">
        <v>17</v>
      </c>
      <c r="X363" s="1">
        <v>23</v>
      </c>
      <c r="Y363" s="1">
        <v>14</v>
      </c>
    </row>
    <row r="364" spans="1:25" x14ac:dyDescent="0.3">
      <c r="A364" s="2">
        <v>43797</v>
      </c>
      <c r="B364" s="1">
        <v>9</v>
      </c>
      <c r="C364" s="1">
        <v>18</v>
      </c>
      <c r="D364" s="1">
        <v>11</v>
      </c>
      <c r="E364" s="1">
        <v>9</v>
      </c>
      <c r="F364" s="1">
        <v>3</v>
      </c>
      <c r="G364" s="1">
        <v>11</v>
      </c>
      <c r="H364" s="1">
        <v>13</v>
      </c>
      <c r="I364" s="1">
        <v>12</v>
      </c>
      <c r="J364" s="1">
        <v>14</v>
      </c>
      <c r="K364" s="1">
        <v>21</v>
      </c>
      <c r="L364" s="1">
        <v>21</v>
      </c>
      <c r="M364" s="1">
        <v>26</v>
      </c>
      <c r="N364" s="1">
        <v>21</v>
      </c>
      <c r="O364" s="1">
        <v>35</v>
      </c>
      <c r="P364" s="1">
        <v>26</v>
      </c>
      <c r="Q364" s="1">
        <v>16</v>
      </c>
      <c r="R364" s="1">
        <v>16</v>
      </c>
      <c r="S364" s="1">
        <v>26</v>
      </c>
      <c r="T364" s="1">
        <v>21</v>
      </c>
      <c r="U364" s="1">
        <v>27</v>
      </c>
      <c r="V364" s="1">
        <v>11</v>
      </c>
      <c r="W364" s="1">
        <v>12</v>
      </c>
      <c r="X364" s="1">
        <v>16</v>
      </c>
      <c r="Y364" s="1">
        <v>10</v>
      </c>
    </row>
    <row r="365" spans="1:25" x14ac:dyDescent="0.3">
      <c r="A365" s="2">
        <v>43798</v>
      </c>
      <c r="B365" s="1">
        <v>13</v>
      </c>
      <c r="C365" s="1">
        <v>5</v>
      </c>
      <c r="D365" s="1">
        <v>1</v>
      </c>
      <c r="E365" s="1">
        <v>7</v>
      </c>
      <c r="F365" s="1">
        <v>4</v>
      </c>
      <c r="G365" s="1">
        <v>8</v>
      </c>
      <c r="H365" s="1">
        <v>9</v>
      </c>
      <c r="I365" s="1">
        <v>8</v>
      </c>
      <c r="J365" s="1">
        <v>16</v>
      </c>
      <c r="K365" s="1">
        <v>17</v>
      </c>
      <c r="L365" s="1">
        <v>27</v>
      </c>
      <c r="M365" s="1">
        <v>27</v>
      </c>
      <c r="N365" s="1">
        <v>24</v>
      </c>
      <c r="O365" s="1">
        <v>21</v>
      </c>
      <c r="P365" s="1">
        <v>20</v>
      </c>
      <c r="Q365" s="1">
        <v>31</v>
      </c>
      <c r="R365" s="1">
        <v>24</v>
      </c>
      <c r="S365" s="1">
        <v>35</v>
      </c>
      <c r="T365" s="1">
        <v>33</v>
      </c>
      <c r="U365" s="1">
        <v>15</v>
      </c>
      <c r="V365" s="1">
        <v>13</v>
      </c>
      <c r="W365" s="1">
        <v>16</v>
      </c>
      <c r="X365" s="1">
        <v>11</v>
      </c>
      <c r="Y365" s="1">
        <v>10</v>
      </c>
    </row>
    <row r="366" spans="1:25" x14ac:dyDescent="0.3">
      <c r="A366" s="2">
        <v>43799</v>
      </c>
      <c r="B366" s="1">
        <v>12</v>
      </c>
      <c r="C366" s="1">
        <v>5</v>
      </c>
      <c r="D366" s="1">
        <v>13</v>
      </c>
      <c r="E366" s="1">
        <v>3</v>
      </c>
      <c r="F366" s="1">
        <v>4</v>
      </c>
      <c r="G366" s="1">
        <v>13</v>
      </c>
      <c r="H366" s="1">
        <v>6</v>
      </c>
      <c r="I366" s="1">
        <v>12</v>
      </c>
      <c r="J366" s="1">
        <v>15</v>
      </c>
      <c r="K366" s="1">
        <v>14</v>
      </c>
      <c r="L366" s="1">
        <v>18</v>
      </c>
      <c r="M366" s="1">
        <v>20</v>
      </c>
      <c r="N366" s="1">
        <v>23</v>
      </c>
      <c r="O366" s="1">
        <v>16</v>
      </c>
      <c r="P366" s="1">
        <v>40</v>
      </c>
      <c r="Q366" s="1">
        <v>21</v>
      </c>
      <c r="R366" s="1">
        <v>18</v>
      </c>
      <c r="S366" s="1">
        <v>24</v>
      </c>
      <c r="T366" s="1">
        <v>22</v>
      </c>
      <c r="U366" s="1">
        <v>17</v>
      </c>
      <c r="V366" s="1">
        <v>12</v>
      </c>
      <c r="W366" s="1">
        <v>11</v>
      </c>
      <c r="X366" s="1">
        <v>13</v>
      </c>
      <c r="Y366" s="1">
        <v>11</v>
      </c>
    </row>
    <row r="367" spans="1:25" x14ac:dyDescent="0.3">
      <c r="A367" s="2">
        <v>43800</v>
      </c>
      <c r="B367" s="1">
        <v>12</v>
      </c>
      <c r="C367" s="1">
        <v>8</v>
      </c>
      <c r="D367" s="1">
        <v>7</v>
      </c>
      <c r="E367" s="1">
        <v>8</v>
      </c>
      <c r="F367" s="1">
        <v>2</v>
      </c>
      <c r="G367" s="1">
        <v>6</v>
      </c>
      <c r="H367" s="1">
        <v>9</v>
      </c>
      <c r="I367" s="1">
        <v>7</v>
      </c>
      <c r="J367" s="1">
        <v>14</v>
      </c>
      <c r="K367" s="1">
        <v>13</v>
      </c>
      <c r="L367" s="1">
        <v>15</v>
      </c>
      <c r="M367" s="1">
        <v>17</v>
      </c>
      <c r="N367" s="1">
        <v>28</v>
      </c>
      <c r="O367" s="1">
        <v>22</v>
      </c>
      <c r="P367" s="1">
        <v>18</v>
      </c>
      <c r="Q367" s="1">
        <v>18</v>
      </c>
      <c r="R367" s="1">
        <v>18</v>
      </c>
      <c r="S367" s="1">
        <v>15</v>
      </c>
      <c r="T367" s="1">
        <v>15</v>
      </c>
      <c r="U367" s="1">
        <v>24</v>
      </c>
      <c r="V367" s="1">
        <v>9</v>
      </c>
      <c r="W367" s="1">
        <v>13</v>
      </c>
      <c r="X367" s="1">
        <v>18</v>
      </c>
      <c r="Y367" s="1">
        <v>10</v>
      </c>
    </row>
    <row r="368" spans="1:25" x14ac:dyDescent="0.3">
      <c r="A368" s="2">
        <v>43801</v>
      </c>
      <c r="B368" s="1">
        <v>9</v>
      </c>
      <c r="C368" s="1">
        <v>7</v>
      </c>
      <c r="D368" s="1">
        <v>7</v>
      </c>
      <c r="E368" s="1">
        <v>5</v>
      </c>
      <c r="F368" s="1">
        <v>3</v>
      </c>
      <c r="G368" s="1">
        <v>17</v>
      </c>
      <c r="H368" s="1">
        <v>7</v>
      </c>
      <c r="I368" s="1">
        <v>27</v>
      </c>
      <c r="J368" s="1">
        <v>25</v>
      </c>
      <c r="K368" s="1">
        <v>15</v>
      </c>
      <c r="L368" s="1">
        <v>20</v>
      </c>
      <c r="M368" s="1">
        <v>29</v>
      </c>
      <c r="N368" s="1">
        <v>16</v>
      </c>
      <c r="O368" s="1">
        <v>30</v>
      </c>
      <c r="P368" s="1">
        <v>18</v>
      </c>
      <c r="Q368" s="1">
        <v>13</v>
      </c>
      <c r="R368" s="1">
        <v>16</v>
      </c>
      <c r="S368" s="1">
        <v>23</v>
      </c>
      <c r="T368" s="1">
        <v>22</v>
      </c>
      <c r="U368" s="1">
        <v>28</v>
      </c>
      <c r="V368" s="1">
        <v>8</v>
      </c>
      <c r="W368" s="1">
        <v>16</v>
      </c>
      <c r="X368" s="1">
        <v>9</v>
      </c>
      <c r="Y368" s="1">
        <v>13</v>
      </c>
    </row>
    <row r="369" spans="1:25" x14ac:dyDescent="0.3">
      <c r="A369" s="2">
        <v>43802</v>
      </c>
      <c r="B369" s="1">
        <v>5</v>
      </c>
      <c r="C369" s="1">
        <v>6</v>
      </c>
      <c r="D369" s="1">
        <v>5</v>
      </c>
      <c r="E369" s="1">
        <v>5</v>
      </c>
      <c r="F369" s="1">
        <v>3</v>
      </c>
      <c r="G369" s="1">
        <v>5</v>
      </c>
      <c r="H369" s="1">
        <v>6</v>
      </c>
      <c r="I369" s="1">
        <v>14</v>
      </c>
      <c r="J369" s="1">
        <v>36</v>
      </c>
      <c r="K369" s="1">
        <v>26</v>
      </c>
      <c r="L369" s="1">
        <v>22</v>
      </c>
      <c r="M369" s="1">
        <v>33</v>
      </c>
      <c r="N369" s="1">
        <v>29</v>
      </c>
      <c r="O369" s="1">
        <v>17</v>
      </c>
      <c r="P369" s="1">
        <v>38</v>
      </c>
      <c r="Q369" s="1">
        <v>30</v>
      </c>
      <c r="R369" s="1">
        <v>20</v>
      </c>
      <c r="S369" s="1">
        <v>29</v>
      </c>
      <c r="T369" s="1">
        <v>16</v>
      </c>
      <c r="U369" s="1">
        <v>15</v>
      </c>
      <c r="V369" s="1">
        <v>18</v>
      </c>
      <c r="W369" s="1">
        <v>12</v>
      </c>
      <c r="X369" s="1">
        <v>7</v>
      </c>
      <c r="Y369" s="1">
        <v>7</v>
      </c>
    </row>
    <row r="370" spans="1:25" x14ac:dyDescent="0.3">
      <c r="A370" s="2">
        <v>43803</v>
      </c>
      <c r="B370" s="1">
        <v>9</v>
      </c>
      <c r="C370" s="1">
        <v>8</v>
      </c>
      <c r="D370" s="1">
        <v>3</v>
      </c>
      <c r="E370" s="1">
        <v>2</v>
      </c>
      <c r="F370" s="1">
        <v>3</v>
      </c>
      <c r="G370" s="1">
        <v>6</v>
      </c>
      <c r="H370" s="1">
        <v>14</v>
      </c>
      <c r="I370" s="1">
        <v>23</v>
      </c>
      <c r="J370" s="1">
        <v>17</v>
      </c>
      <c r="K370" s="1">
        <v>24</v>
      </c>
      <c r="L370" s="1">
        <v>35</v>
      </c>
      <c r="M370" s="1">
        <v>28</v>
      </c>
      <c r="N370" s="1">
        <v>36</v>
      </c>
      <c r="O370" s="1">
        <v>21</v>
      </c>
      <c r="P370" s="1">
        <v>23</v>
      </c>
      <c r="Q370" s="1">
        <v>13</v>
      </c>
      <c r="R370" s="1">
        <v>28</v>
      </c>
      <c r="S370" s="1">
        <v>56</v>
      </c>
      <c r="T370" s="1">
        <v>27</v>
      </c>
      <c r="U370" s="1">
        <v>26</v>
      </c>
      <c r="V370" s="1">
        <v>21</v>
      </c>
      <c r="W370" s="1">
        <v>17</v>
      </c>
      <c r="X370" s="1">
        <v>7</v>
      </c>
      <c r="Y370" s="1">
        <v>8</v>
      </c>
    </row>
    <row r="371" spans="1:25" x14ac:dyDescent="0.3">
      <c r="A371" s="2">
        <v>43804</v>
      </c>
      <c r="B371" s="1">
        <v>6</v>
      </c>
      <c r="C371" s="1">
        <v>4</v>
      </c>
      <c r="D371" s="1">
        <v>7</v>
      </c>
      <c r="E371" s="1">
        <v>4</v>
      </c>
      <c r="F371" s="1">
        <v>4</v>
      </c>
      <c r="G371" s="1">
        <v>4</v>
      </c>
      <c r="H371" s="1">
        <v>20</v>
      </c>
      <c r="I371" s="1">
        <v>28</v>
      </c>
      <c r="J371" s="1">
        <v>32</v>
      </c>
      <c r="K371" s="1">
        <v>32</v>
      </c>
      <c r="L371" s="1">
        <v>25</v>
      </c>
      <c r="M371" s="1">
        <v>26</v>
      </c>
      <c r="N371" s="1">
        <v>21</v>
      </c>
      <c r="O371" s="1">
        <v>21</v>
      </c>
      <c r="P371" s="1">
        <v>26</v>
      </c>
      <c r="Q371" s="1">
        <v>20</v>
      </c>
      <c r="R371" s="1">
        <v>24</v>
      </c>
      <c r="S371" s="1">
        <v>32</v>
      </c>
      <c r="T371" s="1">
        <v>30</v>
      </c>
      <c r="U371" s="1">
        <v>19</v>
      </c>
      <c r="V371" s="1">
        <v>26</v>
      </c>
      <c r="W371" s="1">
        <v>9</v>
      </c>
      <c r="X371" s="1">
        <v>8</v>
      </c>
      <c r="Y371" s="1">
        <v>5</v>
      </c>
    </row>
    <row r="372" spans="1:25" x14ac:dyDescent="0.3">
      <c r="A372" s="2">
        <v>43805</v>
      </c>
      <c r="B372" s="1">
        <v>1</v>
      </c>
      <c r="C372" s="1">
        <v>5</v>
      </c>
      <c r="D372" s="1">
        <v>6</v>
      </c>
      <c r="E372" s="1">
        <v>9</v>
      </c>
      <c r="F372" s="1">
        <v>4</v>
      </c>
      <c r="G372" s="1">
        <v>7</v>
      </c>
      <c r="H372" s="1">
        <v>16</v>
      </c>
      <c r="I372" s="1">
        <v>11</v>
      </c>
      <c r="J372" s="1">
        <v>25</v>
      </c>
      <c r="K372" s="1">
        <v>28</v>
      </c>
      <c r="L372" s="1">
        <v>33</v>
      </c>
      <c r="M372" s="1">
        <v>16</v>
      </c>
      <c r="N372" s="1">
        <v>22</v>
      </c>
      <c r="O372" s="1">
        <v>25</v>
      </c>
      <c r="P372" s="1">
        <v>19</v>
      </c>
      <c r="Q372" s="1">
        <v>20</v>
      </c>
      <c r="R372" s="1">
        <v>33</v>
      </c>
      <c r="S372" s="1">
        <v>35</v>
      </c>
      <c r="T372" s="1">
        <v>21</v>
      </c>
      <c r="U372" s="1">
        <v>26</v>
      </c>
      <c r="V372" s="1">
        <v>28</v>
      </c>
      <c r="W372" s="1">
        <v>12</v>
      </c>
      <c r="X372" s="1">
        <v>8</v>
      </c>
      <c r="Y372" s="1">
        <v>11</v>
      </c>
    </row>
    <row r="373" spans="1:25" x14ac:dyDescent="0.3">
      <c r="A373" s="2">
        <v>43806</v>
      </c>
      <c r="B373" s="1">
        <v>6</v>
      </c>
      <c r="C373" s="1">
        <v>7</v>
      </c>
      <c r="D373" s="1">
        <v>4</v>
      </c>
      <c r="E373" s="1">
        <v>4</v>
      </c>
      <c r="F373" s="1">
        <v>7</v>
      </c>
      <c r="G373" s="1">
        <v>13</v>
      </c>
      <c r="H373" s="1">
        <v>7</v>
      </c>
      <c r="I373" s="1">
        <v>13</v>
      </c>
      <c r="J373" s="1">
        <v>11</v>
      </c>
      <c r="K373" s="1">
        <v>20</v>
      </c>
      <c r="L373" s="1">
        <v>27</v>
      </c>
      <c r="M373" s="1">
        <v>30</v>
      </c>
      <c r="N373" s="1">
        <v>24</v>
      </c>
      <c r="O373" s="1">
        <v>21</v>
      </c>
      <c r="P373" s="1">
        <v>27</v>
      </c>
      <c r="Q373" s="1">
        <v>22</v>
      </c>
      <c r="R373" s="1">
        <v>20</v>
      </c>
      <c r="S373" s="1">
        <v>20</v>
      </c>
      <c r="T373" s="1">
        <v>19</v>
      </c>
      <c r="U373" s="1">
        <v>23</v>
      </c>
      <c r="V373" s="1">
        <v>15</v>
      </c>
      <c r="W373" s="1">
        <v>14</v>
      </c>
      <c r="X373" s="1">
        <v>5</v>
      </c>
      <c r="Y373" s="1">
        <v>19</v>
      </c>
    </row>
    <row r="374" spans="1:25" x14ac:dyDescent="0.3">
      <c r="A374" s="2">
        <v>43807</v>
      </c>
      <c r="B374" s="1">
        <v>13</v>
      </c>
      <c r="C374" s="1">
        <v>8</v>
      </c>
      <c r="D374" s="1">
        <v>8</v>
      </c>
      <c r="E374" s="1">
        <v>7</v>
      </c>
      <c r="F374" s="1">
        <v>3</v>
      </c>
      <c r="G374" s="1">
        <v>7</v>
      </c>
      <c r="H374" s="1">
        <v>5</v>
      </c>
      <c r="I374" s="1">
        <v>5</v>
      </c>
      <c r="J374" s="1">
        <v>16</v>
      </c>
      <c r="K374" s="1">
        <v>15</v>
      </c>
      <c r="L374" s="1">
        <v>12</v>
      </c>
      <c r="M374" s="1">
        <v>19</v>
      </c>
      <c r="N374" s="1">
        <v>14</v>
      </c>
      <c r="O374" s="1">
        <v>13</v>
      </c>
      <c r="P374" s="1">
        <v>23</v>
      </c>
      <c r="Q374" s="1">
        <v>21</v>
      </c>
      <c r="R374" s="1">
        <v>22</v>
      </c>
      <c r="S374" s="1">
        <v>18</v>
      </c>
      <c r="T374" s="1">
        <v>17</v>
      </c>
      <c r="U374" s="1">
        <v>22</v>
      </c>
      <c r="V374" s="1">
        <v>13</v>
      </c>
      <c r="W374" s="1">
        <v>5</v>
      </c>
      <c r="X374" s="1">
        <v>7</v>
      </c>
      <c r="Y374" s="1">
        <v>7</v>
      </c>
    </row>
    <row r="375" spans="1:25" x14ac:dyDescent="0.3">
      <c r="A375" s="2">
        <v>43808</v>
      </c>
      <c r="B375" s="1">
        <v>4</v>
      </c>
      <c r="C375" s="1">
        <v>4</v>
      </c>
      <c r="D375" s="1">
        <v>4</v>
      </c>
      <c r="E375" s="1">
        <v>6</v>
      </c>
      <c r="F375" s="1">
        <v>11</v>
      </c>
      <c r="G375" s="1">
        <v>20</v>
      </c>
      <c r="H375" s="1">
        <v>19</v>
      </c>
      <c r="I375" s="1">
        <v>21</v>
      </c>
      <c r="J375" s="1">
        <v>25</v>
      </c>
      <c r="K375" s="1">
        <v>27</v>
      </c>
      <c r="L375" s="1">
        <v>21</v>
      </c>
      <c r="M375" s="1">
        <v>33</v>
      </c>
      <c r="N375" s="1">
        <v>27</v>
      </c>
      <c r="O375" s="1">
        <v>27</v>
      </c>
      <c r="P375" s="1">
        <v>25</v>
      </c>
      <c r="Q375" s="1">
        <v>30</v>
      </c>
      <c r="R375" s="1">
        <v>46</v>
      </c>
      <c r="S375" s="1">
        <v>35</v>
      </c>
      <c r="T375" s="1">
        <v>38</v>
      </c>
      <c r="U375" s="1">
        <v>23</v>
      </c>
      <c r="V375" s="1">
        <v>27</v>
      </c>
      <c r="W375" s="1">
        <v>11</v>
      </c>
      <c r="X375" s="1">
        <v>11</v>
      </c>
      <c r="Y375" s="1">
        <v>10</v>
      </c>
    </row>
    <row r="376" spans="1:25" x14ac:dyDescent="0.3">
      <c r="A376" s="2">
        <v>43809</v>
      </c>
      <c r="B376" s="1">
        <v>6</v>
      </c>
      <c r="C376" s="1">
        <v>6</v>
      </c>
      <c r="D376" s="1">
        <v>10</v>
      </c>
      <c r="E376" s="1">
        <v>3</v>
      </c>
      <c r="F376" s="1">
        <v>5</v>
      </c>
      <c r="G376" s="1">
        <v>5</v>
      </c>
      <c r="H376" s="1">
        <v>18</v>
      </c>
      <c r="I376" s="1">
        <v>28</v>
      </c>
      <c r="J376" s="1">
        <v>34</v>
      </c>
      <c r="K376" s="1">
        <v>29</v>
      </c>
      <c r="L376" s="1">
        <v>30</v>
      </c>
      <c r="M376" s="1">
        <v>20</v>
      </c>
      <c r="N376" s="1">
        <v>35</v>
      </c>
      <c r="O376" s="1">
        <v>28</v>
      </c>
      <c r="P376" s="1">
        <v>30</v>
      </c>
      <c r="Q376" s="1">
        <v>26</v>
      </c>
      <c r="R376" s="1">
        <v>29</v>
      </c>
      <c r="S376" s="1">
        <v>19</v>
      </c>
      <c r="T376" s="1">
        <v>34</v>
      </c>
      <c r="U376" s="1">
        <v>23</v>
      </c>
      <c r="V376" s="1">
        <v>16</v>
      </c>
      <c r="W376" s="1">
        <v>13</v>
      </c>
      <c r="X376" s="1">
        <v>10</v>
      </c>
      <c r="Y376" s="1">
        <v>8</v>
      </c>
    </row>
    <row r="377" spans="1:25" x14ac:dyDescent="0.3">
      <c r="A377" s="2">
        <v>43810</v>
      </c>
      <c r="B377" s="1">
        <v>9</v>
      </c>
      <c r="C377" s="1">
        <v>8</v>
      </c>
      <c r="D377" s="1">
        <v>5</v>
      </c>
      <c r="E377" s="1">
        <v>8</v>
      </c>
      <c r="F377" s="1">
        <v>5</v>
      </c>
      <c r="G377" s="1">
        <v>5</v>
      </c>
      <c r="H377" s="1">
        <v>10</v>
      </c>
      <c r="I377" s="1">
        <v>17</v>
      </c>
      <c r="J377" s="1">
        <v>27</v>
      </c>
      <c r="K377" s="1">
        <v>21</v>
      </c>
      <c r="L377" s="1">
        <v>16</v>
      </c>
      <c r="M377" s="1">
        <v>20</v>
      </c>
      <c r="N377" s="1">
        <v>27</v>
      </c>
      <c r="O377" s="1">
        <v>18</v>
      </c>
      <c r="P377" s="1">
        <v>17</v>
      </c>
      <c r="Q377" s="1">
        <v>30</v>
      </c>
      <c r="R377" s="1">
        <v>27</v>
      </c>
      <c r="S377" s="1">
        <v>21</v>
      </c>
      <c r="T377" s="1">
        <v>28</v>
      </c>
      <c r="U377" s="1">
        <v>21</v>
      </c>
      <c r="V377" s="1">
        <v>17</v>
      </c>
      <c r="W377" s="1">
        <v>4</v>
      </c>
      <c r="X377" s="1">
        <v>11</v>
      </c>
      <c r="Y377" s="1">
        <v>8</v>
      </c>
    </row>
    <row r="378" spans="1:25" x14ac:dyDescent="0.3">
      <c r="A378" s="2">
        <v>43811</v>
      </c>
      <c r="B378" s="1">
        <v>6</v>
      </c>
      <c r="C378" s="1">
        <v>3</v>
      </c>
      <c r="D378" s="1">
        <v>2</v>
      </c>
      <c r="E378" s="1">
        <v>10</v>
      </c>
      <c r="F378" s="1">
        <v>3</v>
      </c>
      <c r="G378" s="1">
        <v>15</v>
      </c>
      <c r="H378" s="1">
        <v>17</v>
      </c>
      <c r="I378" s="1">
        <v>27</v>
      </c>
      <c r="J378" s="1">
        <v>29</v>
      </c>
      <c r="K378" s="1">
        <v>22</v>
      </c>
      <c r="L378" s="1">
        <v>18</v>
      </c>
      <c r="M378" s="1">
        <v>20</v>
      </c>
      <c r="N378" s="1">
        <v>24</v>
      </c>
      <c r="O378" s="1">
        <v>28</v>
      </c>
      <c r="P378" s="1">
        <v>30</v>
      </c>
      <c r="Q378" s="1">
        <v>23</v>
      </c>
      <c r="R378" s="1">
        <v>28</v>
      </c>
      <c r="S378" s="1">
        <v>25</v>
      </c>
      <c r="T378" s="1">
        <v>28</v>
      </c>
      <c r="U378" s="1">
        <v>19</v>
      </c>
      <c r="V378" s="1">
        <v>10</v>
      </c>
      <c r="W378" s="1">
        <v>12</v>
      </c>
      <c r="X378" s="1">
        <v>12</v>
      </c>
      <c r="Y378" s="1">
        <v>7</v>
      </c>
    </row>
    <row r="379" spans="1:25" x14ac:dyDescent="0.3">
      <c r="A379" s="2">
        <v>43812</v>
      </c>
      <c r="B379" s="1">
        <v>8</v>
      </c>
      <c r="C379" s="1">
        <v>4</v>
      </c>
      <c r="D379" s="1">
        <v>5</v>
      </c>
      <c r="E379" s="1">
        <v>5</v>
      </c>
      <c r="F379" s="1">
        <v>4</v>
      </c>
      <c r="G379" s="1">
        <v>9</v>
      </c>
      <c r="H379" s="1">
        <v>10</v>
      </c>
      <c r="I379" s="1">
        <v>17</v>
      </c>
      <c r="J379" s="1">
        <v>18</v>
      </c>
      <c r="K379" s="1">
        <v>25</v>
      </c>
      <c r="L379" s="1">
        <v>19</v>
      </c>
      <c r="M379" s="1">
        <v>24</v>
      </c>
      <c r="N379" s="1">
        <v>26</v>
      </c>
      <c r="O379" s="1">
        <v>26</v>
      </c>
      <c r="P379" s="1">
        <v>39</v>
      </c>
      <c r="Q379" s="1">
        <v>37</v>
      </c>
      <c r="R379" s="1">
        <v>42</v>
      </c>
      <c r="S379" s="1">
        <v>36</v>
      </c>
      <c r="T379" s="1">
        <v>30</v>
      </c>
      <c r="U379" s="1">
        <v>27</v>
      </c>
      <c r="V379" s="1">
        <v>9</v>
      </c>
      <c r="W379" s="1">
        <v>23</v>
      </c>
      <c r="X379" s="1">
        <v>14</v>
      </c>
      <c r="Y379" s="1">
        <v>16</v>
      </c>
    </row>
    <row r="380" spans="1:25" x14ac:dyDescent="0.3">
      <c r="A380" s="2">
        <v>43813</v>
      </c>
      <c r="B380" s="1">
        <v>18</v>
      </c>
      <c r="C380" s="1">
        <v>11</v>
      </c>
      <c r="D380" s="1">
        <v>11</v>
      </c>
      <c r="E380" s="1">
        <v>2</v>
      </c>
      <c r="F380" s="1">
        <v>6</v>
      </c>
      <c r="G380" s="1">
        <v>8</v>
      </c>
      <c r="H380" s="1">
        <v>8</v>
      </c>
      <c r="I380" s="1">
        <v>5</v>
      </c>
      <c r="J380" s="1">
        <v>18</v>
      </c>
      <c r="K380" s="1">
        <v>24</v>
      </c>
      <c r="L380" s="1">
        <v>22</v>
      </c>
      <c r="M380" s="1">
        <v>25</v>
      </c>
      <c r="N380" s="1">
        <v>22</v>
      </c>
      <c r="O380" s="1">
        <v>33</v>
      </c>
      <c r="P380" s="1">
        <v>30</v>
      </c>
      <c r="Q380" s="1">
        <v>21</v>
      </c>
      <c r="R380" s="1">
        <v>24</v>
      </c>
      <c r="S380" s="1">
        <v>26</v>
      </c>
      <c r="T380" s="1">
        <v>16</v>
      </c>
      <c r="U380" s="1">
        <v>14</v>
      </c>
      <c r="V380" s="1">
        <v>11</v>
      </c>
      <c r="W380" s="1">
        <v>25</v>
      </c>
      <c r="X380" s="1">
        <v>20</v>
      </c>
      <c r="Y380" s="1">
        <v>21</v>
      </c>
    </row>
    <row r="381" spans="1:25" x14ac:dyDescent="0.3">
      <c r="A381" s="2">
        <v>43814</v>
      </c>
      <c r="B381" s="1">
        <v>11</v>
      </c>
      <c r="C381" s="1">
        <v>8</v>
      </c>
      <c r="D381" s="1">
        <v>10</v>
      </c>
      <c r="E381" s="1">
        <v>1</v>
      </c>
      <c r="F381" s="1">
        <v>5</v>
      </c>
      <c r="G381" s="1">
        <v>7</v>
      </c>
      <c r="H381" s="1">
        <v>8</v>
      </c>
      <c r="I381" s="1">
        <v>9</v>
      </c>
      <c r="J381" s="1">
        <v>13</v>
      </c>
      <c r="K381" s="1">
        <v>3</v>
      </c>
      <c r="L381" s="1">
        <v>18</v>
      </c>
      <c r="M381" s="1">
        <v>25</v>
      </c>
      <c r="N381" s="1">
        <v>22</v>
      </c>
      <c r="O381" s="1">
        <v>20</v>
      </c>
      <c r="P381" s="1">
        <v>17</v>
      </c>
      <c r="Q381" s="1">
        <v>19</v>
      </c>
      <c r="R381" s="1">
        <v>15</v>
      </c>
      <c r="S381" s="1">
        <v>29</v>
      </c>
      <c r="T381" s="1">
        <v>15</v>
      </c>
      <c r="U381" s="1">
        <v>15</v>
      </c>
      <c r="V381" s="1">
        <v>12</v>
      </c>
      <c r="W381" s="1">
        <v>12</v>
      </c>
      <c r="X381" s="1">
        <v>11</v>
      </c>
      <c r="Y381" s="1">
        <v>8</v>
      </c>
    </row>
    <row r="382" spans="1:25" x14ac:dyDescent="0.3">
      <c r="A382" s="2">
        <v>43815</v>
      </c>
      <c r="B382" s="1">
        <v>12</v>
      </c>
      <c r="C382" s="1">
        <v>8</v>
      </c>
      <c r="D382" s="1">
        <v>8</v>
      </c>
      <c r="E382" s="1">
        <v>9</v>
      </c>
      <c r="F382" s="1">
        <v>5</v>
      </c>
      <c r="G382" s="1">
        <v>8</v>
      </c>
      <c r="H382" s="1">
        <v>5</v>
      </c>
      <c r="I382" s="1">
        <v>23</v>
      </c>
      <c r="J382" s="1">
        <v>19</v>
      </c>
      <c r="K382" s="1">
        <v>20</v>
      </c>
      <c r="L382" s="1">
        <v>23</v>
      </c>
      <c r="M382" s="1">
        <v>22</v>
      </c>
      <c r="N382" s="1">
        <v>19</v>
      </c>
      <c r="O382" s="1">
        <v>20</v>
      </c>
      <c r="P382" s="1">
        <v>22</v>
      </c>
      <c r="Q382" s="1">
        <v>24</v>
      </c>
      <c r="R382" s="1">
        <v>27</v>
      </c>
      <c r="S382" s="1">
        <v>40</v>
      </c>
      <c r="T382" s="1">
        <v>35</v>
      </c>
      <c r="U382" s="1">
        <v>19</v>
      </c>
      <c r="V382" s="1">
        <v>27</v>
      </c>
      <c r="W382" s="1">
        <v>12</v>
      </c>
      <c r="X382" s="1">
        <v>14</v>
      </c>
      <c r="Y382" s="1">
        <v>19</v>
      </c>
    </row>
    <row r="383" spans="1:25" x14ac:dyDescent="0.3">
      <c r="A383" s="2">
        <v>43816</v>
      </c>
      <c r="B383" s="1">
        <v>17</v>
      </c>
      <c r="C383" s="1">
        <v>18</v>
      </c>
      <c r="D383" s="1">
        <v>7</v>
      </c>
      <c r="E383" s="1">
        <v>8</v>
      </c>
      <c r="F383" s="1">
        <v>4</v>
      </c>
      <c r="G383" s="1">
        <v>10</v>
      </c>
      <c r="H383" s="1">
        <v>19</v>
      </c>
      <c r="I383" s="1">
        <v>17</v>
      </c>
      <c r="J383" s="1">
        <v>33</v>
      </c>
      <c r="K383" s="1">
        <v>31</v>
      </c>
      <c r="L383" s="1">
        <v>33</v>
      </c>
      <c r="M383" s="1">
        <v>28</v>
      </c>
      <c r="N383" s="1">
        <v>22</v>
      </c>
      <c r="O383" s="1">
        <v>20</v>
      </c>
      <c r="P383" s="1">
        <v>23</v>
      </c>
      <c r="Q383" s="1">
        <v>27</v>
      </c>
      <c r="R383" s="1">
        <v>33</v>
      </c>
      <c r="S383" s="1">
        <v>39</v>
      </c>
      <c r="T383" s="1">
        <v>26</v>
      </c>
      <c r="U383" s="1">
        <v>12</v>
      </c>
      <c r="V383" s="1">
        <v>17</v>
      </c>
      <c r="W383" s="1">
        <v>9</v>
      </c>
      <c r="X383" s="1">
        <v>11</v>
      </c>
      <c r="Y383" s="1">
        <v>8</v>
      </c>
    </row>
    <row r="384" spans="1:25" x14ac:dyDescent="0.3">
      <c r="A384" s="2">
        <v>43817</v>
      </c>
      <c r="B384" s="1">
        <v>6</v>
      </c>
      <c r="C384" s="1">
        <v>14</v>
      </c>
      <c r="D384" s="1">
        <v>3</v>
      </c>
      <c r="E384" s="1">
        <v>5</v>
      </c>
      <c r="F384" s="1">
        <v>5</v>
      </c>
      <c r="G384" s="1">
        <v>10</v>
      </c>
      <c r="H384" s="1">
        <v>18</v>
      </c>
      <c r="I384" s="1">
        <v>19</v>
      </c>
      <c r="J384" s="1">
        <v>34</v>
      </c>
      <c r="K384" s="1">
        <v>33</v>
      </c>
      <c r="L384" s="1">
        <v>27</v>
      </c>
      <c r="M384" s="1">
        <v>27</v>
      </c>
      <c r="N384" s="1">
        <v>16</v>
      </c>
      <c r="O384" s="1">
        <v>18</v>
      </c>
      <c r="P384" s="1">
        <v>27</v>
      </c>
      <c r="Q384" s="1">
        <v>38</v>
      </c>
      <c r="R384" s="1">
        <v>20</v>
      </c>
      <c r="S384" s="1">
        <v>47</v>
      </c>
      <c r="T384" s="1">
        <v>29</v>
      </c>
      <c r="U384" s="1">
        <v>27</v>
      </c>
      <c r="V384" s="1">
        <v>17</v>
      </c>
      <c r="W384" s="1">
        <v>10</v>
      </c>
      <c r="X384" s="1">
        <v>10</v>
      </c>
      <c r="Y384" s="1">
        <v>7</v>
      </c>
    </row>
    <row r="385" spans="1:25" x14ac:dyDescent="0.3">
      <c r="A385" s="2">
        <v>43818</v>
      </c>
      <c r="B385" s="1">
        <v>2</v>
      </c>
      <c r="C385" s="1">
        <v>4</v>
      </c>
      <c r="D385" s="1">
        <v>2</v>
      </c>
      <c r="E385" s="1">
        <v>10</v>
      </c>
      <c r="F385" s="1">
        <v>8</v>
      </c>
      <c r="G385" s="1">
        <v>6</v>
      </c>
      <c r="H385" s="1">
        <v>8</v>
      </c>
      <c r="I385" s="1">
        <v>16</v>
      </c>
      <c r="J385" s="1">
        <v>29</v>
      </c>
      <c r="K385" s="1">
        <v>29</v>
      </c>
      <c r="L385" s="1">
        <v>16</v>
      </c>
      <c r="M385" s="1">
        <v>22</v>
      </c>
      <c r="N385" s="1">
        <v>33</v>
      </c>
      <c r="O385" s="1">
        <v>19</v>
      </c>
      <c r="P385" s="1">
        <v>32</v>
      </c>
      <c r="Q385" s="1">
        <v>22</v>
      </c>
      <c r="R385" s="1">
        <v>31</v>
      </c>
      <c r="S385" s="1">
        <v>38</v>
      </c>
      <c r="T385" s="1">
        <v>25</v>
      </c>
      <c r="U385" s="1">
        <v>21</v>
      </c>
      <c r="V385" s="1">
        <v>29</v>
      </c>
      <c r="W385" s="1">
        <v>9</v>
      </c>
      <c r="X385" s="1">
        <v>8</v>
      </c>
      <c r="Y385" s="1">
        <v>16</v>
      </c>
    </row>
    <row r="386" spans="1:25" x14ac:dyDescent="0.3">
      <c r="A386" s="2">
        <v>43819</v>
      </c>
      <c r="B386" s="1">
        <v>12</v>
      </c>
      <c r="C386" s="1">
        <v>5</v>
      </c>
      <c r="D386" s="1">
        <v>7</v>
      </c>
      <c r="E386" s="1">
        <v>6</v>
      </c>
      <c r="F386" s="1">
        <v>5</v>
      </c>
      <c r="G386" s="1">
        <v>12</v>
      </c>
      <c r="H386" s="1">
        <v>16</v>
      </c>
      <c r="I386" s="1">
        <v>22</v>
      </c>
      <c r="J386" s="1">
        <v>30</v>
      </c>
      <c r="K386" s="1">
        <v>28</v>
      </c>
      <c r="L386" s="1">
        <v>21</v>
      </c>
      <c r="M386" s="1">
        <v>24</v>
      </c>
      <c r="N386" s="1">
        <v>35</v>
      </c>
      <c r="O386" s="1">
        <v>39</v>
      </c>
      <c r="P386" s="1">
        <v>37</v>
      </c>
      <c r="Q386" s="1">
        <v>42</v>
      </c>
      <c r="R386" s="1">
        <v>26</v>
      </c>
      <c r="S386" s="1">
        <v>28</v>
      </c>
      <c r="T386" s="1">
        <v>25</v>
      </c>
      <c r="U386" s="1">
        <v>30</v>
      </c>
      <c r="V386" s="1">
        <v>25</v>
      </c>
      <c r="W386" s="1">
        <v>13</v>
      </c>
      <c r="X386" s="1">
        <v>4</v>
      </c>
      <c r="Y386" s="1">
        <v>23</v>
      </c>
    </row>
    <row r="387" spans="1:25" x14ac:dyDescent="0.3">
      <c r="A387" s="2">
        <v>43820</v>
      </c>
      <c r="B387" s="1">
        <v>15</v>
      </c>
      <c r="C387" s="1">
        <v>9</v>
      </c>
      <c r="D387" s="1">
        <v>10</v>
      </c>
      <c r="E387" s="1">
        <v>4</v>
      </c>
      <c r="F387" s="1">
        <v>7</v>
      </c>
      <c r="G387" s="1">
        <v>9</v>
      </c>
      <c r="H387" s="1">
        <v>10</v>
      </c>
      <c r="I387" s="1">
        <v>10</v>
      </c>
      <c r="J387" s="1">
        <v>17</v>
      </c>
      <c r="K387" s="1">
        <v>26</v>
      </c>
      <c r="L387" s="1">
        <v>20</v>
      </c>
      <c r="M387" s="1">
        <v>27</v>
      </c>
      <c r="N387" s="1">
        <v>16</v>
      </c>
      <c r="O387" s="1">
        <v>17</v>
      </c>
      <c r="P387" s="1">
        <v>16</v>
      </c>
      <c r="Q387" s="1">
        <v>20</v>
      </c>
      <c r="R387" s="1">
        <v>27</v>
      </c>
      <c r="S387" s="1">
        <v>30</v>
      </c>
      <c r="T387" s="1">
        <v>31</v>
      </c>
      <c r="U387" s="1">
        <v>14</v>
      </c>
      <c r="V387" s="1">
        <v>27</v>
      </c>
      <c r="W387" s="1">
        <v>19</v>
      </c>
      <c r="X387" s="1">
        <v>7</v>
      </c>
      <c r="Y387" s="1">
        <v>17</v>
      </c>
    </row>
    <row r="388" spans="1:25" x14ac:dyDescent="0.3">
      <c r="A388" s="2">
        <v>43821</v>
      </c>
      <c r="B388" s="1">
        <v>8</v>
      </c>
      <c r="C388" s="1">
        <v>7</v>
      </c>
      <c r="D388" s="1">
        <v>13</v>
      </c>
      <c r="E388" s="1">
        <v>12</v>
      </c>
      <c r="F388" s="1">
        <v>4</v>
      </c>
      <c r="G388" s="1">
        <v>8</v>
      </c>
      <c r="H388" s="1">
        <v>5</v>
      </c>
      <c r="I388" s="1">
        <v>7</v>
      </c>
      <c r="J388" s="1">
        <v>15</v>
      </c>
      <c r="K388" s="1">
        <v>19</v>
      </c>
      <c r="L388" s="1">
        <v>20</v>
      </c>
      <c r="M388" s="1">
        <v>29</v>
      </c>
      <c r="N388" s="1">
        <v>20</v>
      </c>
      <c r="O388" s="1">
        <v>23</v>
      </c>
      <c r="P388" s="1">
        <v>21</v>
      </c>
      <c r="Q388" s="1">
        <v>15</v>
      </c>
      <c r="R388" s="1">
        <v>26</v>
      </c>
      <c r="S388" s="1">
        <v>19</v>
      </c>
      <c r="T388" s="1">
        <v>21</v>
      </c>
      <c r="U388" s="1">
        <v>25</v>
      </c>
      <c r="V388" s="1">
        <v>15</v>
      </c>
      <c r="W388" s="1">
        <v>12</v>
      </c>
      <c r="X388" s="1">
        <v>9</v>
      </c>
      <c r="Y388" s="1">
        <v>7</v>
      </c>
    </row>
    <row r="389" spans="1:25" x14ac:dyDescent="0.3">
      <c r="A389" s="2">
        <v>43822</v>
      </c>
      <c r="B389" s="1">
        <v>13</v>
      </c>
      <c r="C389" s="1">
        <v>7</v>
      </c>
      <c r="D389" s="1">
        <v>7</v>
      </c>
      <c r="E389" s="1">
        <v>5</v>
      </c>
      <c r="F389" s="1">
        <v>3</v>
      </c>
      <c r="G389" s="1">
        <v>12</v>
      </c>
      <c r="H389" s="1">
        <v>10</v>
      </c>
      <c r="I389" s="1">
        <v>6</v>
      </c>
      <c r="J389" s="1">
        <v>21</v>
      </c>
      <c r="K389" s="1">
        <v>13</v>
      </c>
      <c r="L389" s="1">
        <v>22</v>
      </c>
      <c r="M389" s="1">
        <v>38</v>
      </c>
      <c r="N389" s="1">
        <v>26</v>
      </c>
      <c r="O389" s="1">
        <v>35</v>
      </c>
      <c r="P389" s="1">
        <v>20</v>
      </c>
      <c r="Q389" s="1">
        <v>41</v>
      </c>
      <c r="R389" s="1">
        <v>31</v>
      </c>
      <c r="S389" s="1">
        <v>38</v>
      </c>
      <c r="T389" s="1">
        <v>25</v>
      </c>
      <c r="U389" s="1">
        <v>25</v>
      </c>
      <c r="V389" s="1">
        <v>22</v>
      </c>
      <c r="W389" s="1">
        <v>18</v>
      </c>
      <c r="X389" s="1">
        <v>12</v>
      </c>
      <c r="Y389" s="1">
        <v>13</v>
      </c>
    </row>
    <row r="390" spans="1:25" x14ac:dyDescent="0.3">
      <c r="A390" s="2">
        <v>43823</v>
      </c>
      <c r="B390" s="1">
        <v>4</v>
      </c>
      <c r="C390" s="1">
        <v>2</v>
      </c>
      <c r="D390" s="1">
        <v>5</v>
      </c>
      <c r="E390" s="1">
        <v>9</v>
      </c>
      <c r="F390" s="1">
        <v>7</v>
      </c>
      <c r="G390" s="1">
        <v>14</v>
      </c>
      <c r="H390" s="1">
        <v>6</v>
      </c>
      <c r="I390" s="1">
        <v>15</v>
      </c>
      <c r="J390" s="1">
        <v>16</v>
      </c>
      <c r="K390" s="1">
        <v>23</v>
      </c>
      <c r="L390" s="1">
        <v>21</v>
      </c>
      <c r="M390" s="1">
        <v>26</v>
      </c>
      <c r="N390" s="1">
        <v>27</v>
      </c>
      <c r="O390" s="1">
        <v>20</v>
      </c>
      <c r="P390" s="1">
        <v>31</v>
      </c>
      <c r="Q390" s="1">
        <v>23</v>
      </c>
      <c r="R390" s="1">
        <v>18</v>
      </c>
      <c r="S390" s="1">
        <v>29</v>
      </c>
      <c r="T390" s="1">
        <v>21</v>
      </c>
      <c r="U390" s="1">
        <v>15</v>
      </c>
      <c r="V390" s="1">
        <v>10</v>
      </c>
      <c r="W390" s="1">
        <v>8</v>
      </c>
      <c r="X390" s="1">
        <v>15</v>
      </c>
      <c r="Y390" s="1">
        <v>12</v>
      </c>
    </row>
    <row r="391" spans="1:25" x14ac:dyDescent="0.3">
      <c r="A391" s="2">
        <v>43824</v>
      </c>
      <c r="B391" s="1">
        <v>7</v>
      </c>
      <c r="C391" s="1">
        <v>11</v>
      </c>
      <c r="D391" s="1">
        <v>8</v>
      </c>
      <c r="E391" s="1">
        <v>9</v>
      </c>
      <c r="F391" s="1">
        <v>1</v>
      </c>
      <c r="G391" s="1">
        <v>2</v>
      </c>
      <c r="H391" s="1">
        <v>5</v>
      </c>
      <c r="I391" s="1">
        <v>9</v>
      </c>
      <c r="J391" s="1">
        <v>10</v>
      </c>
      <c r="K391" s="1">
        <v>10</v>
      </c>
      <c r="L391" s="1">
        <v>26</v>
      </c>
      <c r="M391" s="1">
        <v>18</v>
      </c>
      <c r="N391" s="1">
        <v>15</v>
      </c>
      <c r="O391" s="1">
        <v>20</v>
      </c>
      <c r="P391" s="1">
        <v>19</v>
      </c>
      <c r="Q391" s="1">
        <v>13</v>
      </c>
      <c r="R391" s="1">
        <v>17</v>
      </c>
      <c r="S391" s="1">
        <v>14</v>
      </c>
      <c r="T391" s="1">
        <v>15</v>
      </c>
      <c r="U391" s="1">
        <v>25</v>
      </c>
      <c r="V391" s="1">
        <v>22</v>
      </c>
      <c r="W391" s="1">
        <v>18</v>
      </c>
      <c r="X391" s="1">
        <v>17</v>
      </c>
      <c r="Y391" s="1">
        <v>10</v>
      </c>
    </row>
    <row r="392" spans="1:25" x14ac:dyDescent="0.3">
      <c r="A392" s="2">
        <v>43825</v>
      </c>
      <c r="B392" s="1">
        <v>9</v>
      </c>
      <c r="C392" s="1">
        <v>9</v>
      </c>
      <c r="D392" s="1">
        <v>5</v>
      </c>
      <c r="E392" s="1">
        <v>10</v>
      </c>
      <c r="F392" s="1">
        <v>9</v>
      </c>
      <c r="G392" s="1">
        <v>10</v>
      </c>
      <c r="H392" s="1">
        <v>7</v>
      </c>
      <c r="I392" s="1">
        <v>18</v>
      </c>
      <c r="J392" s="1">
        <v>25</v>
      </c>
      <c r="K392" s="1">
        <v>17</v>
      </c>
      <c r="L392" s="1">
        <v>20</v>
      </c>
      <c r="M392" s="1">
        <v>23</v>
      </c>
      <c r="N392" s="1">
        <v>16</v>
      </c>
      <c r="O392" s="1">
        <v>18</v>
      </c>
      <c r="P392" s="1">
        <v>27</v>
      </c>
      <c r="Q392" s="1">
        <v>26</v>
      </c>
      <c r="R392" s="1">
        <v>14</v>
      </c>
      <c r="S392" s="1">
        <v>27</v>
      </c>
      <c r="T392" s="1">
        <v>19</v>
      </c>
      <c r="U392" s="1">
        <v>22</v>
      </c>
      <c r="V392" s="1">
        <v>8</v>
      </c>
      <c r="W392" s="1">
        <v>18</v>
      </c>
      <c r="X392" s="1">
        <v>16</v>
      </c>
      <c r="Y392" s="1">
        <v>12</v>
      </c>
    </row>
    <row r="393" spans="1:25" x14ac:dyDescent="0.3">
      <c r="A393" s="2">
        <v>43826</v>
      </c>
      <c r="B393" s="1">
        <v>8</v>
      </c>
      <c r="C393" s="1">
        <v>8</v>
      </c>
      <c r="D393" s="1">
        <v>6</v>
      </c>
      <c r="E393" s="1">
        <v>6</v>
      </c>
      <c r="F393" s="1">
        <v>4</v>
      </c>
      <c r="G393" s="1">
        <v>5</v>
      </c>
      <c r="H393" s="1">
        <v>6</v>
      </c>
      <c r="I393" s="1">
        <v>16</v>
      </c>
      <c r="J393" s="1">
        <v>18</v>
      </c>
      <c r="K393" s="1">
        <v>26</v>
      </c>
      <c r="L393" s="1">
        <v>16</v>
      </c>
      <c r="M393" s="1">
        <v>21</v>
      </c>
      <c r="N393" s="1">
        <v>28</v>
      </c>
      <c r="O393" s="1">
        <v>21</v>
      </c>
      <c r="P393" s="1">
        <v>22</v>
      </c>
      <c r="Q393" s="1">
        <v>33</v>
      </c>
      <c r="R393" s="1">
        <v>18</v>
      </c>
      <c r="S393" s="1">
        <v>28</v>
      </c>
      <c r="T393" s="1">
        <v>21</v>
      </c>
      <c r="U393" s="1">
        <v>16</v>
      </c>
      <c r="V393" s="1">
        <v>27</v>
      </c>
      <c r="W393" s="1">
        <v>10</v>
      </c>
      <c r="X393" s="1">
        <v>10</v>
      </c>
      <c r="Y393" s="1">
        <v>12</v>
      </c>
    </row>
    <row r="394" spans="1:25" x14ac:dyDescent="0.3">
      <c r="A394" s="2">
        <v>43827</v>
      </c>
      <c r="B394" s="1">
        <v>14</v>
      </c>
      <c r="C394" s="1">
        <v>6</v>
      </c>
      <c r="D394" s="1">
        <v>13</v>
      </c>
      <c r="E394" s="1">
        <v>4</v>
      </c>
      <c r="F394" s="1">
        <v>6</v>
      </c>
      <c r="G394" s="1">
        <v>3</v>
      </c>
      <c r="H394" s="1">
        <v>4</v>
      </c>
      <c r="I394" s="1">
        <v>8</v>
      </c>
      <c r="J394" s="1">
        <v>22</v>
      </c>
      <c r="K394" s="1">
        <v>19</v>
      </c>
      <c r="L394" s="1">
        <v>23</v>
      </c>
      <c r="M394" s="1">
        <v>19</v>
      </c>
      <c r="N394" s="1">
        <v>23</v>
      </c>
      <c r="O394" s="1">
        <v>16</v>
      </c>
      <c r="P394" s="1">
        <v>33</v>
      </c>
      <c r="Q394" s="1">
        <v>17</v>
      </c>
      <c r="R394" s="1">
        <v>20</v>
      </c>
      <c r="S394" s="1">
        <v>25</v>
      </c>
      <c r="T394" s="1">
        <v>10</v>
      </c>
      <c r="U394" s="1">
        <v>9</v>
      </c>
      <c r="V394" s="1">
        <v>12</v>
      </c>
      <c r="W394" s="1">
        <v>14</v>
      </c>
      <c r="X394" s="1">
        <v>14</v>
      </c>
      <c r="Y394" s="1">
        <v>6</v>
      </c>
    </row>
    <row r="395" spans="1:25" x14ac:dyDescent="0.3">
      <c r="A395" s="2">
        <v>43828</v>
      </c>
      <c r="B395" s="1">
        <v>8</v>
      </c>
      <c r="C395" s="1">
        <v>6</v>
      </c>
      <c r="D395" s="1">
        <v>11</v>
      </c>
      <c r="E395" s="1">
        <v>6</v>
      </c>
      <c r="F395" s="1">
        <v>6</v>
      </c>
      <c r="G395" s="1">
        <v>7</v>
      </c>
      <c r="H395" s="1">
        <v>7</v>
      </c>
      <c r="I395" s="1">
        <v>10</v>
      </c>
      <c r="J395" s="1">
        <v>13</v>
      </c>
      <c r="K395" s="1">
        <v>9</v>
      </c>
      <c r="L395" s="1">
        <v>18</v>
      </c>
      <c r="M395" s="1">
        <v>22</v>
      </c>
      <c r="N395" s="1">
        <v>20</v>
      </c>
      <c r="O395" s="1">
        <v>24</v>
      </c>
      <c r="P395" s="1">
        <v>17</v>
      </c>
      <c r="Q395" s="1">
        <v>15</v>
      </c>
      <c r="R395" s="1">
        <v>14</v>
      </c>
      <c r="S395" s="1">
        <v>19</v>
      </c>
      <c r="T395" s="1">
        <v>14</v>
      </c>
      <c r="U395" s="1">
        <v>13</v>
      </c>
      <c r="V395" s="1">
        <v>20</v>
      </c>
      <c r="W395" s="1">
        <v>20</v>
      </c>
      <c r="X395" s="1">
        <v>16</v>
      </c>
      <c r="Y395" s="1">
        <v>7</v>
      </c>
    </row>
    <row r="396" spans="1:25" x14ac:dyDescent="0.3">
      <c r="A396" s="2">
        <v>43829</v>
      </c>
      <c r="B396" s="1">
        <v>7</v>
      </c>
      <c r="C396" s="1">
        <v>7</v>
      </c>
      <c r="D396" s="1">
        <v>7</v>
      </c>
      <c r="E396" s="1">
        <v>6</v>
      </c>
      <c r="F396" s="1">
        <v>6</v>
      </c>
      <c r="G396" s="1">
        <v>11</v>
      </c>
      <c r="H396" s="1">
        <v>6</v>
      </c>
      <c r="I396" s="1">
        <v>18</v>
      </c>
      <c r="J396" s="1">
        <v>14</v>
      </c>
      <c r="K396" s="1">
        <v>22</v>
      </c>
      <c r="L396" s="1">
        <v>18</v>
      </c>
      <c r="M396" s="1">
        <v>28</v>
      </c>
      <c r="N396" s="1">
        <v>31</v>
      </c>
      <c r="O396" s="1">
        <v>22</v>
      </c>
      <c r="P396" s="1">
        <v>26</v>
      </c>
      <c r="Q396" s="1">
        <v>28</v>
      </c>
      <c r="R396" s="1">
        <v>30</v>
      </c>
      <c r="S396" s="1">
        <v>31</v>
      </c>
      <c r="T396" s="1">
        <v>22</v>
      </c>
      <c r="U396" s="1">
        <v>21</v>
      </c>
      <c r="V396" s="1">
        <v>12</v>
      </c>
      <c r="W396" s="1">
        <v>6</v>
      </c>
      <c r="X396" s="1">
        <v>6</v>
      </c>
      <c r="Y396" s="1">
        <v>10</v>
      </c>
    </row>
    <row r="397" spans="1:25" x14ac:dyDescent="0.3">
      <c r="A397" s="2">
        <v>43830</v>
      </c>
      <c r="B397" s="1">
        <v>17</v>
      </c>
      <c r="C397" s="1">
        <v>6</v>
      </c>
      <c r="D397" s="1">
        <v>15</v>
      </c>
      <c r="E397" s="1">
        <v>2</v>
      </c>
      <c r="F397" s="1">
        <v>11</v>
      </c>
      <c r="G397" s="1">
        <v>9</v>
      </c>
      <c r="H397" s="1">
        <v>11</v>
      </c>
      <c r="I397" s="1">
        <v>14</v>
      </c>
      <c r="J397" s="1">
        <v>18</v>
      </c>
      <c r="K397" s="1">
        <v>19</v>
      </c>
      <c r="L397" s="1">
        <v>17</v>
      </c>
      <c r="M397" s="1">
        <v>18</v>
      </c>
      <c r="N397" s="1">
        <v>23</v>
      </c>
      <c r="O397" s="1">
        <v>22</v>
      </c>
      <c r="P397" s="1">
        <v>17</v>
      </c>
      <c r="Q397" s="1">
        <v>20</v>
      </c>
      <c r="R397" s="1">
        <v>27</v>
      </c>
      <c r="S397" s="1">
        <v>12</v>
      </c>
      <c r="T397" s="1">
        <v>19</v>
      </c>
      <c r="U397" s="1">
        <v>15</v>
      </c>
      <c r="V397" s="1">
        <v>16</v>
      </c>
      <c r="W397" s="1">
        <v>18</v>
      </c>
      <c r="X397" s="1">
        <v>15</v>
      </c>
      <c r="Y397" s="1">
        <v>10</v>
      </c>
    </row>
    <row r="398" spans="1:25" x14ac:dyDescent="0.3">
      <c r="A398" s="2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97"/>
  <sheetViews>
    <sheetView topLeftCell="A8" zoomScale="70" zoomScaleNormal="70" workbookViewId="0">
      <selection activeCell="A19" sqref="A19:O30"/>
    </sheetView>
  </sheetViews>
  <sheetFormatPr defaultRowHeight="14" x14ac:dyDescent="0.3"/>
  <cols>
    <col min="1" max="1" width="19" customWidth="1"/>
    <col min="2" max="2" width="12.08203125" customWidth="1"/>
    <col min="3" max="3" width="14.58203125" customWidth="1"/>
    <col min="4" max="4" width="12.08203125" customWidth="1"/>
    <col min="5" max="5" width="14.58203125" customWidth="1"/>
    <col min="6" max="6" width="12.08203125" customWidth="1"/>
    <col min="7" max="7" width="14.58203125" customWidth="1"/>
    <col min="8" max="8" width="12.08203125" customWidth="1"/>
    <col min="9" max="9" width="14.58203125" customWidth="1"/>
    <col min="10" max="10" width="12.08203125" customWidth="1"/>
    <col min="11" max="11" width="14.58203125" customWidth="1"/>
    <col min="12" max="12" width="12.08203125" customWidth="1"/>
    <col min="13" max="13" width="14.58203125" customWidth="1"/>
    <col min="14" max="14" width="12.08203125" customWidth="1"/>
    <col min="15" max="15" width="14.58203125" customWidth="1"/>
    <col min="16" max="25" width="5.58203125" customWidth="1"/>
  </cols>
  <sheetData>
    <row r="1" spans="1:15" x14ac:dyDescent="0.3">
      <c r="A1" s="9"/>
      <c r="B1" s="10" t="s">
        <v>8</v>
      </c>
      <c r="C1" s="10" t="s">
        <v>9</v>
      </c>
      <c r="D1" s="10" t="s">
        <v>10</v>
      </c>
      <c r="E1" s="10" t="s">
        <v>11</v>
      </c>
      <c r="F1" s="10" t="s">
        <v>12</v>
      </c>
      <c r="G1" s="10" t="s">
        <v>13</v>
      </c>
      <c r="H1" s="10" t="s">
        <v>14</v>
      </c>
      <c r="I1" s="10" t="s">
        <v>15</v>
      </c>
      <c r="J1" s="10" t="s">
        <v>16</v>
      </c>
      <c r="K1" s="11" t="s">
        <v>17</v>
      </c>
      <c r="L1" s="1"/>
      <c r="M1" s="1"/>
      <c r="N1" s="1"/>
      <c r="O1" s="1"/>
    </row>
    <row r="2" spans="1:15" x14ac:dyDescent="0.3">
      <c r="A2" s="12" t="s">
        <v>18</v>
      </c>
      <c r="B2" s="1">
        <v>3</v>
      </c>
      <c r="C2" s="1">
        <v>3</v>
      </c>
      <c r="D2" s="1">
        <v>6</v>
      </c>
      <c r="E2" s="1">
        <v>6</v>
      </c>
      <c r="F2" s="1">
        <v>9</v>
      </c>
      <c r="G2" s="1">
        <v>9</v>
      </c>
      <c r="H2" s="1">
        <v>12</v>
      </c>
      <c r="I2" s="1">
        <v>12</v>
      </c>
      <c r="J2" s="1">
        <v>15</v>
      </c>
      <c r="K2" s="13">
        <v>15</v>
      </c>
      <c r="L2" s="1"/>
      <c r="M2" s="1"/>
      <c r="N2" s="1"/>
      <c r="O2" s="1"/>
    </row>
    <row r="3" spans="1:15" x14ac:dyDescent="0.3">
      <c r="A3" s="12">
        <v>0</v>
      </c>
      <c r="B3" s="14">
        <f>1-_xlfn.BETA.DIST(VLOOKUP($A3,NB_p!$A$2:$G$25,4,FALSE),VLOOKUP($A3,NB_r!$A$2:$G$25,4,FALSE),B$2,TRUE)</f>
        <v>0.90637450179848755</v>
      </c>
      <c r="C3" s="14">
        <f>COUNTIF(INDEX($B$33:$Y$397,0,MATCH($A3,$B$32:$Y$32,0)),"&gt;="&amp;C$2)/ROWS($A$33:$A$397)</f>
        <v>0.9671232876712329</v>
      </c>
      <c r="D3" s="14">
        <f>1-_xlfn.BETA.DIST(VLOOKUP($A3,NB_p!$A$2:$G$25,4,FALSE),VLOOKUP($A3,NB_r!$A$2:$G$25,4,FALSE),D$2,TRUE)</f>
        <v>0.67851788963737336</v>
      </c>
      <c r="E3" s="14">
        <f>COUNTIF(INDEX($B$33:$Y$397,0,MATCH($A3,$B$32:$Y$32,0)),"&gt;="&amp;E$2)/ROWS($A$33:$A$397)</f>
        <v>0.75890410958904109</v>
      </c>
      <c r="F3" s="14">
        <f>1-_xlfn.BETA.DIST(VLOOKUP($A3,NB_p!$A$2:$G$25,4,FALSE),VLOOKUP($A3,NB_r!$A$2:$G$25,4,FALSE),F$2,TRUE)</f>
        <v>0.43612506530185868</v>
      </c>
      <c r="G3" s="14">
        <f>COUNTIF(INDEX($B$33:$Y$397,0,MATCH($A3,$B$32:$Y$32,0)),"&gt;="&amp;G$2)/ROWS($A$33:$A$397)</f>
        <v>0.42191780821917807</v>
      </c>
      <c r="H3" s="14">
        <f>1-_xlfn.BETA.DIST(VLOOKUP($A3,NB_p!$A$2:$G$25,4,FALSE),VLOOKUP($A3,NB_r!$A$2:$G$25,4,FALSE),H$2,TRUE)</f>
        <v>0.25153399829600664</v>
      </c>
      <c r="I3" s="14">
        <f>COUNTIF(INDEX($B$33:$Y$397,0,MATCH($A3,$B$32:$Y$32,0)),"&gt;="&amp;I$2)/ROWS($A$33:$A$397)</f>
        <v>0.18904109589041096</v>
      </c>
      <c r="J3" s="14">
        <f>1-_xlfn.BETA.DIST(VLOOKUP($A3,NB_p!$A$2:$G$25,4,FALSE),VLOOKUP($A3,NB_r!$A$2:$G$25,4,FALSE),J$2,TRUE)</f>
        <v>0.13417259538504189</v>
      </c>
      <c r="K3" s="14">
        <f>COUNTIF(INDEX($B$33:$Y$397,0,MATCH($A3,$B$32:$Y$32,0)),"&gt;="&amp;K$2)/ROWS($A$33:$A$397)</f>
        <v>7.3972602739726029E-2</v>
      </c>
      <c r="L3" s="1"/>
      <c r="M3" s="1"/>
      <c r="N3" s="1"/>
      <c r="O3" s="1"/>
    </row>
    <row r="4" spans="1:15" x14ac:dyDescent="0.3">
      <c r="A4" s="12">
        <v>1</v>
      </c>
      <c r="B4" s="14">
        <f>1-_xlfn.BETA.DIST(VLOOKUP($A4,NB_p!$A$2:$G$25,4,FALSE),VLOOKUP($A4,NB_r!$A$2:$G$25,4,FALSE),B$2,TRUE)</f>
        <v>0.89079336903649475</v>
      </c>
      <c r="C4" s="14">
        <f t="shared" ref="C4:K10" si="0">COUNTIF(INDEX($B$33:$Y$397,0,MATCH($A4,$B$32:$Y$32,0)),"&gt;="&amp;C$2)/ROWS($A$33:$A$397)</f>
        <v>0.94794520547945205</v>
      </c>
      <c r="D4" s="14">
        <f>1-_xlfn.BETA.DIST(VLOOKUP($A4,NB_p!$A$2:$G$25,4,FALSE),VLOOKUP($A4,NB_r!$A$2:$G$25,4,FALSE),D$2,TRUE)</f>
        <v>0.61398367284928135</v>
      </c>
      <c r="E4" s="14">
        <f t="shared" si="0"/>
        <v>0.69315068493150689</v>
      </c>
      <c r="F4" s="14">
        <f>1-_xlfn.BETA.DIST(VLOOKUP($A4,NB_p!$A$2:$G$25,4,FALSE),VLOOKUP($A4,NB_r!$A$2:$G$25,4,FALSE),F$2,TRUE)</f>
        <v>0.34195642429099726</v>
      </c>
      <c r="G4" s="14">
        <f t="shared" si="0"/>
        <v>0.27397260273972601</v>
      </c>
      <c r="H4" s="14">
        <f>1-_xlfn.BETA.DIST(VLOOKUP($A4,NB_p!$A$2:$G$25,4,FALSE),VLOOKUP($A4,NB_r!$A$2:$G$25,4,FALSE),H$2,TRUE)</f>
        <v>0.16368344200971319</v>
      </c>
      <c r="I4" s="14">
        <f t="shared" si="0"/>
        <v>9.8630136986301367E-2</v>
      </c>
      <c r="J4" s="14">
        <f>1-_xlfn.BETA.DIST(VLOOKUP($A4,NB_p!$A$2:$G$25,4,FALSE),VLOOKUP($A4,NB_r!$A$2:$G$25,4,FALSE),J$2,TRUE)</f>
        <v>7.0302584174431915E-2</v>
      </c>
      <c r="K4" s="14">
        <f t="shared" si="0"/>
        <v>4.1095890410958902E-2</v>
      </c>
      <c r="L4" s="1"/>
      <c r="M4" s="1"/>
      <c r="N4" s="1"/>
      <c r="O4" s="1"/>
    </row>
    <row r="5" spans="1:15" x14ac:dyDescent="0.3">
      <c r="A5" s="12">
        <v>2</v>
      </c>
      <c r="B5" s="14">
        <f>1-_xlfn.BETA.DIST(VLOOKUP($A5,NB_p!$A$2:$G$25,4,FALSE),VLOOKUP($A5,NB_r!$A$2:$G$25,4,FALSE),B$2,TRUE)</f>
        <v>0.88090084933689128</v>
      </c>
      <c r="C5" s="14">
        <f t="shared" si="0"/>
        <v>0.8904109589041096</v>
      </c>
      <c r="D5" s="14">
        <f>1-_xlfn.BETA.DIST(VLOOKUP($A5,NB_p!$A$2:$G$25,4,FALSE),VLOOKUP($A5,NB_r!$A$2:$G$25,4,FALSE),D$2,TRUE)</f>
        <v>0.56215716614470068</v>
      </c>
      <c r="E5" s="14">
        <f t="shared" si="0"/>
        <v>0.55890410958904113</v>
      </c>
      <c r="F5" s="14">
        <f>1-_xlfn.BETA.DIST(VLOOKUP($A5,NB_p!$A$2:$G$25,4,FALSE),VLOOKUP($A5,NB_r!$A$2:$G$25,4,FALSE),F$2,TRUE)</f>
        <v>0.27028067105480202</v>
      </c>
      <c r="G5" s="14">
        <f t="shared" si="0"/>
        <v>0.26027397260273971</v>
      </c>
      <c r="H5" s="14">
        <f>1-_xlfn.BETA.DIST(VLOOKUP($A5,NB_p!$A$2:$G$25,4,FALSE),VLOOKUP($A5,NB_r!$A$2:$G$25,4,FALSE),H$2,TRUE)</f>
        <v>0.10602710333470489</v>
      </c>
      <c r="I5" s="14">
        <f t="shared" si="0"/>
        <v>9.0410958904109592E-2</v>
      </c>
      <c r="J5" s="14">
        <f>1-_xlfn.BETA.DIST(VLOOKUP($A5,NB_p!$A$2:$G$25,4,FALSE),VLOOKUP($A5,NB_r!$A$2:$G$25,4,FALSE),J$2,TRUE)</f>
        <v>3.5951887817767925E-2</v>
      </c>
      <c r="K5" s="14">
        <f t="shared" si="0"/>
        <v>3.0136986301369864E-2</v>
      </c>
      <c r="L5" s="1"/>
      <c r="M5" s="1"/>
      <c r="N5" s="1"/>
      <c r="O5" s="1"/>
    </row>
    <row r="6" spans="1:15" x14ac:dyDescent="0.3">
      <c r="A6" s="12">
        <v>3</v>
      </c>
      <c r="B6" s="14">
        <f>1-_xlfn.BETA.DIST(VLOOKUP($A6,NB_p!$A$2:$G$25,4,FALSE),VLOOKUP($A6,NB_r!$A$2:$G$25,4,FALSE),B$2,TRUE)</f>
        <v>0.87472927837615111</v>
      </c>
      <c r="C6" s="14">
        <f t="shared" si="0"/>
        <v>0.89315068493150684</v>
      </c>
      <c r="D6" s="14">
        <f>1-_xlfn.BETA.DIST(VLOOKUP($A6,NB_p!$A$2:$G$25,4,FALSE),VLOOKUP($A6,NB_r!$A$2:$G$25,4,FALSE),D$2,TRUE)</f>
        <v>0.50129886252207134</v>
      </c>
      <c r="E6" s="14">
        <f t="shared" si="0"/>
        <v>0.47397260273972602</v>
      </c>
      <c r="F6" s="14">
        <f>1-_xlfn.BETA.DIST(VLOOKUP($A6,NB_p!$A$2:$G$25,4,FALSE),VLOOKUP($A6,NB_r!$A$2:$G$25,4,FALSE),F$2,TRUE)</f>
        <v>0.19007418271582555</v>
      </c>
      <c r="G6" s="14">
        <f t="shared" si="0"/>
        <v>0.18904109589041096</v>
      </c>
      <c r="H6" s="14">
        <f>1-_xlfn.BETA.DIST(VLOOKUP($A6,NB_p!$A$2:$G$25,4,FALSE),VLOOKUP($A6,NB_r!$A$2:$G$25,4,FALSE),H$2,TRUE)</f>
        <v>5.299210497641782E-2</v>
      </c>
      <c r="I6" s="14">
        <f t="shared" si="0"/>
        <v>5.7534246575342465E-2</v>
      </c>
      <c r="J6" s="14">
        <f>1-_xlfn.BETA.DIST(VLOOKUP($A6,NB_p!$A$2:$G$25,4,FALSE),VLOOKUP($A6,NB_r!$A$2:$G$25,4,FALSE),J$2,TRUE)</f>
        <v>1.1811028223727371E-2</v>
      </c>
      <c r="K6" s="14">
        <f t="shared" si="0"/>
        <v>1.3698630136986301E-2</v>
      </c>
      <c r="L6" s="1"/>
      <c r="M6" s="1"/>
      <c r="N6" s="1"/>
      <c r="O6" s="1"/>
    </row>
    <row r="7" spans="1:15" x14ac:dyDescent="0.3">
      <c r="A7" s="12">
        <v>4</v>
      </c>
      <c r="B7" s="14">
        <f>1-_xlfn.BETA.DIST(VLOOKUP($A7,NB_p!$A$2:$G$25,4,FALSE),VLOOKUP($A7,NB_r!$A$2:$G$25,4,FALSE),B$2,TRUE)</f>
        <v>0.86432631346378741</v>
      </c>
      <c r="C7" s="14">
        <f t="shared" si="0"/>
        <v>0.8849315068493151</v>
      </c>
      <c r="D7" s="14">
        <f>1-_xlfn.BETA.DIST(VLOOKUP($A7,NB_p!$A$2:$G$25,4,FALSE),VLOOKUP($A7,NB_r!$A$2:$G$25,4,FALSE),D$2,TRUE)</f>
        <v>0.49285401501984372</v>
      </c>
      <c r="E7" s="14">
        <f t="shared" si="0"/>
        <v>0.49315068493150682</v>
      </c>
      <c r="F7" s="14">
        <f>1-_xlfn.BETA.DIST(VLOOKUP($A7,NB_p!$A$2:$G$25,4,FALSE),VLOOKUP($A7,NB_r!$A$2:$G$25,4,FALSE),F$2,TRUE)</f>
        <v>0.19178247799722059</v>
      </c>
      <c r="G7" s="14">
        <f t="shared" si="0"/>
        <v>0.17808219178082191</v>
      </c>
      <c r="H7" s="14">
        <f>1-_xlfn.BETA.DIST(VLOOKUP($A7,NB_p!$A$2:$G$25,4,FALSE),VLOOKUP($A7,NB_r!$A$2:$G$25,4,FALSE),H$2,TRUE)</f>
        <v>5.6561601280329943E-2</v>
      </c>
      <c r="I7" s="14">
        <f t="shared" si="0"/>
        <v>6.8493150684931503E-2</v>
      </c>
      <c r="J7" s="14">
        <f>1-_xlfn.BETA.DIST(VLOOKUP($A7,NB_p!$A$2:$G$25,4,FALSE),VLOOKUP($A7,NB_r!$A$2:$G$25,4,FALSE),J$2,TRUE)</f>
        <v>1.3668368265012942E-2</v>
      </c>
      <c r="K7" s="14">
        <f t="shared" si="0"/>
        <v>1.0958904109589041E-2</v>
      </c>
      <c r="L7" s="1"/>
      <c r="M7" s="1"/>
      <c r="N7" s="1"/>
      <c r="O7" s="1"/>
    </row>
    <row r="8" spans="1:15" x14ac:dyDescent="0.3">
      <c r="A8" s="12">
        <v>5</v>
      </c>
      <c r="B8" s="14">
        <f>1-_xlfn.BETA.DIST(VLOOKUP($A8,NB_p!$A$2:$G$25,4,FALSE),VLOOKUP($A8,NB_r!$A$2:$G$25,4,FALSE),B$2,TRUE)</f>
        <v>0.87880365548746175</v>
      </c>
      <c r="C8" s="14">
        <f t="shared" si="0"/>
        <v>0.92054794520547945</v>
      </c>
      <c r="D8" s="14">
        <f>1-_xlfn.BETA.DIST(VLOOKUP($A8,NB_p!$A$2:$G$25,4,FALSE),VLOOKUP($A8,NB_r!$A$2:$G$25,4,FALSE),D$2,TRUE)</f>
        <v>0.59243678569446456</v>
      </c>
      <c r="E8" s="14">
        <f t="shared" si="0"/>
        <v>0.62191780821917808</v>
      </c>
      <c r="F8" s="14">
        <f>1-_xlfn.BETA.DIST(VLOOKUP($A8,NB_p!$A$2:$G$25,4,FALSE),VLOOKUP($A8,NB_r!$A$2:$G$25,4,FALSE),F$2,TRUE)</f>
        <v>0.32378898642157738</v>
      </c>
      <c r="G8" s="14">
        <f t="shared" si="0"/>
        <v>0.29041095890410956</v>
      </c>
      <c r="H8" s="14">
        <f>1-_xlfn.BETA.DIST(VLOOKUP($A8,NB_p!$A$2:$G$25,4,FALSE),VLOOKUP($A8,NB_r!$A$2:$G$25,4,FALSE),H$2,TRUE)</f>
        <v>0.15292046352215793</v>
      </c>
      <c r="I8" s="14">
        <f t="shared" si="0"/>
        <v>0.11232876712328767</v>
      </c>
      <c r="J8" s="14">
        <f>1-_xlfn.BETA.DIST(VLOOKUP($A8,NB_p!$A$2:$G$25,4,FALSE),VLOOKUP($A8,NB_r!$A$2:$G$25,4,FALSE),J$2,TRUE)</f>
        <v>6.5124857088608934E-2</v>
      </c>
      <c r="K8" s="14">
        <f t="shared" si="0"/>
        <v>4.6575342465753428E-2</v>
      </c>
      <c r="L8" s="1"/>
      <c r="M8" s="1"/>
      <c r="N8" s="1"/>
      <c r="O8" s="1"/>
    </row>
    <row r="9" spans="1:15" x14ac:dyDescent="0.3">
      <c r="A9" s="12">
        <v>6</v>
      </c>
      <c r="B9" s="14">
        <f>1-_xlfn.BETA.DIST(VLOOKUP($A9,NB_p!$A$2:$G$25,4,FALSE),VLOOKUP($A9,NB_r!$A$2:$G$25,4,FALSE),B$2,TRUE)</f>
        <v>0.97230843518825516</v>
      </c>
      <c r="C9" s="14">
        <f t="shared" si="0"/>
        <v>0.9780821917808219</v>
      </c>
      <c r="D9" s="14">
        <f>1-_xlfn.BETA.DIST(VLOOKUP($A9,NB_p!$A$2:$G$25,4,FALSE),VLOOKUP($A9,NB_r!$A$2:$G$25,4,FALSE),D$2,TRUE)</f>
        <v>0.84088522547415412</v>
      </c>
      <c r="E9" s="14">
        <f t="shared" si="0"/>
        <v>0.86849315068493149</v>
      </c>
      <c r="F9" s="14">
        <f>1-_xlfn.BETA.DIST(VLOOKUP($A9,NB_p!$A$2:$G$25,4,FALSE),VLOOKUP($A9,NB_r!$A$2:$G$25,4,FALSE),F$2,TRUE)</f>
        <v>0.62235957767730099</v>
      </c>
      <c r="G9" s="14">
        <f t="shared" si="0"/>
        <v>0.62739726027397258</v>
      </c>
      <c r="H9" s="14">
        <f>1-_xlfn.BETA.DIST(VLOOKUP($A9,NB_p!$A$2:$G$25,4,FALSE),VLOOKUP($A9,NB_r!$A$2:$G$25,4,FALSE),H$2,TRUE)</f>
        <v>0.39962121351117086</v>
      </c>
      <c r="I9" s="14">
        <f t="shared" si="0"/>
        <v>0.39726027397260272</v>
      </c>
      <c r="J9" s="14">
        <f>1-_xlfn.BETA.DIST(VLOOKUP($A9,NB_p!$A$2:$G$25,4,FALSE),VLOOKUP($A9,NB_r!$A$2:$G$25,4,FALSE),J$2,TRUE)</f>
        <v>0.22847993167780634</v>
      </c>
      <c r="K9" s="14">
        <f t="shared" si="0"/>
        <v>0.19178082191780821</v>
      </c>
      <c r="L9" s="1"/>
      <c r="M9" s="1"/>
      <c r="N9" s="1"/>
      <c r="O9" s="1"/>
    </row>
    <row r="10" spans="1:15" x14ac:dyDescent="0.3">
      <c r="A10" s="12">
        <v>23</v>
      </c>
      <c r="B10" s="14">
        <f>1-_xlfn.BETA.DIST(VLOOKUP($A10,NB_p!$A$2:$G$25,4,FALSE),VLOOKUP($A10,NB_r!$A$2:$G$25,4,FALSE),B$2,TRUE)</f>
        <v>0.92650806969978317</v>
      </c>
      <c r="C10" s="14">
        <f t="shared" si="0"/>
        <v>0.98630136986301364</v>
      </c>
      <c r="D10" s="14">
        <f>1-_xlfn.BETA.DIST(VLOOKUP($A10,NB_p!$A$2:$G$25,4,FALSE),VLOOKUP($A10,NB_r!$A$2:$G$25,4,FALSE),D$2,TRUE)</f>
        <v>0.7526085721704957</v>
      </c>
      <c r="E10" s="14">
        <f t="shared" si="0"/>
        <v>0.8904109589041096</v>
      </c>
      <c r="F10" s="14">
        <f>1-_xlfn.BETA.DIST(VLOOKUP($A10,NB_p!$A$2:$G$25,4,FALSE),VLOOKUP($A10,NB_r!$A$2:$G$25,4,FALSE),F$2,TRUE)</f>
        <v>0.55187370005950709</v>
      </c>
      <c r="G10" s="14">
        <f t="shared" si="0"/>
        <v>0.61095890410958908</v>
      </c>
      <c r="H10" s="14">
        <f>1-_xlfn.BETA.DIST(VLOOKUP($A10,NB_p!$A$2:$G$25,4,FALSE),VLOOKUP($A10,NB_r!$A$2:$G$25,4,FALSE),H$2,TRUE)</f>
        <v>0.37591324731103504</v>
      </c>
      <c r="I10" s="14">
        <f t="shared" si="0"/>
        <v>0.32876712328767121</v>
      </c>
      <c r="J10" s="14">
        <f>1-_xlfn.BETA.DIST(VLOOKUP($A10,NB_p!$A$2:$G$25,4,FALSE),VLOOKUP($A10,NB_r!$A$2:$G$25,4,FALSE),J$2,TRUE)</f>
        <v>0.24258616298735425</v>
      </c>
      <c r="K10" s="14">
        <f t="shared" si="0"/>
        <v>0.16164383561643836</v>
      </c>
      <c r="L10" s="1"/>
      <c r="M10" s="1"/>
      <c r="N10" s="1"/>
      <c r="O10" s="1"/>
    </row>
    <row r="11" spans="1:15" x14ac:dyDescent="0.3">
      <c r="A11" s="9"/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16</v>
      </c>
      <c r="G11" s="10" t="s">
        <v>17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1" t="s">
        <v>28</v>
      </c>
      <c r="N11" s="1"/>
      <c r="O11" s="1"/>
    </row>
    <row r="12" spans="1:15" x14ac:dyDescent="0.3">
      <c r="A12" s="12" t="s">
        <v>29</v>
      </c>
      <c r="B12" s="1">
        <v>5</v>
      </c>
      <c r="C12" s="1">
        <v>5</v>
      </c>
      <c r="D12" s="1">
        <v>10</v>
      </c>
      <c r="E12" s="1">
        <v>10</v>
      </c>
      <c r="F12" s="1">
        <v>15</v>
      </c>
      <c r="G12" s="1">
        <v>15</v>
      </c>
      <c r="H12" s="1">
        <v>20</v>
      </c>
      <c r="I12" s="1">
        <v>20</v>
      </c>
      <c r="J12" s="1">
        <v>25</v>
      </c>
      <c r="K12" s="1">
        <v>25</v>
      </c>
      <c r="L12" s="1">
        <v>30</v>
      </c>
      <c r="M12" s="13">
        <v>30</v>
      </c>
      <c r="N12" s="1"/>
      <c r="O12" s="1"/>
    </row>
    <row r="13" spans="1:15" x14ac:dyDescent="0.3">
      <c r="A13" s="12">
        <v>7</v>
      </c>
      <c r="B13" s="14">
        <f>1-_xlfn.BETA.DIST(VLOOKUP($A13,NB_p!$A$2:$G$25,4,FALSE),VLOOKUP($A13,NB_r!$A$2:$G$25,4,FALSE),B$12,TRUE)</f>
        <v>0.98241197259365376</v>
      </c>
      <c r="C13" s="14">
        <f>COUNTIF(INDEX($B$33:$Y$397,0,MATCH($A13,$B$32:$Y$32,0)),"&gt;="&amp;C$12)/ROWS($A$33:$A$397)</f>
        <v>0.989041095890411</v>
      </c>
      <c r="D13" s="14">
        <f>1-_xlfn.BETA.DIST(VLOOKUP($A13,NB_p!$A$2:$G$25,4,FALSE),VLOOKUP($A13,NB_r!$A$2:$G$25,4,FALSE),D$12,TRUE)</f>
        <v>0.84818056190485858</v>
      </c>
      <c r="E13" s="14">
        <f>COUNTIF(INDEX($B$33:$Y$397,0,MATCH($A13,$B$32:$Y$32,0)),"&gt;="&amp;E$12)/ROWS($A$33:$A$397)</f>
        <v>0.83561643835616439</v>
      </c>
      <c r="F13" s="14">
        <f>1-_xlfn.BETA.DIST(VLOOKUP($A13,NB_p!$A$2:$G$25,4,FALSE),VLOOKUP($A13,NB_r!$A$2:$G$25,4,FALSE),F$12,TRUE)</f>
        <v>0.59104694667137836</v>
      </c>
      <c r="G13" s="14">
        <f>COUNTIF(INDEX($B$33:$Y$397,0,MATCH($A13,$B$32:$Y$32,0)),"&gt;="&amp;G$12)/ROWS($A$33:$A$397)</f>
        <v>0.61095890410958908</v>
      </c>
      <c r="H13" s="14">
        <f>1-_xlfn.BETA.DIST(VLOOKUP($A13,NB_p!$A$2:$G$25,4,FALSE),VLOOKUP($A13,NB_r!$A$2:$G$25,4,FALSE),H$12,TRUE)</f>
        <v>0.33562863275161714</v>
      </c>
      <c r="I13" s="14">
        <f>COUNTIF(INDEX($B$33:$Y$397,0,MATCH($A13,$B$32:$Y$32,0)),"&gt;="&amp;I$12)/ROWS($A$33:$A$397)</f>
        <v>0.35616438356164382</v>
      </c>
      <c r="J13" s="14">
        <f>1-_xlfn.BETA.DIST(VLOOKUP($A13,NB_p!$A$2:$G$25,4,FALSE),VLOOKUP($A13,NB_r!$A$2:$G$25,4,FALSE),J$12,TRUE)</f>
        <v>0.16142697461611688</v>
      </c>
      <c r="K13" s="14">
        <f>COUNTIF(INDEX($B$33:$Y$397,0,MATCH($A13,$B$32:$Y$32,0)),"&gt;="&amp;K$12)/ROWS($A$33:$A$397)</f>
        <v>0.14520547945205478</v>
      </c>
      <c r="L13" s="14">
        <f>1-_xlfn.BETA.DIST(VLOOKUP($A13,NB_p!$A$2:$G$25,4,FALSE),VLOOKUP($A13,NB_r!$A$2:$G$25,4,FALSE),L$12,TRUE)</f>
        <v>6.8164477606387663E-2</v>
      </c>
      <c r="M13" s="14">
        <f>COUNTIF(INDEX($B$33:$Y$397,0,MATCH($A13,$B$32:$Y$32,0)),"&gt;="&amp;M$12)/ROWS($A$33:$A$397)</f>
        <v>5.4794520547945202E-2</v>
      </c>
      <c r="N13" s="1"/>
      <c r="O13" s="1"/>
    </row>
    <row r="14" spans="1:15" x14ac:dyDescent="0.3">
      <c r="A14" s="12">
        <v>8</v>
      </c>
      <c r="B14" s="14">
        <f>1-_xlfn.BETA.DIST(VLOOKUP($A14,NB_p!$A$2:$G$25,4,FALSE),VLOOKUP($A14,NB_r!$A$2:$G$25,4,FALSE),B$12,TRUE)</f>
        <v>0.9954341401878829</v>
      </c>
      <c r="C14" s="14">
        <f t="shared" ref="C14:M18" si="1">COUNTIF(INDEX($B$33:$Y$397,0,MATCH($A14,$B$32:$Y$32,0)),"&gt;="&amp;C$12)/ROWS($A$33:$A$397)</f>
        <v>1</v>
      </c>
      <c r="D14" s="14">
        <f>1-_xlfn.BETA.DIST(VLOOKUP($A14,NB_p!$A$2:$G$25,4,FALSE),VLOOKUP($A14,NB_r!$A$2:$G$25,4,FALSE),D$12,TRUE)</f>
        <v>0.93941266861499506</v>
      </c>
      <c r="E14" s="14">
        <f t="shared" si="1"/>
        <v>0.9506849315068493</v>
      </c>
      <c r="F14" s="14">
        <f>1-_xlfn.BETA.DIST(VLOOKUP($A14,NB_p!$A$2:$G$25,4,FALSE),VLOOKUP($A14,NB_r!$A$2:$G$25,4,FALSE),F$12,TRUE)</f>
        <v>0.77743040616307413</v>
      </c>
      <c r="G14" s="14">
        <f t="shared" si="1"/>
        <v>0.76438356164383559</v>
      </c>
      <c r="H14" s="14">
        <f>1-_xlfn.BETA.DIST(VLOOKUP($A14,NB_p!$A$2:$G$25,4,FALSE),VLOOKUP($A14,NB_r!$A$2:$G$25,4,FALSE),H$12,TRUE)</f>
        <v>0.54697944786501029</v>
      </c>
      <c r="I14" s="14">
        <f t="shared" si="1"/>
        <v>0.57534246575342463</v>
      </c>
      <c r="J14" s="14">
        <f>1-_xlfn.BETA.DIST(VLOOKUP($A14,NB_p!$A$2:$G$25,4,FALSE),VLOOKUP($A14,NB_r!$A$2:$G$25,4,FALSE),J$12,TRUE)</f>
        <v>0.33054679663387398</v>
      </c>
      <c r="K14" s="14">
        <f t="shared" si="1"/>
        <v>0.33424657534246577</v>
      </c>
      <c r="L14" s="14">
        <f>1-_xlfn.BETA.DIST(VLOOKUP($A14,NB_p!$A$2:$G$25,4,FALSE),VLOOKUP($A14,NB_r!$A$2:$G$25,4,FALSE),L$12,TRUE)</f>
        <v>0.17555572186764479</v>
      </c>
      <c r="M14" s="14">
        <f t="shared" si="1"/>
        <v>0.15068493150684931</v>
      </c>
      <c r="N14" s="1"/>
      <c r="O14" s="1"/>
    </row>
    <row r="15" spans="1:15" x14ac:dyDescent="0.3">
      <c r="A15" s="12">
        <v>19</v>
      </c>
      <c r="B15" s="14">
        <f>1-_xlfn.BETA.DIST(VLOOKUP($A15,NB_p!$A$2:$G$25,4,FALSE),VLOOKUP($A15,NB_r!$A$2:$G$25,4,FALSE),B$12,TRUE)</f>
        <v>0.98176643810583009</v>
      </c>
      <c r="C15" s="14">
        <f t="shared" si="1"/>
        <v>1</v>
      </c>
      <c r="D15" s="14">
        <f>1-_xlfn.BETA.DIST(VLOOKUP($A15,NB_p!$A$2:$G$25,4,FALSE),VLOOKUP($A15,NB_r!$A$2:$G$25,4,FALSE),D$12,TRUE)</f>
        <v>0.87248120898898851</v>
      </c>
      <c r="E15" s="14">
        <f t="shared" si="1"/>
        <v>0.98082191780821915</v>
      </c>
      <c r="F15" s="14">
        <f>1-_xlfn.BETA.DIST(VLOOKUP($A15,NB_p!$A$2:$G$25,4,FALSE),VLOOKUP($A15,NB_r!$A$2:$G$25,4,FALSE),F$12,TRUE)</f>
        <v>0.67177718723978486</v>
      </c>
      <c r="G15" s="14">
        <f t="shared" si="1"/>
        <v>0.74794520547945209</v>
      </c>
      <c r="H15" s="14">
        <f>1-_xlfn.BETA.DIST(VLOOKUP($A15,NB_p!$A$2:$G$25,4,FALSE),VLOOKUP($A15,NB_r!$A$2:$G$25,4,FALSE),H$12,TRUE)</f>
        <v>0.45298774356143512</v>
      </c>
      <c r="I15" s="14">
        <f t="shared" si="1"/>
        <v>0.45753424657534247</v>
      </c>
      <c r="J15" s="14">
        <f>1-_xlfn.BETA.DIST(VLOOKUP($A15,NB_p!$A$2:$G$25,4,FALSE),VLOOKUP($A15,NB_r!$A$2:$G$25,4,FALSE),J$12,TRUE)</f>
        <v>0.27416981750671598</v>
      </c>
      <c r="K15" s="14">
        <f t="shared" si="1"/>
        <v>0.17534246575342466</v>
      </c>
      <c r="L15" s="14">
        <f>1-_xlfn.BETA.DIST(VLOOKUP($A15,NB_p!$A$2:$G$25,4,FALSE),VLOOKUP($A15,NB_r!$A$2:$G$25,4,FALSE),L$12,TRUE)</f>
        <v>0.15231983376199731</v>
      </c>
      <c r="M15" s="14">
        <f t="shared" si="1"/>
        <v>4.6575342465753428E-2</v>
      </c>
      <c r="N15" s="1"/>
      <c r="O15" s="1"/>
    </row>
    <row r="16" spans="1:15" x14ac:dyDescent="0.3">
      <c r="A16" s="12">
        <v>20</v>
      </c>
      <c r="B16" s="14">
        <f>1-_xlfn.BETA.DIST(VLOOKUP($A16,NB_p!$A$2:$G$25,4,FALSE),VLOOKUP($A16,NB_r!$A$2:$G$25,4,FALSE),B$12,TRUE)</f>
        <v>0.98416846417989645</v>
      </c>
      <c r="C16" s="14">
        <f t="shared" si="1"/>
        <v>0.99726027397260275</v>
      </c>
      <c r="D16" s="14">
        <f>1-_xlfn.BETA.DIST(VLOOKUP($A16,NB_p!$A$2:$G$25,4,FALSE),VLOOKUP($A16,NB_r!$A$2:$G$25,4,FALSE),D$12,TRUE)</f>
        <v>0.85672997273269624</v>
      </c>
      <c r="E16" s="14">
        <f t="shared" si="1"/>
        <v>0.93698630136986305</v>
      </c>
      <c r="F16" s="14">
        <f>1-_xlfn.BETA.DIST(VLOOKUP($A16,NB_p!$A$2:$G$25,4,FALSE),VLOOKUP($A16,NB_r!$A$2:$G$25,4,FALSE),F$12,TRUE)</f>
        <v>0.60347307451226828</v>
      </c>
      <c r="G16" s="14">
        <f t="shared" si="1"/>
        <v>0.66575342465753429</v>
      </c>
      <c r="H16" s="14">
        <f>1-_xlfn.BETA.DIST(VLOOKUP($A16,NB_p!$A$2:$G$25,4,FALSE),VLOOKUP($A16,NB_r!$A$2:$G$25,4,FALSE),H$12,TRUE)</f>
        <v>0.34574794419069188</v>
      </c>
      <c r="I16" s="14">
        <f t="shared" si="1"/>
        <v>0.28767123287671231</v>
      </c>
      <c r="J16" s="14">
        <f>1-_xlfn.BETA.DIST(VLOOKUP($A16,NB_p!$A$2:$G$25,4,FALSE),VLOOKUP($A16,NB_r!$A$2:$G$25,4,FALSE),J$12,TRUE)</f>
        <v>0.16724440402905083</v>
      </c>
      <c r="K16" s="14">
        <f t="shared" si="1"/>
        <v>0.10136986301369863</v>
      </c>
      <c r="L16" s="14">
        <f>1-_xlfn.BETA.DIST(VLOOKUP($A16,NB_p!$A$2:$G$25,4,FALSE),VLOOKUP($A16,NB_r!$A$2:$G$25,4,FALSE),L$12,TRUE)</f>
        <v>7.079988027640971E-2</v>
      </c>
      <c r="M16" s="14">
        <f t="shared" si="1"/>
        <v>3.0136986301369864E-2</v>
      </c>
      <c r="N16" s="1"/>
      <c r="O16" s="1"/>
    </row>
    <row r="17" spans="1:25" x14ac:dyDescent="0.3">
      <c r="A17" s="12">
        <v>21</v>
      </c>
      <c r="B17" s="14">
        <f>1-_xlfn.BETA.DIST(VLOOKUP($A17,NB_p!$A$2:$G$25,4,FALSE),VLOOKUP($A17,NB_r!$A$2:$G$25,4,FALSE),B$12,TRUE)</f>
        <v>0.97632197400449972</v>
      </c>
      <c r="C17" s="14">
        <f t="shared" si="1"/>
        <v>0.9945205479452055</v>
      </c>
      <c r="D17" s="14">
        <f>1-_xlfn.BETA.DIST(VLOOKUP($A17,NB_p!$A$2:$G$25,4,FALSE),VLOOKUP($A17,NB_r!$A$2:$G$25,4,FALSE),D$12,TRUE)</f>
        <v>0.80197266809879031</v>
      </c>
      <c r="E17" s="14">
        <f t="shared" si="1"/>
        <v>0.87671232876712324</v>
      </c>
      <c r="F17" s="14">
        <f>1-_xlfn.BETA.DIST(VLOOKUP($A17,NB_p!$A$2:$G$25,4,FALSE),VLOOKUP($A17,NB_r!$A$2:$G$25,4,FALSE),F$12,TRUE)</f>
        <v>0.5010365473307935</v>
      </c>
      <c r="G17" s="14">
        <f t="shared" si="1"/>
        <v>0.49863013698630138</v>
      </c>
      <c r="H17" s="14">
        <f>1-_xlfn.BETA.DIST(VLOOKUP($A17,NB_p!$A$2:$G$25,4,FALSE),VLOOKUP($A17,NB_r!$A$2:$G$25,4,FALSE),H$12,TRUE)</f>
        <v>0.24389952807896842</v>
      </c>
      <c r="I17" s="14">
        <f t="shared" si="1"/>
        <v>0.18630136986301371</v>
      </c>
      <c r="J17" s="14">
        <f>1-_xlfn.BETA.DIST(VLOOKUP($A17,NB_p!$A$2:$G$25,4,FALSE),VLOOKUP($A17,NB_r!$A$2:$G$25,4,FALSE),J$12,TRUE)</f>
        <v>9.7570630200575881E-2</v>
      </c>
      <c r="K17" s="14">
        <f t="shared" si="1"/>
        <v>5.7534246575342465E-2</v>
      </c>
      <c r="L17" s="14">
        <f>1-_xlfn.BETA.DIST(VLOOKUP($A17,NB_p!$A$2:$G$25,4,FALSE),VLOOKUP($A17,NB_r!$A$2:$G$25,4,FALSE),L$12,TRUE)</f>
        <v>3.3563660598723177E-2</v>
      </c>
      <c r="M17" s="14">
        <f t="shared" si="1"/>
        <v>1.3698630136986301E-2</v>
      </c>
      <c r="N17" s="1"/>
      <c r="O17" s="1"/>
    </row>
    <row r="18" spans="1:25" x14ac:dyDescent="0.3">
      <c r="A18" s="12">
        <v>22</v>
      </c>
      <c r="B18" s="14">
        <f>1-_xlfn.BETA.DIST(VLOOKUP($A18,NB_p!$A$2:$G$25,4,FALSE),VLOOKUP($A18,NB_r!$A$2:$G$25,4,FALSE),B$12,TRUE)</f>
        <v>0.95221642355025582</v>
      </c>
      <c r="C18" s="14">
        <f t="shared" si="1"/>
        <v>0.97534246575342465</v>
      </c>
      <c r="D18" s="14">
        <f>1-_xlfn.BETA.DIST(VLOOKUP($A18,NB_p!$A$2:$G$25,4,FALSE),VLOOKUP($A18,NB_r!$A$2:$G$25,4,FALSE),D$12,TRUE)</f>
        <v>0.67485642577510352</v>
      </c>
      <c r="E18" s="14">
        <f t="shared" si="1"/>
        <v>0.71506849315068488</v>
      </c>
      <c r="F18" s="14">
        <f>1-_xlfn.BETA.DIST(VLOOKUP($A18,NB_p!$A$2:$G$25,4,FALSE),VLOOKUP($A18,NB_r!$A$2:$G$25,4,FALSE),F$12,TRUE)</f>
        <v>0.32361526770747917</v>
      </c>
      <c r="G18" s="14">
        <f t="shared" si="1"/>
        <v>0.26575342465753427</v>
      </c>
      <c r="H18" s="14">
        <f>1-_xlfn.BETA.DIST(VLOOKUP($A18,NB_p!$A$2:$G$25,4,FALSE),VLOOKUP($A18,NB_r!$A$2:$G$25,4,FALSE),H$12,TRUE)</f>
        <v>0.11303940278781965</v>
      </c>
      <c r="I18" s="14">
        <f t="shared" si="1"/>
        <v>6.575342465753424E-2</v>
      </c>
      <c r="J18" s="14">
        <f>1-_xlfn.BETA.DIST(VLOOKUP($A18,NB_p!$A$2:$G$25,4,FALSE),VLOOKUP($A18,NB_r!$A$2:$G$25,4,FALSE),J$12,TRUE)</f>
        <v>3.1235958808215503E-2</v>
      </c>
      <c r="K18" s="14">
        <f t="shared" si="1"/>
        <v>1.9178082191780823E-2</v>
      </c>
      <c r="L18" s="14">
        <f>1-_xlfn.BETA.DIST(VLOOKUP($A18,NB_p!$A$2:$G$25,4,FALSE),VLOOKUP($A18,NB_r!$A$2:$G$25,4,FALSE),L$12,TRUE)</f>
        <v>7.250247662249909E-3</v>
      </c>
      <c r="M18" s="14">
        <f t="shared" si="1"/>
        <v>1.643835616438356E-2</v>
      </c>
      <c r="N18" s="1"/>
      <c r="O18" s="1"/>
    </row>
    <row r="19" spans="1:25" x14ac:dyDescent="0.3">
      <c r="A19" s="9"/>
      <c r="B19" s="10" t="s">
        <v>21</v>
      </c>
      <c r="C19" s="10" t="s">
        <v>22</v>
      </c>
      <c r="D19" s="10" t="s">
        <v>16</v>
      </c>
      <c r="E19" s="10" t="s">
        <v>17</v>
      </c>
      <c r="F19" s="10" t="s">
        <v>23</v>
      </c>
      <c r="G19" s="10" t="s">
        <v>24</v>
      </c>
      <c r="H19" s="10" t="s">
        <v>25</v>
      </c>
      <c r="I19" s="10" t="s">
        <v>26</v>
      </c>
      <c r="J19" s="10" t="s">
        <v>27</v>
      </c>
      <c r="K19" s="10" t="s">
        <v>28</v>
      </c>
      <c r="L19" s="10" t="s">
        <v>30</v>
      </c>
      <c r="M19" s="10" t="s">
        <v>31</v>
      </c>
      <c r="N19" s="10" t="s">
        <v>32</v>
      </c>
      <c r="O19" s="11" t="s">
        <v>33</v>
      </c>
    </row>
    <row r="20" spans="1:25" x14ac:dyDescent="0.3">
      <c r="A20" s="12" t="s">
        <v>34</v>
      </c>
      <c r="B20" s="19">
        <v>10</v>
      </c>
      <c r="C20" s="19">
        <v>10</v>
      </c>
      <c r="D20" s="19">
        <v>15</v>
      </c>
      <c r="E20" s="19">
        <v>15</v>
      </c>
      <c r="F20" s="19">
        <v>20</v>
      </c>
      <c r="G20" s="19">
        <v>20</v>
      </c>
      <c r="H20" s="19">
        <v>25</v>
      </c>
      <c r="I20" s="19">
        <v>25</v>
      </c>
      <c r="J20" s="19">
        <v>30</v>
      </c>
      <c r="K20" s="19">
        <v>30</v>
      </c>
      <c r="L20" s="19">
        <v>35</v>
      </c>
      <c r="M20" s="19">
        <v>35</v>
      </c>
      <c r="N20" s="19">
        <v>40</v>
      </c>
      <c r="O20" s="13">
        <v>40</v>
      </c>
    </row>
    <row r="21" spans="1:25" x14ac:dyDescent="0.3">
      <c r="A21" s="12">
        <v>9</v>
      </c>
      <c r="B21" s="14">
        <f>1-_xlfn.BETA.DIST(VLOOKUP($A21,NB_p!$A$2:$G$25,4,FALSE),VLOOKUP($A21,NB_r!$A$2:$G$25,4,FALSE),B$20,TRUE)</f>
        <v>0.94143232076817052</v>
      </c>
      <c r="C21" s="14">
        <f>COUNTIF(INDEX($B$33:$Y$397,0,MATCH($A21,$B$32:$Y$32,0)),"&gt;="&amp;C$20)/ROWS($A$33:$A$397)</f>
        <v>0.96986301369863015</v>
      </c>
      <c r="D21" s="14">
        <f>1-_xlfn.BETA.DIST(VLOOKUP($A21,NB_p!$A$2:$G$25,4,FALSE),VLOOKUP($A21,NB_r!$A$2:$G$25,4,FALSE),D$20,TRUE)</f>
        <v>0.78772413372274253</v>
      </c>
      <c r="E21" s="14">
        <f>COUNTIF(INDEX($B$33:$Y$397,0,MATCH($A21,$B$32:$Y$32,0)),"&gt;="&amp;E$20)/ROWS($A$33:$A$397)</f>
        <v>0.85479452054794525</v>
      </c>
      <c r="F21" s="14">
        <f>1-_xlfn.BETA.DIST(VLOOKUP($A21,NB_p!$A$2:$G$25,4,FALSE),VLOOKUP($A21,NB_r!$A$2:$G$25,4,FALSE),F$20,TRUE)</f>
        <v>0.56708604923521788</v>
      </c>
      <c r="G21" s="14">
        <f>COUNTIF(INDEX($B$33:$Y$397,0,MATCH($A21,$B$32:$Y$32,0)),"&gt;="&amp;G$20)/ROWS($A$33:$A$397)</f>
        <v>0.59452054794520548</v>
      </c>
      <c r="H21" s="14">
        <f>1-_xlfn.BETA.DIST(VLOOKUP($A21,NB_p!$A$2:$G$25,4,FALSE),VLOOKUP($A21,NB_r!$A$2:$G$25,4,FALSE),H$20,TRUE)</f>
        <v>0.35453811287449655</v>
      </c>
      <c r="I21" s="14">
        <f>COUNTIF(INDEX($B$33:$Y$397,0,MATCH($A21,$B$32:$Y$32,0)),"&gt;="&amp;I$20)/ROWS($A$33:$A$397)</f>
        <v>0.31780821917808222</v>
      </c>
      <c r="J21" s="14">
        <f>1-_xlfn.BETA.DIST(VLOOKUP($A21,NB_p!$A$2:$G$25,4,FALSE),VLOOKUP($A21,NB_r!$A$2:$G$25,4,FALSE),J$20,TRUE)</f>
        <v>0.19656581024671471</v>
      </c>
      <c r="K21" s="14">
        <f>COUNTIF(INDEX($B$33:$Y$397,0,MATCH($A21,$B$32:$Y$32,0)),"&gt;="&amp;K$20)/ROWS($A$33:$A$397)</f>
        <v>0.13698630136986301</v>
      </c>
      <c r="L21" s="14">
        <f>1-_xlfn.BETA.DIST(VLOOKUP($A21,NB_p!$A$2:$G$25,4,FALSE),VLOOKUP($A21,NB_r!$A$2:$G$25,4,FALSE),L$20,TRUE)</f>
        <v>9.8671260090427482E-2</v>
      </c>
      <c r="M21" s="14">
        <f>COUNTIF(INDEX($B$33:$Y$397,0,MATCH($A21,$B$32:$Y$32,0)),"&gt;="&amp;M$20)/ROWS($A$33:$A$397)</f>
        <v>5.2054794520547946E-2</v>
      </c>
      <c r="N21" s="14">
        <f>1-_xlfn.BETA.DIST(VLOOKUP($A21,NB_p!$A$2:$G$25,4,FALSE),VLOOKUP($A21,NB_r!$A$2:$G$25,4,FALSE),N$20,TRUE)</f>
        <v>4.5631788239242521E-2</v>
      </c>
      <c r="O21" s="17">
        <f>COUNTIF(INDEX($B$33:$Y$397,0,MATCH($A21,$B$32:$Y$32,0)),"&gt;="&amp;O$20)/ROWS($A$33:$A$397)</f>
        <v>1.643835616438356E-2</v>
      </c>
    </row>
    <row r="22" spans="1:25" x14ac:dyDescent="0.3">
      <c r="A22" s="12">
        <v>10</v>
      </c>
      <c r="B22" s="14">
        <f>1-_xlfn.BETA.DIST(VLOOKUP($A22,NB_p!$A$2:$G$25,4,FALSE),VLOOKUP($A22,NB_r!$A$2:$G$25,4,FALSE),B$20,TRUE)</f>
        <v>0.97954595717797188</v>
      </c>
      <c r="C22" s="14">
        <f t="shared" ref="C22:C30" si="2">COUNTIF(INDEX($B$33:$Y$397,0,MATCH($A22,$B$32:$Y$32,0)),"&gt;="&amp;C$20)/ROWS($A$33:$A$397)</f>
        <v>0.98082191780821915</v>
      </c>
      <c r="D22" s="14">
        <f>1-_xlfn.BETA.DIST(VLOOKUP($A22,NB_p!$A$2:$G$25,4,FALSE),VLOOKUP($A22,NB_r!$A$2:$G$25,4,FALSE),D$20,TRUE)</f>
        <v>0.86605106717688451</v>
      </c>
      <c r="E22" s="14">
        <f t="shared" ref="E22:O30" si="3">COUNTIF(INDEX($B$33:$Y$397,0,MATCH($A22,$B$32:$Y$32,0)),"&gt;="&amp;E$20)/ROWS($A$33:$A$397)</f>
        <v>0.91506849315068495</v>
      </c>
      <c r="F22" s="14">
        <f>1-_xlfn.BETA.DIST(VLOOKUP($A22,NB_p!$A$2:$G$25,4,FALSE),VLOOKUP($A22,NB_r!$A$2:$G$25,4,FALSE),F$20,TRUE)</f>
        <v>0.62654568065669258</v>
      </c>
      <c r="G22" s="14">
        <f t="shared" si="3"/>
        <v>0.64109589041095894</v>
      </c>
      <c r="H22" s="14">
        <f>1-_xlfn.BETA.DIST(VLOOKUP($A22,NB_p!$A$2:$G$25,4,FALSE),VLOOKUP($A22,NB_r!$A$2:$G$25,4,FALSE),H$20,TRUE)</f>
        <v>0.35815789922867425</v>
      </c>
      <c r="I22" s="14">
        <f t="shared" si="3"/>
        <v>0.32602739726027397</v>
      </c>
      <c r="J22" s="14">
        <f>1-_xlfn.BETA.DIST(VLOOKUP($A22,NB_p!$A$2:$G$25,4,FALSE),VLOOKUP($A22,NB_r!$A$2:$G$25,4,FALSE),J$20,TRUE)</f>
        <v>0.16395618056138317</v>
      </c>
      <c r="K22" s="14">
        <f t="shared" si="3"/>
        <v>0.13150684931506848</v>
      </c>
      <c r="L22" s="14">
        <f>1-_xlfn.BETA.DIST(VLOOKUP($A22,NB_p!$A$2:$G$25,4,FALSE),VLOOKUP($A22,NB_r!$A$2:$G$25,4,FALSE),L$20,TRUE)</f>
        <v>6.1888423766243039E-2</v>
      </c>
      <c r="M22" s="14">
        <f t="shared" si="3"/>
        <v>4.1095890410958902E-2</v>
      </c>
      <c r="N22" s="14">
        <f>1-_xlfn.BETA.DIST(VLOOKUP($A22,NB_p!$A$2:$G$25,4,FALSE),VLOOKUP($A22,NB_r!$A$2:$G$25,4,FALSE),N$20,TRUE)</f>
        <v>1.9843230548411306E-2</v>
      </c>
      <c r="O22" s="17">
        <f t="shared" si="3"/>
        <v>2.1917808219178082E-2</v>
      </c>
    </row>
    <row r="23" spans="1:25" x14ac:dyDescent="0.3">
      <c r="A23" s="12">
        <v>11</v>
      </c>
      <c r="B23" s="14">
        <f>1-_xlfn.BETA.DIST(VLOOKUP($A23,NB_p!$A$2:$G$25,4,FALSE),VLOOKUP($A23,NB_r!$A$2:$G$25,4,FALSE),B$20,TRUE)</f>
        <v>0.98639730138423332</v>
      </c>
      <c r="C23" s="14">
        <f t="shared" si="2"/>
        <v>0.99178082191780825</v>
      </c>
      <c r="D23" s="14">
        <f>1-_xlfn.BETA.DIST(VLOOKUP($A23,NB_p!$A$2:$G$25,4,FALSE),VLOOKUP($A23,NB_r!$A$2:$G$25,4,FALSE),D$20,TRUE)</f>
        <v>0.89854884605085539</v>
      </c>
      <c r="E23" s="14">
        <f t="shared" si="3"/>
        <v>0.93698630136986305</v>
      </c>
      <c r="F23" s="14">
        <f>1-_xlfn.BETA.DIST(VLOOKUP($A23,NB_p!$A$2:$G$25,4,FALSE),VLOOKUP($A23,NB_r!$A$2:$G$25,4,FALSE),F$20,TRUE)</f>
        <v>0.68732127185679048</v>
      </c>
      <c r="G23" s="14">
        <f t="shared" si="3"/>
        <v>0.68767123287671228</v>
      </c>
      <c r="H23" s="14">
        <f>1-_xlfn.BETA.DIST(VLOOKUP($A23,NB_p!$A$2:$G$25,4,FALSE),VLOOKUP($A23,NB_r!$A$2:$G$25,4,FALSE),H$20,TRUE)</f>
        <v>0.42143284211050425</v>
      </c>
      <c r="I23" s="14">
        <f t="shared" si="3"/>
        <v>0.38630136986301372</v>
      </c>
      <c r="J23" s="14">
        <f>1-_xlfn.BETA.DIST(VLOOKUP($A23,NB_p!$A$2:$G$25,4,FALSE),VLOOKUP($A23,NB_r!$A$2:$G$25,4,FALSE),J$20,TRUE)</f>
        <v>0.20787013722142844</v>
      </c>
      <c r="K23" s="14">
        <f t="shared" si="3"/>
        <v>0.17534246575342466</v>
      </c>
      <c r="L23" s="14">
        <f>1-_xlfn.BETA.DIST(VLOOKUP($A23,NB_p!$A$2:$G$25,4,FALSE),VLOOKUP($A23,NB_r!$A$2:$G$25,4,FALSE),L$20,TRUE)</f>
        <v>8.4501027231370873E-2</v>
      </c>
      <c r="M23" s="14">
        <f t="shared" si="3"/>
        <v>6.8493150684931503E-2</v>
      </c>
      <c r="N23" s="14">
        <f>1-_xlfn.BETA.DIST(VLOOKUP($A23,NB_p!$A$2:$G$25,4,FALSE),VLOOKUP($A23,NB_r!$A$2:$G$25,4,FALSE),N$20,TRUE)</f>
        <v>2.9101495692471335E-2</v>
      </c>
      <c r="O23" s="17">
        <f t="shared" si="3"/>
        <v>1.9178082191780823E-2</v>
      </c>
    </row>
    <row r="24" spans="1:25" x14ac:dyDescent="0.3">
      <c r="A24" s="12">
        <v>12</v>
      </c>
      <c r="B24" s="14">
        <f>1-_xlfn.BETA.DIST(VLOOKUP($A24,NB_p!$A$2:$G$25,4,FALSE),VLOOKUP($A24,NB_r!$A$2:$G$25,4,FALSE),B$20,TRUE)</f>
        <v>0.89547679175126804</v>
      </c>
      <c r="C24" s="14">
        <f t="shared" si="2"/>
        <v>0.989041095890411</v>
      </c>
      <c r="D24" s="14">
        <f>1-_xlfn.BETA.DIST(VLOOKUP($A24,NB_p!$A$2:$G$25,4,FALSE),VLOOKUP($A24,NB_r!$A$2:$G$25,4,FALSE),D$20,TRUE)</f>
        <v>0.75511457190037068</v>
      </c>
      <c r="E24" s="14">
        <f t="shared" si="3"/>
        <v>0.9397260273972603</v>
      </c>
      <c r="F24" s="14">
        <f>1-_xlfn.BETA.DIST(VLOOKUP($A24,NB_p!$A$2:$G$25,4,FALSE),VLOOKUP($A24,NB_r!$A$2:$G$25,4,FALSE),F$20,TRUE)</f>
        <v>0.59375512556849963</v>
      </c>
      <c r="G24" s="14">
        <f t="shared" si="3"/>
        <v>0.72876712328767124</v>
      </c>
      <c r="H24" s="14">
        <f>1-_xlfn.BETA.DIST(VLOOKUP($A24,NB_p!$A$2:$G$25,4,FALSE),VLOOKUP($A24,NB_r!$A$2:$G$25,4,FALSE),H$20,TRUE)</f>
        <v>0.44112625056871302</v>
      </c>
      <c r="I24" s="14">
        <f t="shared" si="3"/>
        <v>0.43013698630136987</v>
      </c>
      <c r="J24" s="14">
        <f>1-_xlfn.BETA.DIST(VLOOKUP($A24,NB_p!$A$2:$G$25,4,FALSE),VLOOKUP($A24,NB_r!$A$2:$G$25,4,FALSE),J$20,TRUE)</f>
        <v>0.31314920688693126</v>
      </c>
      <c r="K24" s="14">
        <f t="shared" si="3"/>
        <v>0.2</v>
      </c>
      <c r="L24" s="14">
        <f>1-_xlfn.BETA.DIST(VLOOKUP($A24,NB_p!$A$2:$G$25,4,FALSE),VLOOKUP($A24,NB_r!$A$2:$G$25,4,FALSE),L$20,TRUE)</f>
        <v>0.21427403891554486</v>
      </c>
      <c r="M24" s="14">
        <f t="shared" si="3"/>
        <v>9.0410958904109592E-2</v>
      </c>
      <c r="N24" s="14">
        <f>1-_xlfn.BETA.DIST(VLOOKUP($A24,NB_p!$A$2:$G$25,4,FALSE),VLOOKUP($A24,NB_r!$A$2:$G$25,4,FALSE),N$20,TRUE)</f>
        <v>0.14227287629538876</v>
      </c>
      <c r="O24" s="17">
        <f t="shared" si="3"/>
        <v>3.0136986301369864E-2</v>
      </c>
    </row>
    <row r="25" spans="1:25" x14ac:dyDescent="0.3">
      <c r="A25" s="12">
        <v>13</v>
      </c>
      <c r="B25" s="14">
        <f>1-_xlfn.BETA.DIST(VLOOKUP($A25,NB_p!$A$2:$G$25,4,FALSE),VLOOKUP($A25,NB_r!$A$2:$G$25,4,FALSE),B$20,TRUE)</f>
        <v>0.81729213530332068</v>
      </c>
      <c r="C25" s="14">
        <f t="shared" si="2"/>
        <v>0.989041095890411</v>
      </c>
      <c r="D25" s="14">
        <f>1-_xlfn.BETA.DIST(VLOOKUP($A25,NB_p!$A$2:$G$25,4,FALSE),VLOOKUP($A25,NB_r!$A$2:$G$25,4,FALSE),D$20,TRUE)</f>
        <v>0.67702193255265208</v>
      </c>
      <c r="E25" s="14">
        <f t="shared" si="3"/>
        <v>0.91506849315068495</v>
      </c>
      <c r="F25" s="14">
        <f>1-_xlfn.BETA.DIST(VLOOKUP($A25,NB_p!$A$2:$G$25,4,FALSE),VLOOKUP($A25,NB_r!$A$2:$G$25,4,FALSE),F$20,TRUE)</f>
        <v>0.54214548107218441</v>
      </c>
      <c r="G25" s="14">
        <f t="shared" si="3"/>
        <v>0.73424657534246573</v>
      </c>
      <c r="H25" s="14">
        <f>1-_xlfn.BETA.DIST(VLOOKUP($A25,NB_p!$A$2:$G$25,4,FALSE),VLOOKUP($A25,NB_r!$A$2:$G$25,4,FALSE),H$20,TRUE)</f>
        <v>0.42356928562804064</v>
      </c>
      <c r="I25" s="14">
        <f t="shared" si="3"/>
        <v>0.47945205479452052</v>
      </c>
      <c r="J25" s="14">
        <f>1-_xlfn.BETA.DIST(VLOOKUP($A25,NB_p!$A$2:$G$25,4,FALSE),VLOOKUP($A25,NB_r!$A$2:$G$25,4,FALSE),J$20,TRUE)</f>
        <v>0.32479366946996602</v>
      </c>
      <c r="K25" s="14">
        <f t="shared" si="3"/>
        <v>0.18356164383561643</v>
      </c>
      <c r="L25" s="14">
        <f>1-_xlfn.BETA.DIST(VLOOKUP($A25,NB_p!$A$2:$G$25,4,FALSE),VLOOKUP($A25,NB_r!$A$2:$G$25,4,FALSE),L$20,TRUE)</f>
        <v>0.24542414169664473</v>
      </c>
      <c r="M25" s="14">
        <f t="shared" si="3"/>
        <v>7.1232876712328766E-2</v>
      </c>
      <c r="N25" s="14">
        <f>1-_xlfn.BETA.DIST(VLOOKUP($A25,NB_p!$A$2:$G$25,4,FALSE),VLOOKUP($A25,NB_r!$A$2:$G$25,4,FALSE),N$20,TRUE)</f>
        <v>0.18327216695044579</v>
      </c>
      <c r="O25" s="17">
        <f t="shared" si="3"/>
        <v>3.8356164383561646E-2</v>
      </c>
    </row>
    <row r="26" spans="1:25" x14ac:dyDescent="0.3">
      <c r="A26" s="12">
        <v>14</v>
      </c>
      <c r="B26" s="14">
        <f>1-_xlfn.BETA.DIST(VLOOKUP($A26,NB_p!$A$2:$G$25,4,FALSE),VLOOKUP($A26,NB_r!$A$2:$G$25,4,FALSE),B$20,TRUE)</f>
        <v>0.81810773823461891</v>
      </c>
      <c r="C26" s="14">
        <f t="shared" si="2"/>
        <v>1</v>
      </c>
      <c r="D26" s="14">
        <f>1-_xlfn.BETA.DIST(VLOOKUP($A26,NB_p!$A$2:$G$25,4,FALSE),VLOOKUP($A26,NB_r!$A$2:$G$25,4,FALSE),D$20,TRUE)</f>
        <v>0.68052770054299661</v>
      </c>
      <c r="E26" s="14">
        <f t="shared" si="3"/>
        <v>0.9397260273972603</v>
      </c>
      <c r="F26" s="14">
        <f>1-_xlfn.BETA.DIST(VLOOKUP($A26,NB_p!$A$2:$G$25,4,FALSE),VLOOKUP($A26,NB_r!$A$2:$G$25,4,FALSE),F$20,TRUE)</f>
        <v>0.54822957986678711</v>
      </c>
      <c r="G26" s="14">
        <f t="shared" si="3"/>
        <v>0.73150684931506849</v>
      </c>
      <c r="H26" s="14">
        <f>1-_xlfn.BETA.DIST(VLOOKUP($A26,NB_p!$A$2:$G$25,4,FALSE),VLOOKUP($A26,NB_r!$A$2:$G$25,4,FALSE),H$20,TRUE)</f>
        <v>0.43148604624238895</v>
      </c>
      <c r="I26" s="14">
        <f t="shared" si="3"/>
        <v>0.44657534246575342</v>
      </c>
      <c r="J26" s="14">
        <f>1-_xlfn.BETA.DIST(VLOOKUP($A26,NB_p!$A$2:$G$25,4,FALSE),VLOOKUP($A26,NB_r!$A$2:$G$25,4,FALSE),J$20,TRUE)</f>
        <v>0.33365453750705809</v>
      </c>
      <c r="K26" s="14">
        <f t="shared" si="3"/>
        <v>0.18904109589041096</v>
      </c>
      <c r="L26" s="14">
        <f>1-_xlfn.BETA.DIST(VLOOKUP($A26,NB_p!$A$2:$G$25,4,FALSE),VLOOKUP($A26,NB_r!$A$2:$G$25,4,FALSE),L$20,TRUE)</f>
        <v>0.25445256229915536</v>
      </c>
      <c r="M26" s="14">
        <f t="shared" si="3"/>
        <v>7.1232876712328766E-2</v>
      </c>
      <c r="N26" s="14">
        <f>1-_xlfn.BETA.DIST(VLOOKUP($A26,NB_p!$A$2:$G$25,4,FALSE),VLOOKUP($A26,NB_r!$A$2:$G$25,4,FALSE),N$20,TRUE)</f>
        <v>0.19189701724022323</v>
      </c>
      <c r="O26" s="17">
        <f t="shared" si="3"/>
        <v>4.1095890410958902E-2</v>
      </c>
    </row>
    <row r="27" spans="1:25" x14ac:dyDescent="0.3">
      <c r="A27" s="12">
        <v>15</v>
      </c>
      <c r="B27" s="14">
        <f>1-_xlfn.BETA.DIST(VLOOKUP($A27,NB_p!$A$2:$G$25,4,FALSE),VLOOKUP($A27,NB_r!$A$2:$G$25,4,FALSE),B$20,TRUE)</f>
        <v>0.85152563904550449</v>
      </c>
      <c r="C27" s="14">
        <f t="shared" si="2"/>
        <v>0.99726027397260275</v>
      </c>
      <c r="D27" s="14">
        <f>1-_xlfn.BETA.DIST(VLOOKUP($A27,NB_p!$A$2:$G$25,4,FALSE),VLOOKUP($A27,NB_r!$A$2:$G$25,4,FALSE),D$20,TRUE)</f>
        <v>0.7192147950047465</v>
      </c>
      <c r="E27" s="14">
        <f t="shared" si="3"/>
        <v>0.91506849315068495</v>
      </c>
      <c r="F27" s="14">
        <f>1-_xlfn.BETA.DIST(VLOOKUP($A27,NB_p!$A$2:$G$25,4,FALSE),VLOOKUP($A27,NB_r!$A$2:$G$25,4,FALSE),F$20,TRUE)</f>
        <v>0.58445154722623316</v>
      </c>
      <c r="G27" s="14">
        <f t="shared" si="3"/>
        <v>0.75616438356164384</v>
      </c>
      <c r="H27" s="14">
        <f>1-_xlfn.BETA.DIST(VLOOKUP($A27,NB_p!$A$2:$G$25,4,FALSE),VLOOKUP($A27,NB_r!$A$2:$G$25,4,FALSE),H$20,TRUE)</f>
        <v>0.46137799250168654</v>
      </c>
      <c r="I27" s="14">
        <f t="shared" si="3"/>
        <v>0.52328767123287667</v>
      </c>
      <c r="J27" s="14">
        <f>1-_xlfn.BETA.DIST(VLOOKUP($A27,NB_p!$A$2:$G$25,4,FALSE),VLOOKUP($A27,NB_r!$A$2:$G$25,4,FALSE),J$20,TRUE)</f>
        <v>0.35615727923651996</v>
      </c>
      <c r="K27" s="14">
        <f t="shared" si="3"/>
        <v>0.29315068493150687</v>
      </c>
      <c r="L27" s="14">
        <f>1-_xlfn.BETA.DIST(VLOOKUP($A27,NB_p!$A$2:$G$25,4,FALSE),VLOOKUP($A27,NB_r!$A$2:$G$25,4,FALSE),L$20,TRUE)</f>
        <v>0.27009271459172712</v>
      </c>
      <c r="M27" s="14">
        <f t="shared" si="3"/>
        <v>0.12876712328767123</v>
      </c>
      <c r="N27" s="14">
        <f>1-_xlfn.BETA.DIST(VLOOKUP($A27,NB_p!$A$2:$G$25,4,FALSE),VLOOKUP($A27,NB_r!$A$2:$G$25,4,FALSE),N$20,TRUE)</f>
        <v>0.20189565754661232</v>
      </c>
      <c r="O27" s="17">
        <f t="shared" si="3"/>
        <v>4.9315068493150684E-2</v>
      </c>
    </row>
    <row r="28" spans="1:25" x14ac:dyDescent="0.3">
      <c r="A28" s="12">
        <v>16</v>
      </c>
      <c r="B28" s="14">
        <f>1-_xlfn.BETA.DIST(VLOOKUP($A28,NB_p!$A$2:$G$25,4,FALSE),VLOOKUP($A28,NB_r!$A$2:$G$25,4,FALSE),B$20,TRUE)</f>
        <v>0.87751560668238615</v>
      </c>
      <c r="C28" s="14">
        <f t="shared" si="2"/>
        <v>0.9945205479452055</v>
      </c>
      <c r="D28" s="14">
        <f>1-_xlfn.BETA.DIST(VLOOKUP($A28,NB_p!$A$2:$G$25,4,FALSE),VLOOKUP($A28,NB_r!$A$2:$G$25,4,FALSE),D$20,TRUE)</f>
        <v>0.74908201136609986</v>
      </c>
      <c r="E28" s="14">
        <f t="shared" si="3"/>
        <v>0.94246575342465755</v>
      </c>
      <c r="F28" s="14">
        <f>1-_xlfn.BETA.DIST(VLOOKUP($A28,NB_p!$A$2:$G$25,4,FALSE),VLOOKUP($A28,NB_r!$A$2:$G$25,4,FALSE),F$20,TRUE)</f>
        <v>0.61054839511265957</v>
      </c>
      <c r="G28" s="14">
        <f t="shared" si="3"/>
        <v>0.80273972602739729</v>
      </c>
      <c r="H28" s="14">
        <f>1-_xlfn.BETA.DIST(VLOOKUP($A28,NB_p!$A$2:$G$25,4,FALSE),VLOOKUP($A28,NB_r!$A$2:$G$25,4,FALSE),H$20,TRUE)</f>
        <v>0.48009494470985226</v>
      </c>
      <c r="I28" s="14">
        <f t="shared" si="3"/>
        <v>0.53698630136986303</v>
      </c>
      <c r="J28" s="14">
        <f>1-_xlfn.BETA.DIST(VLOOKUP($A28,NB_p!$A$2:$G$25,4,FALSE),VLOOKUP($A28,NB_r!$A$2:$G$25,4,FALSE),J$20,TRUE)</f>
        <v>0.36700099117385354</v>
      </c>
      <c r="K28" s="14">
        <f t="shared" si="3"/>
        <v>0.29863013698630136</v>
      </c>
      <c r="L28" s="14">
        <f>1-_xlfn.BETA.DIST(VLOOKUP($A28,NB_p!$A$2:$G$25,4,FALSE),VLOOKUP($A28,NB_r!$A$2:$G$25,4,FALSE),L$20,TRUE)</f>
        <v>0.27426543726760066</v>
      </c>
      <c r="M28" s="14">
        <f t="shared" si="3"/>
        <v>0.14246575342465753</v>
      </c>
      <c r="N28" s="14">
        <f>1-_xlfn.BETA.DIST(VLOOKUP($A28,NB_p!$A$2:$G$25,4,FALSE),VLOOKUP($A28,NB_r!$A$2:$G$25,4,FALSE),N$20,TRUE)</f>
        <v>0.20120773365090072</v>
      </c>
      <c r="O28" s="17">
        <f t="shared" si="3"/>
        <v>5.2054794520547946E-2</v>
      </c>
    </row>
    <row r="29" spans="1:25" x14ac:dyDescent="0.3">
      <c r="A29" s="12">
        <v>17</v>
      </c>
      <c r="B29" s="14">
        <f>1-_xlfn.BETA.DIST(VLOOKUP($A29,NB_p!$A$2:$G$25,4,FALSE),VLOOKUP($A29,NB_r!$A$2:$G$25,4,FALSE),B$20,TRUE)</f>
        <v>0.90234308332788726</v>
      </c>
      <c r="C29" s="14">
        <f t="shared" si="2"/>
        <v>0.98630136986301364</v>
      </c>
      <c r="D29" s="14">
        <f>1-_xlfn.BETA.DIST(VLOOKUP($A29,NB_p!$A$2:$G$25,4,FALSE),VLOOKUP($A29,NB_r!$A$2:$G$25,4,FALSE),D$20,TRUE)</f>
        <v>0.78060565297203532</v>
      </c>
      <c r="E29" s="14">
        <f t="shared" si="3"/>
        <v>0.93150684931506844</v>
      </c>
      <c r="F29" s="14">
        <f>1-_xlfn.BETA.DIST(VLOOKUP($A29,NB_p!$A$2:$G$25,4,FALSE),VLOOKUP($A29,NB_r!$A$2:$G$25,4,FALSE),F$20,TRUE)</f>
        <v>0.64005020958794367</v>
      </c>
      <c r="G29" s="14">
        <f t="shared" si="3"/>
        <v>0.80821917808219179</v>
      </c>
      <c r="H29" s="14">
        <f>1-_xlfn.BETA.DIST(VLOOKUP($A29,NB_p!$A$2:$G$25,4,FALSE),VLOOKUP($A29,NB_r!$A$2:$G$25,4,FALSE),H$20,TRUE)</f>
        <v>0.50256887120744209</v>
      </c>
      <c r="I29" s="14">
        <f t="shared" si="3"/>
        <v>0.54520547945205478</v>
      </c>
      <c r="J29" s="14">
        <f>1-_xlfn.BETA.DIST(VLOOKUP($A29,NB_p!$A$2:$G$25,4,FALSE),VLOOKUP($A29,NB_r!$A$2:$G$25,4,FALSE),J$20,TRUE)</f>
        <v>0.38111025883930005</v>
      </c>
      <c r="K29" s="14">
        <f t="shared" si="3"/>
        <v>0.34520547945205482</v>
      </c>
      <c r="L29" s="14">
        <f>1-_xlfn.BETA.DIST(VLOOKUP($A29,NB_p!$A$2:$G$25,4,FALSE),VLOOKUP($A29,NB_r!$A$2:$G$25,4,FALSE),L$20,TRUE)</f>
        <v>0.2809453492425722</v>
      </c>
      <c r="M29" s="14">
        <f t="shared" si="3"/>
        <v>0.16164383561643836</v>
      </c>
      <c r="N29" s="14">
        <f>1-_xlfn.BETA.DIST(VLOOKUP($A29,NB_p!$A$2:$G$25,4,FALSE),VLOOKUP($A29,NB_r!$A$2:$G$25,4,FALSE),N$20,TRUE)</f>
        <v>0.2023426571878939</v>
      </c>
      <c r="O29" s="17">
        <f t="shared" si="3"/>
        <v>8.4931506849315067E-2</v>
      </c>
    </row>
    <row r="30" spans="1:25" x14ac:dyDescent="0.3">
      <c r="A30" s="15">
        <v>18</v>
      </c>
      <c r="B30" s="16">
        <f>1-_xlfn.BETA.DIST(VLOOKUP($A30,NB_p!$A$2:$G$25,4,FALSE),VLOOKUP($A30,NB_r!$A$2:$G$25,4,FALSE),B$20,TRUE)</f>
        <v>0.90330716298565561</v>
      </c>
      <c r="C30" s="16">
        <f t="shared" si="2"/>
        <v>0.98630136986301364</v>
      </c>
      <c r="D30" s="16">
        <f>1-_xlfn.BETA.DIST(VLOOKUP($A30,NB_p!$A$2:$G$25,4,FALSE),VLOOKUP($A30,NB_r!$A$2:$G$25,4,FALSE),D$20,TRUE)</f>
        <v>0.75031100213526125</v>
      </c>
      <c r="E30" s="16">
        <f t="shared" si="3"/>
        <v>0.88767123287671235</v>
      </c>
      <c r="F30" s="16">
        <f>1-_xlfn.BETA.DIST(VLOOKUP($A30,NB_p!$A$2:$G$25,4,FALSE),VLOOKUP($A30,NB_r!$A$2:$G$25,4,FALSE),F$20,TRUE)</f>
        <v>0.56795884937899976</v>
      </c>
      <c r="G30" s="16">
        <f t="shared" si="3"/>
        <v>0.63835616438356169</v>
      </c>
      <c r="H30" s="16">
        <f>1-_xlfn.BETA.DIST(VLOOKUP($A30,NB_p!$A$2:$G$25,4,FALSE),VLOOKUP($A30,NB_r!$A$2:$G$25,4,FALSE),H$20,TRUE)</f>
        <v>0.39785468471997476</v>
      </c>
      <c r="I30" s="16">
        <f t="shared" si="3"/>
        <v>0.37534246575342467</v>
      </c>
      <c r="J30" s="16">
        <f>1-_xlfn.BETA.DIST(VLOOKUP($A30,NB_p!$A$2:$G$25,4,FALSE),VLOOKUP($A30,NB_r!$A$2:$G$25,4,FALSE),J$20,TRUE)</f>
        <v>0.26173035535564537</v>
      </c>
      <c r="K30" s="16">
        <f t="shared" si="3"/>
        <v>0.14794520547945206</v>
      </c>
      <c r="L30" s="16">
        <f>1-_xlfn.BETA.DIST(VLOOKUP($A30,NB_p!$A$2:$G$25,4,FALSE),VLOOKUP($A30,NB_r!$A$2:$G$25,4,FALSE),L$20,TRUE)</f>
        <v>0.16364167530761464</v>
      </c>
      <c r="M30" s="16">
        <f t="shared" si="3"/>
        <v>5.2054794520547946E-2</v>
      </c>
      <c r="N30" s="16">
        <f>1-_xlfn.BETA.DIST(VLOOKUP($A30,NB_p!$A$2:$G$25,4,FALSE),VLOOKUP($A30,NB_r!$A$2:$G$25,4,FALSE),N$20,TRUE)</f>
        <v>9.8146592068337868E-2</v>
      </c>
      <c r="O30" s="18">
        <f t="shared" si="3"/>
        <v>2.4657534246575342E-2</v>
      </c>
    </row>
    <row r="32" spans="1:25" x14ac:dyDescent="0.3">
      <c r="A32" s="1" t="s">
        <v>7</v>
      </c>
      <c r="B32" s="1">
        <v>0</v>
      </c>
      <c r="C32" s="1">
        <v>1</v>
      </c>
      <c r="D32" s="1">
        <v>2</v>
      </c>
      <c r="E32" s="1">
        <v>3</v>
      </c>
      <c r="F32" s="1">
        <v>4</v>
      </c>
      <c r="G32" s="1">
        <v>5</v>
      </c>
      <c r="H32" s="1">
        <v>6</v>
      </c>
      <c r="I32" s="1">
        <v>7</v>
      </c>
      <c r="J32" s="1">
        <v>8</v>
      </c>
      <c r="K32" s="1">
        <v>9</v>
      </c>
      <c r="L32" s="1">
        <v>10</v>
      </c>
      <c r="M32" s="1">
        <v>11</v>
      </c>
      <c r="N32" s="1">
        <v>12</v>
      </c>
      <c r="O32" s="1">
        <v>13</v>
      </c>
      <c r="P32" s="1">
        <v>14</v>
      </c>
      <c r="Q32" s="1">
        <v>15</v>
      </c>
      <c r="R32" s="1">
        <v>16</v>
      </c>
      <c r="S32" s="1">
        <v>17</v>
      </c>
      <c r="T32" s="1">
        <v>18</v>
      </c>
      <c r="U32" s="1">
        <v>19</v>
      </c>
      <c r="V32" s="1">
        <v>20</v>
      </c>
      <c r="W32" s="1">
        <v>21</v>
      </c>
      <c r="X32" s="1">
        <v>22</v>
      </c>
      <c r="Y32" s="1">
        <v>23</v>
      </c>
    </row>
    <row r="33" spans="1:25" x14ac:dyDescent="0.3">
      <c r="A33" s="2">
        <v>43101</v>
      </c>
      <c r="B33" s="1">
        <v>18</v>
      </c>
      <c r="C33" s="1">
        <v>13</v>
      </c>
      <c r="D33" s="1">
        <v>21</v>
      </c>
      <c r="E33" s="1">
        <v>14</v>
      </c>
      <c r="F33" s="1">
        <v>13</v>
      </c>
      <c r="G33" s="1">
        <v>8</v>
      </c>
      <c r="H33" s="1">
        <v>6</v>
      </c>
      <c r="I33" s="1">
        <v>10</v>
      </c>
      <c r="J33" s="1">
        <v>17</v>
      </c>
      <c r="K33" s="1">
        <v>11</v>
      </c>
      <c r="L33" s="1">
        <v>16</v>
      </c>
      <c r="M33" s="1">
        <v>18</v>
      </c>
      <c r="N33" s="1">
        <v>20</v>
      </c>
      <c r="O33" s="1">
        <v>22</v>
      </c>
      <c r="P33" s="1">
        <v>42</v>
      </c>
      <c r="Q33" s="1">
        <v>21</v>
      </c>
      <c r="R33" s="1">
        <v>20</v>
      </c>
      <c r="S33" s="1">
        <v>17</v>
      </c>
      <c r="T33" s="1">
        <v>22</v>
      </c>
      <c r="U33" s="1">
        <v>16</v>
      </c>
      <c r="V33" s="1">
        <v>18</v>
      </c>
      <c r="W33" s="1">
        <v>15</v>
      </c>
      <c r="X33" s="1">
        <v>13</v>
      </c>
      <c r="Y33" s="1">
        <v>4</v>
      </c>
    </row>
    <row r="34" spans="1:25" x14ac:dyDescent="0.3">
      <c r="A34" s="2">
        <v>43102</v>
      </c>
      <c r="B34" s="1">
        <v>9</v>
      </c>
      <c r="C34" s="1">
        <v>6</v>
      </c>
      <c r="D34" s="1">
        <v>6</v>
      </c>
      <c r="E34" s="1">
        <v>4</v>
      </c>
      <c r="F34" s="1">
        <v>8</v>
      </c>
      <c r="G34" s="1">
        <v>15</v>
      </c>
      <c r="H34" s="1">
        <v>18</v>
      </c>
      <c r="I34" s="1">
        <v>25</v>
      </c>
      <c r="J34" s="1">
        <v>40</v>
      </c>
      <c r="K34" s="1">
        <v>16</v>
      </c>
      <c r="L34" s="1">
        <v>34</v>
      </c>
      <c r="M34" s="1">
        <v>29</v>
      </c>
      <c r="N34" s="1">
        <v>24</v>
      </c>
      <c r="O34" s="1">
        <v>26</v>
      </c>
      <c r="P34" s="1">
        <v>29</v>
      </c>
      <c r="Q34" s="1">
        <v>38</v>
      </c>
      <c r="R34" s="1">
        <v>30</v>
      </c>
      <c r="S34" s="1">
        <v>29</v>
      </c>
      <c r="T34" s="1">
        <v>30</v>
      </c>
      <c r="U34" s="1">
        <v>20</v>
      </c>
      <c r="V34" s="1">
        <v>15</v>
      </c>
      <c r="W34" s="1">
        <v>14</v>
      </c>
      <c r="X34" s="1">
        <v>13</v>
      </c>
      <c r="Y34" s="1">
        <v>15</v>
      </c>
    </row>
    <row r="35" spans="1:25" x14ac:dyDescent="0.3">
      <c r="A35" s="2">
        <v>43103</v>
      </c>
      <c r="B35" s="1">
        <v>3</v>
      </c>
      <c r="C35" s="1">
        <v>15</v>
      </c>
      <c r="D35" s="1">
        <v>3</v>
      </c>
      <c r="E35" s="1">
        <v>7</v>
      </c>
      <c r="F35" s="1">
        <v>2</v>
      </c>
      <c r="G35" s="1">
        <v>11</v>
      </c>
      <c r="H35" s="1">
        <v>13</v>
      </c>
      <c r="I35" s="1">
        <v>30</v>
      </c>
      <c r="J35" s="1">
        <v>72</v>
      </c>
      <c r="K35" s="1">
        <v>29</v>
      </c>
      <c r="L35" s="1">
        <v>20</v>
      </c>
      <c r="M35" s="1">
        <v>32</v>
      </c>
      <c r="N35" s="1">
        <v>35</v>
      </c>
      <c r="O35" s="1">
        <v>36</v>
      </c>
      <c r="P35" s="1">
        <v>38</v>
      </c>
      <c r="Q35" s="1">
        <v>39</v>
      </c>
      <c r="R35" s="1">
        <v>19</v>
      </c>
      <c r="S35" s="1">
        <v>26</v>
      </c>
      <c r="T35" s="1">
        <v>34</v>
      </c>
      <c r="U35" s="1">
        <v>32</v>
      </c>
      <c r="V35" s="1">
        <v>23</v>
      </c>
      <c r="W35" s="1">
        <v>16</v>
      </c>
      <c r="X35" s="1">
        <v>13</v>
      </c>
      <c r="Y35" s="1">
        <v>9</v>
      </c>
    </row>
    <row r="36" spans="1:25" x14ac:dyDescent="0.3">
      <c r="A36" s="2">
        <v>43104</v>
      </c>
      <c r="B36" s="1">
        <v>11</v>
      </c>
      <c r="C36" s="1">
        <v>4</v>
      </c>
      <c r="D36" s="1">
        <v>10</v>
      </c>
      <c r="E36" s="1">
        <v>12</v>
      </c>
      <c r="F36" s="1">
        <v>7</v>
      </c>
      <c r="G36" s="1">
        <v>19</v>
      </c>
      <c r="H36" s="1">
        <v>23</v>
      </c>
      <c r="I36" s="1">
        <v>45</v>
      </c>
      <c r="J36" s="1">
        <v>46</v>
      </c>
      <c r="K36" s="1">
        <v>52</v>
      </c>
      <c r="L36" s="1">
        <v>42</v>
      </c>
      <c r="M36" s="1">
        <v>63</v>
      </c>
      <c r="N36" s="1">
        <v>58</v>
      </c>
      <c r="O36" s="1">
        <v>37</v>
      </c>
      <c r="P36" s="1">
        <v>28</v>
      </c>
      <c r="Q36" s="1">
        <v>31</v>
      </c>
      <c r="R36" s="1">
        <v>20</v>
      </c>
      <c r="S36" s="1">
        <v>22</v>
      </c>
      <c r="T36" s="1">
        <v>16</v>
      </c>
      <c r="U36" s="1">
        <v>8</v>
      </c>
      <c r="V36" s="1">
        <v>15</v>
      </c>
      <c r="W36" s="1">
        <v>10</v>
      </c>
      <c r="X36" s="1">
        <v>9</v>
      </c>
      <c r="Y36" s="1">
        <v>7</v>
      </c>
    </row>
    <row r="37" spans="1:25" x14ac:dyDescent="0.3">
      <c r="A37" s="2">
        <v>43105</v>
      </c>
      <c r="B37" s="1">
        <v>9</v>
      </c>
      <c r="C37" s="1">
        <v>7</v>
      </c>
      <c r="D37" s="1">
        <v>6</v>
      </c>
      <c r="E37" s="1">
        <v>10</v>
      </c>
      <c r="F37" s="1">
        <v>14</v>
      </c>
      <c r="G37" s="1">
        <v>15</v>
      </c>
      <c r="H37" s="1">
        <v>16</v>
      </c>
      <c r="I37" s="1">
        <v>21</v>
      </c>
      <c r="J37" s="1">
        <v>30</v>
      </c>
      <c r="K37" s="1">
        <v>33</v>
      </c>
      <c r="L37" s="1">
        <v>49</v>
      </c>
      <c r="M37" s="1">
        <v>37</v>
      </c>
      <c r="N37" s="1">
        <v>23</v>
      </c>
      <c r="O37" s="1">
        <v>42</v>
      </c>
      <c r="P37" s="1">
        <v>48</v>
      </c>
      <c r="Q37" s="1">
        <v>44</v>
      </c>
      <c r="R37" s="1">
        <v>39</v>
      </c>
      <c r="S37" s="1">
        <v>50</v>
      </c>
      <c r="T37" s="1">
        <v>18</v>
      </c>
      <c r="U37" s="1">
        <v>21</v>
      </c>
      <c r="V37" s="1">
        <v>26</v>
      </c>
      <c r="W37" s="1">
        <v>26</v>
      </c>
      <c r="X37" s="1">
        <v>19</v>
      </c>
      <c r="Y37" s="1">
        <v>9</v>
      </c>
    </row>
    <row r="38" spans="1:25" x14ac:dyDescent="0.3">
      <c r="A38" s="2">
        <v>43106</v>
      </c>
      <c r="B38" s="1">
        <v>14</v>
      </c>
      <c r="C38" s="1">
        <v>9</v>
      </c>
      <c r="D38" s="1">
        <v>2</v>
      </c>
      <c r="E38" s="1">
        <v>5</v>
      </c>
      <c r="F38" s="1">
        <v>12</v>
      </c>
      <c r="G38" s="1">
        <v>12</v>
      </c>
      <c r="H38" s="1">
        <v>13</v>
      </c>
      <c r="I38" s="1">
        <v>16</v>
      </c>
      <c r="J38" s="1">
        <v>23</v>
      </c>
      <c r="K38" s="1">
        <v>25</v>
      </c>
      <c r="L38" s="1">
        <v>17</v>
      </c>
      <c r="M38" s="1">
        <v>31</v>
      </c>
      <c r="N38" s="1">
        <v>31</v>
      </c>
      <c r="O38" s="1">
        <v>28</v>
      </c>
      <c r="P38" s="1">
        <v>25</v>
      </c>
      <c r="Q38" s="1">
        <v>35</v>
      </c>
      <c r="R38" s="1">
        <v>37</v>
      </c>
      <c r="S38" s="1">
        <v>27</v>
      </c>
      <c r="T38" s="1">
        <v>24</v>
      </c>
      <c r="U38" s="1">
        <v>18</v>
      </c>
      <c r="V38" s="1">
        <v>27</v>
      </c>
      <c r="W38" s="1">
        <v>17</v>
      </c>
      <c r="X38" s="1">
        <v>13</v>
      </c>
      <c r="Y38" s="1">
        <v>20</v>
      </c>
    </row>
    <row r="39" spans="1:25" x14ac:dyDescent="0.3">
      <c r="A39" s="2">
        <v>43107</v>
      </c>
      <c r="B39" s="1">
        <v>6</v>
      </c>
      <c r="C39" s="1">
        <v>5</v>
      </c>
      <c r="D39" s="1">
        <v>12</v>
      </c>
      <c r="E39" s="1">
        <v>7</v>
      </c>
      <c r="F39" s="1">
        <v>8</v>
      </c>
      <c r="G39" s="1">
        <v>5</v>
      </c>
      <c r="H39" s="1">
        <v>10</v>
      </c>
      <c r="I39" s="1">
        <v>11</v>
      </c>
      <c r="J39" s="1">
        <v>12</v>
      </c>
      <c r="K39" s="1">
        <v>21</v>
      </c>
      <c r="L39" s="1">
        <v>21</v>
      </c>
      <c r="M39" s="1">
        <v>37</v>
      </c>
      <c r="N39" s="1">
        <v>39</v>
      </c>
      <c r="O39" s="1">
        <v>25</v>
      </c>
      <c r="P39" s="1">
        <v>21</v>
      </c>
      <c r="Q39" s="1">
        <v>30</v>
      </c>
      <c r="R39" s="1">
        <v>23</v>
      </c>
      <c r="S39" s="1">
        <v>25</v>
      </c>
      <c r="T39" s="1">
        <v>22</v>
      </c>
      <c r="U39" s="1">
        <v>23</v>
      </c>
      <c r="V39" s="1">
        <v>18</v>
      </c>
      <c r="W39" s="1">
        <v>12</v>
      </c>
      <c r="X39" s="1">
        <v>13</v>
      </c>
      <c r="Y39" s="1">
        <v>14</v>
      </c>
    </row>
    <row r="40" spans="1:25" x14ac:dyDescent="0.3">
      <c r="A40" s="2">
        <v>43108</v>
      </c>
      <c r="B40" s="1">
        <v>11</v>
      </c>
      <c r="C40" s="1">
        <v>5</v>
      </c>
      <c r="D40" s="1">
        <v>2</v>
      </c>
      <c r="E40" s="1">
        <v>6</v>
      </c>
      <c r="F40" s="1">
        <v>5</v>
      </c>
      <c r="G40" s="1">
        <v>3</v>
      </c>
      <c r="H40" s="1">
        <v>17</v>
      </c>
      <c r="I40" s="1">
        <v>27</v>
      </c>
      <c r="J40" s="1">
        <v>34</v>
      </c>
      <c r="K40" s="1">
        <v>34</v>
      </c>
      <c r="L40" s="1">
        <v>27</v>
      </c>
      <c r="M40" s="1">
        <v>26</v>
      </c>
      <c r="N40" s="1">
        <v>33</v>
      </c>
      <c r="O40" s="1">
        <v>43</v>
      </c>
      <c r="P40" s="1">
        <v>25</v>
      </c>
      <c r="Q40" s="1">
        <v>32</v>
      </c>
      <c r="R40" s="1">
        <v>35</v>
      </c>
      <c r="S40" s="1">
        <v>21</v>
      </c>
      <c r="T40" s="1">
        <v>28</v>
      </c>
      <c r="U40" s="1">
        <v>22</v>
      </c>
      <c r="V40" s="1">
        <v>11</v>
      </c>
      <c r="W40" s="1">
        <v>6</v>
      </c>
      <c r="X40" s="1">
        <v>14</v>
      </c>
      <c r="Y40" s="1">
        <v>12</v>
      </c>
    </row>
    <row r="41" spans="1:25" x14ac:dyDescent="0.3">
      <c r="A41" s="2">
        <v>43109</v>
      </c>
      <c r="B41" s="1">
        <v>7</v>
      </c>
      <c r="C41" s="1">
        <v>7</v>
      </c>
      <c r="D41" s="1">
        <v>3</v>
      </c>
      <c r="E41" s="1">
        <v>8</v>
      </c>
      <c r="F41" s="1">
        <v>11</v>
      </c>
      <c r="G41" s="1">
        <v>15</v>
      </c>
      <c r="H41" s="1">
        <v>11</v>
      </c>
      <c r="I41" s="1">
        <v>16</v>
      </c>
      <c r="J41" s="1">
        <v>25</v>
      </c>
      <c r="K41" s="1">
        <v>37</v>
      </c>
      <c r="L41" s="1">
        <v>33</v>
      </c>
      <c r="M41" s="1">
        <v>31</v>
      </c>
      <c r="N41" s="1">
        <v>30</v>
      </c>
      <c r="O41" s="1">
        <v>35</v>
      </c>
      <c r="P41" s="1">
        <v>18</v>
      </c>
      <c r="Q41" s="1">
        <v>14</v>
      </c>
      <c r="R41" s="1">
        <v>37</v>
      </c>
      <c r="S41" s="1">
        <v>34</v>
      </c>
      <c r="T41" s="1">
        <v>34</v>
      </c>
      <c r="U41" s="1">
        <v>30</v>
      </c>
      <c r="V41" s="1">
        <v>17</v>
      </c>
      <c r="W41" s="1">
        <v>10</v>
      </c>
      <c r="X41" s="1">
        <v>14</v>
      </c>
      <c r="Y41" s="1">
        <v>14</v>
      </c>
    </row>
    <row r="42" spans="1:25" x14ac:dyDescent="0.3">
      <c r="A42" s="2">
        <v>43110</v>
      </c>
      <c r="B42" s="1">
        <v>6</v>
      </c>
      <c r="C42" s="1">
        <v>9</v>
      </c>
      <c r="D42" s="1">
        <v>7</v>
      </c>
      <c r="E42" s="1">
        <v>2</v>
      </c>
      <c r="F42" s="1">
        <v>5</v>
      </c>
      <c r="G42" s="1">
        <v>11</v>
      </c>
      <c r="H42" s="1">
        <v>10</v>
      </c>
      <c r="I42" s="1">
        <v>33</v>
      </c>
      <c r="J42" s="1">
        <v>53</v>
      </c>
      <c r="K42" s="1">
        <v>37</v>
      </c>
      <c r="L42" s="1">
        <v>26</v>
      </c>
      <c r="M42" s="1">
        <v>26</v>
      </c>
      <c r="N42" s="1">
        <v>30</v>
      </c>
      <c r="O42" s="1">
        <v>20</v>
      </c>
      <c r="P42" s="1">
        <v>25</v>
      </c>
      <c r="Q42" s="1">
        <v>27</v>
      </c>
      <c r="R42" s="1">
        <v>14</v>
      </c>
      <c r="S42" s="1">
        <v>30</v>
      </c>
      <c r="T42" s="1">
        <v>29</v>
      </c>
      <c r="U42" s="1">
        <v>27</v>
      </c>
      <c r="V42" s="1">
        <v>19</v>
      </c>
      <c r="W42" s="1">
        <v>10</v>
      </c>
      <c r="X42" s="1">
        <v>14</v>
      </c>
      <c r="Y42" s="1">
        <v>11</v>
      </c>
    </row>
    <row r="43" spans="1:25" x14ac:dyDescent="0.3">
      <c r="A43" s="2">
        <v>43111</v>
      </c>
      <c r="B43" s="1">
        <v>2</v>
      </c>
      <c r="C43" s="1">
        <v>6</v>
      </c>
      <c r="D43" s="1">
        <v>4</v>
      </c>
      <c r="E43" s="1">
        <v>5</v>
      </c>
      <c r="F43" s="1">
        <v>6</v>
      </c>
      <c r="G43" s="1">
        <v>10</v>
      </c>
      <c r="H43" s="1">
        <v>17</v>
      </c>
      <c r="I43" s="1">
        <v>25</v>
      </c>
      <c r="J43" s="1">
        <v>20</v>
      </c>
      <c r="K43" s="1">
        <v>19</v>
      </c>
      <c r="L43" s="1">
        <v>16</v>
      </c>
      <c r="M43" s="1">
        <v>16</v>
      </c>
      <c r="N43" s="1">
        <v>23</v>
      </c>
      <c r="O43" s="1">
        <v>15</v>
      </c>
      <c r="P43" s="1">
        <v>18</v>
      </c>
      <c r="Q43" s="1">
        <v>30</v>
      </c>
      <c r="R43" s="1">
        <v>24</v>
      </c>
      <c r="S43" s="1">
        <v>37</v>
      </c>
      <c r="T43" s="1">
        <v>22</v>
      </c>
      <c r="U43" s="1">
        <v>31</v>
      </c>
      <c r="V43" s="1">
        <v>14</v>
      </c>
      <c r="W43" s="1">
        <v>15</v>
      </c>
      <c r="X43" s="1">
        <v>6</v>
      </c>
      <c r="Y43" s="1">
        <v>3</v>
      </c>
    </row>
    <row r="44" spans="1:25" x14ac:dyDescent="0.3">
      <c r="A44" s="2">
        <v>43112</v>
      </c>
      <c r="B44" s="1">
        <v>12</v>
      </c>
      <c r="C44" s="1">
        <v>6</v>
      </c>
      <c r="D44" s="1">
        <v>11</v>
      </c>
      <c r="E44" s="1">
        <v>6</v>
      </c>
      <c r="F44" s="1">
        <v>10</v>
      </c>
      <c r="G44" s="1">
        <v>9</v>
      </c>
      <c r="H44" s="1">
        <v>31</v>
      </c>
      <c r="I44" s="1">
        <v>23</v>
      </c>
      <c r="J44" s="1">
        <v>24</v>
      </c>
      <c r="K44" s="1">
        <v>35</v>
      </c>
      <c r="L44" s="1">
        <v>25</v>
      </c>
      <c r="M44" s="1">
        <v>37</v>
      </c>
      <c r="N44" s="1">
        <v>36</v>
      </c>
      <c r="O44" s="1">
        <v>40</v>
      </c>
      <c r="P44" s="1">
        <v>43</v>
      </c>
      <c r="Q44" s="1">
        <v>31</v>
      </c>
      <c r="R44" s="1">
        <v>27</v>
      </c>
      <c r="S44" s="1">
        <v>44</v>
      </c>
      <c r="T44" s="1">
        <v>37</v>
      </c>
      <c r="U44" s="1">
        <v>44</v>
      </c>
      <c r="V44" s="1">
        <v>21</v>
      </c>
      <c r="W44" s="1">
        <v>21</v>
      </c>
      <c r="X44" s="1">
        <v>19</v>
      </c>
      <c r="Y44" s="1">
        <v>16</v>
      </c>
    </row>
    <row r="45" spans="1:25" x14ac:dyDescent="0.3">
      <c r="A45" s="2">
        <v>43113</v>
      </c>
      <c r="B45" s="1">
        <v>12</v>
      </c>
      <c r="C45" s="1">
        <v>9</v>
      </c>
      <c r="D45" s="1">
        <v>5</v>
      </c>
      <c r="E45" s="1">
        <v>10</v>
      </c>
      <c r="F45" s="1">
        <v>12</v>
      </c>
      <c r="G45" s="1">
        <v>19</v>
      </c>
      <c r="H45" s="1">
        <v>18</v>
      </c>
      <c r="I45" s="1">
        <v>17</v>
      </c>
      <c r="J45" s="1">
        <v>16</v>
      </c>
      <c r="K45" s="1">
        <v>24</v>
      </c>
      <c r="L45" s="1">
        <v>20</v>
      </c>
      <c r="M45" s="1">
        <v>22</v>
      </c>
      <c r="N45" s="1">
        <v>24</v>
      </c>
      <c r="O45" s="1">
        <v>27</v>
      </c>
      <c r="P45" s="1">
        <v>37</v>
      </c>
      <c r="Q45" s="1">
        <v>25</v>
      </c>
      <c r="R45" s="1">
        <v>10</v>
      </c>
      <c r="S45" s="1">
        <v>21</v>
      </c>
      <c r="T45" s="1">
        <v>14</v>
      </c>
      <c r="U45" s="1">
        <v>14</v>
      </c>
      <c r="V45" s="1">
        <v>14</v>
      </c>
      <c r="W45" s="1">
        <v>24</v>
      </c>
      <c r="X45" s="1">
        <v>13</v>
      </c>
      <c r="Y45" s="1">
        <v>12</v>
      </c>
    </row>
    <row r="46" spans="1:25" x14ac:dyDescent="0.3">
      <c r="A46" s="2">
        <v>43114</v>
      </c>
      <c r="B46" s="1">
        <v>13</v>
      </c>
      <c r="C46" s="1">
        <v>13</v>
      </c>
      <c r="D46" s="1">
        <v>10</v>
      </c>
      <c r="E46" s="1">
        <v>10</v>
      </c>
      <c r="F46" s="1">
        <v>5</v>
      </c>
      <c r="G46" s="1">
        <v>9</v>
      </c>
      <c r="H46" s="1">
        <v>7</v>
      </c>
      <c r="I46" s="1">
        <v>7</v>
      </c>
      <c r="J46" s="1">
        <v>11</v>
      </c>
      <c r="K46" s="1">
        <v>14</v>
      </c>
      <c r="L46" s="1">
        <v>20</v>
      </c>
      <c r="M46" s="1">
        <v>19</v>
      </c>
      <c r="N46" s="1">
        <v>25</v>
      </c>
      <c r="O46" s="1">
        <v>24</v>
      </c>
      <c r="P46" s="1">
        <v>14</v>
      </c>
      <c r="Q46" s="1">
        <v>20</v>
      </c>
      <c r="R46" s="1">
        <v>34</v>
      </c>
      <c r="S46" s="1">
        <v>8</v>
      </c>
      <c r="T46" s="1">
        <v>14</v>
      </c>
      <c r="U46" s="1">
        <v>27</v>
      </c>
      <c r="V46" s="1">
        <v>14</v>
      </c>
      <c r="W46" s="1">
        <v>17</v>
      </c>
      <c r="X46" s="1">
        <v>6</v>
      </c>
      <c r="Y46" s="1">
        <v>12</v>
      </c>
    </row>
    <row r="47" spans="1:25" x14ac:dyDescent="0.3">
      <c r="A47" s="2">
        <v>43115</v>
      </c>
      <c r="B47" s="1">
        <v>3</v>
      </c>
      <c r="C47" s="1">
        <v>6</v>
      </c>
      <c r="D47" s="1">
        <v>4</v>
      </c>
      <c r="E47" s="1">
        <v>4</v>
      </c>
      <c r="F47" s="1">
        <v>3</v>
      </c>
      <c r="G47" s="1">
        <v>7</v>
      </c>
      <c r="H47" s="1">
        <v>6</v>
      </c>
      <c r="I47" s="1">
        <v>6</v>
      </c>
      <c r="J47" s="1">
        <v>22</v>
      </c>
      <c r="K47" s="1">
        <v>23</v>
      </c>
      <c r="L47" s="1">
        <v>16</v>
      </c>
      <c r="M47" s="1">
        <v>37</v>
      </c>
      <c r="N47" s="1">
        <v>43</v>
      </c>
      <c r="O47" s="1">
        <v>25</v>
      </c>
      <c r="P47" s="1">
        <v>22</v>
      </c>
      <c r="Q47" s="1">
        <v>34</v>
      </c>
      <c r="R47" s="1">
        <v>23</v>
      </c>
      <c r="S47" s="1">
        <v>29</v>
      </c>
      <c r="T47" s="1">
        <v>24</v>
      </c>
      <c r="U47" s="1">
        <v>12</v>
      </c>
      <c r="V47" s="1">
        <v>22</v>
      </c>
      <c r="W47" s="1">
        <v>22</v>
      </c>
      <c r="X47" s="1">
        <v>15</v>
      </c>
      <c r="Y47" s="1">
        <v>11</v>
      </c>
    </row>
    <row r="48" spans="1:25" x14ac:dyDescent="0.3">
      <c r="A48" s="2">
        <v>43116</v>
      </c>
      <c r="B48" s="1">
        <v>9</v>
      </c>
      <c r="C48" s="1">
        <v>5</v>
      </c>
      <c r="D48" s="1">
        <v>4</v>
      </c>
      <c r="E48" s="1">
        <v>7</v>
      </c>
      <c r="F48" s="1">
        <v>4</v>
      </c>
      <c r="G48" s="1">
        <v>4</v>
      </c>
      <c r="H48" s="1">
        <v>14</v>
      </c>
      <c r="I48" s="1">
        <v>25</v>
      </c>
      <c r="J48" s="1">
        <v>21</v>
      </c>
      <c r="K48" s="1">
        <v>16</v>
      </c>
      <c r="L48" s="1">
        <v>29</v>
      </c>
      <c r="M48" s="1">
        <v>26</v>
      </c>
      <c r="N48" s="1">
        <v>15</v>
      </c>
      <c r="O48" s="1">
        <v>16</v>
      </c>
      <c r="P48" s="1">
        <v>23</v>
      </c>
      <c r="Q48" s="1">
        <v>25</v>
      </c>
      <c r="R48" s="1">
        <v>21</v>
      </c>
      <c r="S48" s="1">
        <v>30</v>
      </c>
      <c r="T48" s="1">
        <v>31</v>
      </c>
      <c r="U48" s="1">
        <v>21</v>
      </c>
      <c r="V48" s="1">
        <v>10</v>
      </c>
      <c r="W48" s="1">
        <v>8</v>
      </c>
      <c r="X48" s="1">
        <v>9</v>
      </c>
      <c r="Y48" s="1">
        <v>16</v>
      </c>
    </row>
    <row r="49" spans="1:25" x14ac:dyDescent="0.3">
      <c r="A49" s="2">
        <v>43117</v>
      </c>
      <c r="B49" s="1">
        <v>8</v>
      </c>
      <c r="C49" s="1">
        <v>14</v>
      </c>
      <c r="D49" s="1">
        <v>7</v>
      </c>
      <c r="E49" s="1">
        <v>17</v>
      </c>
      <c r="F49" s="1">
        <v>8</v>
      </c>
      <c r="G49" s="1">
        <v>14</v>
      </c>
      <c r="H49" s="1">
        <v>12</v>
      </c>
      <c r="I49" s="1">
        <v>21</v>
      </c>
      <c r="J49" s="1">
        <v>22</v>
      </c>
      <c r="K49" s="1">
        <v>27</v>
      </c>
      <c r="L49" s="1">
        <v>12</v>
      </c>
      <c r="M49" s="1">
        <v>17</v>
      </c>
      <c r="N49" s="1">
        <v>25</v>
      </c>
      <c r="O49" s="1">
        <v>20</v>
      </c>
      <c r="P49" s="1">
        <v>19</v>
      </c>
      <c r="Q49" s="1">
        <v>14</v>
      </c>
      <c r="R49" s="1">
        <v>22</v>
      </c>
      <c r="S49" s="1">
        <v>27</v>
      </c>
      <c r="T49" s="1">
        <v>23</v>
      </c>
      <c r="U49" s="1">
        <v>16</v>
      </c>
      <c r="V49" s="1">
        <v>19</v>
      </c>
      <c r="W49" s="1">
        <v>16</v>
      </c>
      <c r="X49" s="1">
        <v>15</v>
      </c>
      <c r="Y49" s="1">
        <v>6</v>
      </c>
    </row>
    <row r="50" spans="1:25" x14ac:dyDescent="0.3">
      <c r="A50" s="2">
        <v>43118</v>
      </c>
      <c r="B50" s="1">
        <v>11</v>
      </c>
      <c r="C50" s="1">
        <v>6</v>
      </c>
      <c r="D50" s="1">
        <v>3</v>
      </c>
      <c r="E50" s="1">
        <v>6</v>
      </c>
      <c r="F50" s="1">
        <v>6</v>
      </c>
      <c r="G50" s="1">
        <v>8</v>
      </c>
      <c r="H50" s="1">
        <v>12</v>
      </c>
      <c r="I50" s="1">
        <v>23</v>
      </c>
      <c r="J50" s="1">
        <v>32</v>
      </c>
      <c r="K50" s="1">
        <v>27</v>
      </c>
      <c r="L50" s="1">
        <v>13</v>
      </c>
      <c r="M50" s="1">
        <v>23</v>
      </c>
      <c r="N50" s="1">
        <v>44</v>
      </c>
      <c r="O50" s="1">
        <v>18</v>
      </c>
      <c r="P50" s="1">
        <v>15</v>
      </c>
      <c r="Q50" s="1">
        <v>25</v>
      </c>
      <c r="R50" s="1">
        <v>20</v>
      </c>
      <c r="S50" s="1">
        <v>31</v>
      </c>
      <c r="T50" s="1">
        <v>25</v>
      </c>
      <c r="U50" s="1">
        <v>22</v>
      </c>
      <c r="V50" s="1">
        <v>21</v>
      </c>
      <c r="W50" s="1">
        <v>13</v>
      </c>
      <c r="X50" s="1">
        <v>11</v>
      </c>
      <c r="Y50" s="1">
        <v>7</v>
      </c>
    </row>
    <row r="51" spans="1:25" x14ac:dyDescent="0.3">
      <c r="A51" s="2">
        <v>43119</v>
      </c>
      <c r="B51" s="1">
        <v>5</v>
      </c>
      <c r="C51" s="1">
        <v>9</v>
      </c>
      <c r="D51" s="1">
        <v>7</v>
      </c>
      <c r="E51" s="1">
        <v>4</v>
      </c>
      <c r="F51" s="1">
        <v>10</v>
      </c>
      <c r="G51" s="1">
        <v>11</v>
      </c>
      <c r="H51" s="1">
        <v>13</v>
      </c>
      <c r="I51" s="1">
        <v>21</v>
      </c>
      <c r="J51" s="1">
        <v>33</v>
      </c>
      <c r="K51" s="1">
        <v>13</v>
      </c>
      <c r="L51" s="1">
        <v>23</v>
      </c>
      <c r="M51" s="1">
        <v>21</v>
      </c>
      <c r="N51" s="1">
        <v>24</v>
      </c>
      <c r="O51" s="1">
        <v>28</v>
      </c>
      <c r="P51" s="1">
        <v>23</v>
      </c>
      <c r="Q51" s="1">
        <v>31</v>
      </c>
      <c r="R51" s="1">
        <v>21</v>
      </c>
      <c r="S51" s="1">
        <v>29</v>
      </c>
      <c r="T51" s="1">
        <v>19</v>
      </c>
      <c r="U51" s="1">
        <v>10</v>
      </c>
      <c r="V51" s="1">
        <v>15</v>
      </c>
      <c r="W51" s="1">
        <v>13</v>
      </c>
      <c r="X51" s="1">
        <v>7</v>
      </c>
      <c r="Y51" s="1">
        <v>16</v>
      </c>
    </row>
    <row r="52" spans="1:25" x14ac:dyDescent="0.3">
      <c r="A52" s="2">
        <v>43120</v>
      </c>
      <c r="B52" s="1">
        <v>12</v>
      </c>
      <c r="C52" s="1">
        <v>4</v>
      </c>
      <c r="D52" s="1">
        <v>10</v>
      </c>
      <c r="E52" s="1">
        <v>6</v>
      </c>
      <c r="F52" s="1">
        <v>7</v>
      </c>
      <c r="G52" s="1">
        <v>1</v>
      </c>
      <c r="H52" s="1">
        <v>4</v>
      </c>
      <c r="I52" s="1">
        <v>6</v>
      </c>
      <c r="J52" s="1">
        <v>14</v>
      </c>
      <c r="K52" s="1">
        <v>13</v>
      </c>
      <c r="L52" s="1">
        <v>22</v>
      </c>
      <c r="M52" s="1">
        <v>19</v>
      </c>
      <c r="N52" s="1">
        <v>17</v>
      </c>
      <c r="O52" s="1">
        <v>21</v>
      </c>
      <c r="P52" s="1">
        <v>22</v>
      </c>
      <c r="Q52" s="1">
        <v>14</v>
      </c>
      <c r="R52" s="1">
        <v>26</v>
      </c>
      <c r="S52" s="1">
        <v>32</v>
      </c>
      <c r="T52" s="1">
        <v>24</v>
      </c>
      <c r="U52" s="1">
        <v>23</v>
      </c>
      <c r="V52" s="1">
        <v>17</v>
      </c>
      <c r="W52" s="1">
        <v>10</v>
      </c>
      <c r="X52" s="1">
        <v>11</v>
      </c>
      <c r="Y52" s="1">
        <v>12</v>
      </c>
    </row>
    <row r="53" spans="1:25" x14ac:dyDescent="0.3">
      <c r="A53" s="2">
        <v>43121</v>
      </c>
      <c r="B53" s="1">
        <v>12</v>
      </c>
      <c r="C53" s="1">
        <v>12</v>
      </c>
      <c r="D53" s="1">
        <v>9</v>
      </c>
      <c r="E53" s="1">
        <v>5</v>
      </c>
      <c r="F53" s="1">
        <v>9</v>
      </c>
      <c r="G53" s="1">
        <v>8</v>
      </c>
      <c r="H53" s="1">
        <v>5</v>
      </c>
      <c r="I53" s="1">
        <v>7</v>
      </c>
      <c r="J53" s="1">
        <v>14</v>
      </c>
      <c r="K53" s="1">
        <v>14</v>
      </c>
      <c r="L53" s="1">
        <v>15</v>
      </c>
      <c r="M53" s="1">
        <v>17</v>
      </c>
      <c r="N53" s="1">
        <v>20</v>
      </c>
      <c r="O53" s="1">
        <v>20</v>
      </c>
      <c r="P53" s="1">
        <v>29</v>
      </c>
      <c r="Q53" s="1">
        <v>14</v>
      </c>
      <c r="R53" s="1">
        <v>14</v>
      </c>
      <c r="S53" s="1">
        <v>14</v>
      </c>
      <c r="T53" s="1">
        <v>17</v>
      </c>
      <c r="U53" s="1">
        <v>12</v>
      </c>
      <c r="V53" s="1">
        <v>8</v>
      </c>
      <c r="W53" s="1">
        <v>11</v>
      </c>
      <c r="X53" s="1">
        <v>14</v>
      </c>
      <c r="Y53" s="1">
        <v>9</v>
      </c>
    </row>
    <row r="54" spans="1:25" x14ac:dyDescent="0.3">
      <c r="A54" s="2">
        <v>43122</v>
      </c>
      <c r="B54" s="1">
        <v>8</v>
      </c>
      <c r="C54" s="1">
        <v>5</v>
      </c>
      <c r="D54" s="1">
        <v>9</v>
      </c>
      <c r="E54" s="1">
        <v>2</v>
      </c>
      <c r="F54" s="1">
        <v>7</v>
      </c>
      <c r="G54" s="1">
        <v>6</v>
      </c>
      <c r="H54" s="1">
        <v>7</v>
      </c>
      <c r="I54" s="1">
        <v>20</v>
      </c>
      <c r="J54" s="1">
        <v>15</v>
      </c>
      <c r="K54" s="1">
        <v>22</v>
      </c>
      <c r="L54" s="1">
        <v>17</v>
      </c>
      <c r="M54" s="1">
        <v>31</v>
      </c>
      <c r="N54" s="1">
        <v>26</v>
      </c>
      <c r="O54" s="1">
        <v>24</v>
      </c>
      <c r="P54" s="1">
        <v>20</v>
      </c>
      <c r="Q54" s="1">
        <v>26</v>
      </c>
      <c r="R54" s="1">
        <v>19</v>
      </c>
      <c r="S54" s="1">
        <v>20</v>
      </c>
      <c r="T54" s="1">
        <v>31</v>
      </c>
      <c r="U54" s="1">
        <v>12</v>
      </c>
      <c r="V54" s="1">
        <v>18</v>
      </c>
      <c r="W54" s="1">
        <v>10</v>
      </c>
      <c r="X54" s="1">
        <v>8</v>
      </c>
      <c r="Y54" s="1">
        <v>13</v>
      </c>
    </row>
    <row r="55" spans="1:25" x14ac:dyDescent="0.3">
      <c r="A55" s="2">
        <v>43123</v>
      </c>
      <c r="B55" s="1">
        <v>8</v>
      </c>
      <c r="C55" s="1">
        <v>5</v>
      </c>
      <c r="D55" s="1">
        <v>5</v>
      </c>
      <c r="E55" s="1">
        <v>4</v>
      </c>
      <c r="F55" s="1">
        <v>6</v>
      </c>
      <c r="G55" s="1">
        <v>5</v>
      </c>
      <c r="H55" s="1">
        <v>12</v>
      </c>
      <c r="I55" s="1">
        <v>28</v>
      </c>
      <c r="J55" s="1">
        <v>17</v>
      </c>
      <c r="K55" s="1">
        <v>37</v>
      </c>
      <c r="L55" s="1">
        <v>27</v>
      </c>
      <c r="M55" s="1">
        <v>28</v>
      </c>
      <c r="N55" s="1">
        <v>27</v>
      </c>
      <c r="O55" s="1">
        <v>23</v>
      </c>
      <c r="P55" s="1">
        <v>22</v>
      </c>
      <c r="Q55" s="1">
        <v>27</v>
      </c>
      <c r="R55" s="1">
        <v>21</v>
      </c>
      <c r="S55" s="1">
        <v>35</v>
      </c>
      <c r="T55" s="1">
        <v>26</v>
      </c>
      <c r="U55" s="1">
        <v>16</v>
      </c>
      <c r="V55" s="1">
        <v>12</v>
      </c>
      <c r="W55" s="1">
        <v>10</v>
      </c>
      <c r="X55" s="1">
        <v>8</v>
      </c>
      <c r="Y55" s="1">
        <v>6</v>
      </c>
    </row>
    <row r="56" spans="1:25" x14ac:dyDescent="0.3">
      <c r="A56" s="2">
        <v>43124</v>
      </c>
      <c r="B56" s="1">
        <v>7</v>
      </c>
      <c r="C56" s="1">
        <v>2</v>
      </c>
      <c r="D56" s="1">
        <v>4</v>
      </c>
      <c r="E56" s="1">
        <v>6</v>
      </c>
      <c r="F56" s="1">
        <v>7</v>
      </c>
      <c r="G56" s="1">
        <v>10</v>
      </c>
      <c r="H56" s="1">
        <v>9</v>
      </c>
      <c r="I56" s="1">
        <v>20</v>
      </c>
      <c r="J56" s="1">
        <v>22</v>
      </c>
      <c r="K56" s="1">
        <v>23</v>
      </c>
      <c r="L56" s="1">
        <v>19</v>
      </c>
      <c r="M56" s="1">
        <v>19</v>
      </c>
      <c r="N56" s="1">
        <v>15</v>
      </c>
      <c r="O56" s="1">
        <v>25</v>
      </c>
      <c r="P56" s="1">
        <v>19</v>
      </c>
      <c r="Q56" s="1">
        <v>16</v>
      </c>
      <c r="R56" s="1">
        <v>39</v>
      </c>
      <c r="S56" s="1">
        <v>25</v>
      </c>
      <c r="T56" s="1">
        <v>23</v>
      </c>
      <c r="U56" s="1">
        <v>13</v>
      </c>
      <c r="V56" s="1">
        <v>7</v>
      </c>
      <c r="W56" s="1">
        <v>10</v>
      </c>
      <c r="X56" s="1">
        <v>13</v>
      </c>
      <c r="Y56" s="1">
        <v>8</v>
      </c>
    </row>
    <row r="57" spans="1:25" x14ac:dyDescent="0.3">
      <c r="A57" s="2">
        <v>43125</v>
      </c>
      <c r="B57" s="1">
        <v>8</v>
      </c>
      <c r="C57" s="1">
        <v>7</v>
      </c>
      <c r="D57" s="1">
        <v>5</v>
      </c>
      <c r="E57" s="1">
        <v>4</v>
      </c>
      <c r="F57" s="1">
        <v>6</v>
      </c>
      <c r="G57" s="1">
        <v>3</v>
      </c>
      <c r="H57" s="1">
        <v>9</v>
      </c>
      <c r="I57" s="1">
        <v>23</v>
      </c>
      <c r="J57" s="1">
        <v>27</v>
      </c>
      <c r="K57" s="1">
        <v>24</v>
      </c>
      <c r="L57" s="1">
        <v>18</v>
      </c>
      <c r="M57" s="1">
        <v>25</v>
      </c>
      <c r="N57" s="1">
        <v>29</v>
      </c>
      <c r="O57" s="1">
        <v>34</v>
      </c>
      <c r="P57" s="1">
        <v>22</v>
      </c>
      <c r="Q57" s="1">
        <v>24</v>
      </c>
      <c r="R57" s="1">
        <v>24</v>
      </c>
      <c r="S57" s="1">
        <v>18</v>
      </c>
      <c r="T57" s="1">
        <v>18</v>
      </c>
      <c r="U57" s="1">
        <v>24</v>
      </c>
      <c r="V57" s="1">
        <v>13</v>
      </c>
      <c r="W57" s="1">
        <v>21</v>
      </c>
      <c r="X57" s="1">
        <v>10</v>
      </c>
      <c r="Y57" s="1">
        <v>6</v>
      </c>
    </row>
    <row r="58" spans="1:25" x14ac:dyDescent="0.3">
      <c r="A58" s="2">
        <v>43126</v>
      </c>
      <c r="B58" s="1">
        <v>6</v>
      </c>
      <c r="C58" s="1">
        <v>9</v>
      </c>
      <c r="D58" s="1">
        <v>6</v>
      </c>
      <c r="E58" s="1">
        <v>4</v>
      </c>
      <c r="F58" s="1">
        <v>7</v>
      </c>
      <c r="G58" s="1">
        <v>4</v>
      </c>
      <c r="H58" s="1">
        <v>17</v>
      </c>
      <c r="I58" s="1">
        <v>13</v>
      </c>
      <c r="J58" s="1">
        <v>28</v>
      </c>
      <c r="K58" s="1">
        <v>23</v>
      </c>
      <c r="L58" s="1">
        <v>25</v>
      </c>
      <c r="M58" s="1">
        <v>23</v>
      </c>
      <c r="N58" s="1">
        <v>18</v>
      </c>
      <c r="O58" s="1">
        <v>16</v>
      </c>
      <c r="P58" s="1">
        <v>28</v>
      </c>
      <c r="Q58" s="1">
        <v>26</v>
      </c>
      <c r="R58" s="1">
        <v>24</v>
      </c>
      <c r="S58" s="1">
        <v>28</v>
      </c>
      <c r="T58" s="1">
        <v>27</v>
      </c>
      <c r="U58" s="1">
        <v>12</v>
      </c>
      <c r="V58" s="1">
        <v>7</v>
      </c>
      <c r="W58" s="1">
        <v>12</v>
      </c>
      <c r="X58" s="1">
        <v>8</v>
      </c>
      <c r="Y58" s="1">
        <v>8</v>
      </c>
    </row>
    <row r="59" spans="1:25" x14ac:dyDescent="0.3">
      <c r="A59" s="2">
        <v>43127</v>
      </c>
      <c r="B59" s="1">
        <v>5</v>
      </c>
      <c r="C59" s="1">
        <v>5</v>
      </c>
      <c r="D59" s="1">
        <v>3</v>
      </c>
      <c r="E59" s="1">
        <v>5</v>
      </c>
      <c r="F59" s="1">
        <v>6</v>
      </c>
      <c r="G59" s="1">
        <v>2</v>
      </c>
      <c r="H59" s="1">
        <v>4</v>
      </c>
      <c r="I59" s="1">
        <v>6</v>
      </c>
      <c r="J59" s="1">
        <v>9</v>
      </c>
      <c r="K59" s="1">
        <v>17</v>
      </c>
      <c r="L59" s="1">
        <v>17</v>
      </c>
      <c r="M59" s="1">
        <v>28</v>
      </c>
      <c r="N59" s="1">
        <v>34</v>
      </c>
      <c r="O59" s="1">
        <v>10</v>
      </c>
      <c r="P59" s="1">
        <v>17</v>
      </c>
      <c r="Q59" s="1">
        <v>23</v>
      </c>
      <c r="R59" s="1">
        <v>12</v>
      </c>
      <c r="S59" s="1">
        <v>23</v>
      </c>
      <c r="T59" s="1">
        <v>25</v>
      </c>
      <c r="U59" s="1">
        <v>12</v>
      </c>
      <c r="V59" s="1">
        <v>25</v>
      </c>
      <c r="W59" s="1">
        <v>19</v>
      </c>
      <c r="X59" s="1">
        <v>14</v>
      </c>
      <c r="Y59" s="1">
        <v>8</v>
      </c>
    </row>
    <row r="60" spans="1:25" x14ac:dyDescent="0.3">
      <c r="A60" s="2">
        <v>43128</v>
      </c>
      <c r="B60" s="1">
        <v>8</v>
      </c>
      <c r="C60" s="1">
        <v>8</v>
      </c>
      <c r="D60" s="1">
        <v>9</v>
      </c>
      <c r="E60" s="1">
        <v>4</v>
      </c>
      <c r="F60" s="1">
        <v>10</v>
      </c>
      <c r="G60" s="1">
        <v>7</v>
      </c>
      <c r="H60" s="1">
        <v>6</v>
      </c>
      <c r="I60" s="1">
        <v>13</v>
      </c>
      <c r="J60" s="1">
        <v>14</v>
      </c>
      <c r="K60" s="1">
        <v>29</v>
      </c>
      <c r="L60" s="1">
        <v>19</v>
      </c>
      <c r="M60" s="1">
        <v>15</v>
      </c>
      <c r="N60" s="1">
        <v>14</v>
      </c>
      <c r="O60" s="1">
        <v>20</v>
      </c>
      <c r="P60" s="1">
        <v>19</v>
      </c>
      <c r="Q60" s="1">
        <v>17</v>
      </c>
      <c r="R60" s="1">
        <v>18</v>
      </c>
      <c r="S60" s="1">
        <v>26</v>
      </c>
      <c r="T60" s="1">
        <v>10</v>
      </c>
      <c r="U60" s="1">
        <v>11</v>
      </c>
      <c r="V60" s="1">
        <v>16</v>
      </c>
      <c r="W60" s="1">
        <v>12</v>
      </c>
      <c r="X60" s="1">
        <v>17</v>
      </c>
      <c r="Y60" s="1">
        <v>8</v>
      </c>
    </row>
    <row r="61" spans="1:25" x14ac:dyDescent="0.3">
      <c r="A61" s="2">
        <v>43129</v>
      </c>
      <c r="B61" s="1">
        <v>8</v>
      </c>
      <c r="C61" s="1">
        <v>2</v>
      </c>
      <c r="D61" s="1">
        <v>5</v>
      </c>
      <c r="E61" s="1">
        <v>4</v>
      </c>
      <c r="F61" s="1">
        <v>6</v>
      </c>
      <c r="G61" s="1">
        <v>6</v>
      </c>
      <c r="H61" s="1">
        <v>6</v>
      </c>
      <c r="I61" s="1">
        <v>13</v>
      </c>
      <c r="J61" s="1">
        <v>19</v>
      </c>
      <c r="K61" s="1">
        <v>18</v>
      </c>
      <c r="L61" s="1">
        <v>18</v>
      </c>
      <c r="M61" s="1">
        <v>27</v>
      </c>
      <c r="N61" s="1">
        <v>13</v>
      </c>
      <c r="O61" s="1">
        <v>26</v>
      </c>
      <c r="P61" s="1">
        <v>15</v>
      </c>
      <c r="Q61" s="1">
        <v>20</v>
      </c>
      <c r="R61" s="1">
        <v>26</v>
      </c>
      <c r="S61" s="1">
        <v>10</v>
      </c>
      <c r="T61" s="1">
        <v>27</v>
      </c>
      <c r="U61" s="1">
        <v>20</v>
      </c>
      <c r="V61" s="1">
        <v>16</v>
      </c>
      <c r="W61" s="1">
        <v>15</v>
      </c>
      <c r="X61" s="1">
        <v>11</v>
      </c>
      <c r="Y61" s="1">
        <v>10</v>
      </c>
    </row>
    <row r="62" spans="1:25" x14ac:dyDescent="0.3">
      <c r="A62" s="2">
        <v>43130</v>
      </c>
      <c r="B62" s="1">
        <v>5</v>
      </c>
      <c r="C62" s="1">
        <v>8</v>
      </c>
      <c r="D62" s="1">
        <v>5</v>
      </c>
      <c r="E62" s="1">
        <v>4</v>
      </c>
      <c r="F62" s="1">
        <v>9</v>
      </c>
      <c r="G62" s="1">
        <v>7</v>
      </c>
      <c r="H62" s="1">
        <v>10</v>
      </c>
      <c r="I62" s="1">
        <v>16</v>
      </c>
      <c r="J62" s="1">
        <v>27</v>
      </c>
      <c r="K62" s="1">
        <v>25</v>
      </c>
      <c r="L62" s="1">
        <v>20</v>
      </c>
      <c r="M62" s="1">
        <v>12</v>
      </c>
      <c r="N62" s="1">
        <v>21</v>
      </c>
      <c r="O62" s="1">
        <v>26</v>
      </c>
      <c r="P62" s="1">
        <v>23</v>
      </c>
      <c r="Q62" s="1">
        <v>24</v>
      </c>
      <c r="R62" s="1">
        <v>33</v>
      </c>
      <c r="S62" s="1">
        <v>30</v>
      </c>
      <c r="T62" s="1">
        <v>18</v>
      </c>
      <c r="U62" s="1">
        <v>10</v>
      </c>
      <c r="V62" s="1">
        <v>12</v>
      </c>
      <c r="W62" s="1">
        <v>6</v>
      </c>
      <c r="X62" s="1">
        <v>16</v>
      </c>
      <c r="Y62" s="1">
        <v>10</v>
      </c>
    </row>
    <row r="63" spans="1:25" x14ac:dyDescent="0.3">
      <c r="A63" s="2">
        <v>43131</v>
      </c>
      <c r="B63" s="1">
        <v>3</v>
      </c>
      <c r="C63" s="1">
        <v>2</v>
      </c>
      <c r="D63" s="1">
        <v>6</v>
      </c>
      <c r="E63" s="1">
        <v>5</v>
      </c>
      <c r="F63" s="1">
        <v>4</v>
      </c>
      <c r="G63" s="1">
        <v>2</v>
      </c>
      <c r="H63" s="1">
        <v>11</v>
      </c>
      <c r="I63" s="1">
        <v>23</v>
      </c>
      <c r="J63" s="1">
        <v>22</v>
      </c>
      <c r="K63" s="1">
        <v>22</v>
      </c>
      <c r="L63" s="1">
        <v>15</v>
      </c>
      <c r="M63" s="1">
        <v>26</v>
      </c>
      <c r="N63" s="1">
        <v>17</v>
      </c>
      <c r="O63" s="1">
        <v>19</v>
      </c>
      <c r="P63" s="1">
        <v>20</v>
      </c>
      <c r="Q63" s="1">
        <v>23</v>
      </c>
      <c r="R63" s="1">
        <v>33</v>
      </c>
      <c r="S63" s="1">
        <v>25</v>
      </c>
      <c r="T63" s="1">
        <v>26</v>
      </c>
      <c r="U63" s="1">
        <v>18</v>
      </c>
      <c r="V63" s="1">
        <v>11</v>
      </c>
      <c r="W63" s="1">
        <v>7</v>
      </c>
      <c r="X63" s="1">
        <v>8</v>
      </c>
      <c r="Y63" s="1">
        <v>4</v>
      </c>
    </row>
    <row r="64" spans="1:25" x14ac:dyDescent="0.3">
      <c r="A64" s="2">
        <v>43132</v>
      </c>
      <c r="B64" s="1">
        <v>9</v>
      </c>
      <c r="C64" s="1">
        <v>9</v>
      </c>
      <c r="D64" s="1">
        <v>4</v>
      </c>
      <c r="E64" s="1">
        <v>4</v>
      </c>
      <c r="F64" s="1">
        <v>5</v>
      </c>
      <c r="G64" s="1">
        <v>12</v>
      </c>
      <c r="H64" s="1">
        <v>10</v>
      </c>
      <c r="I64" s="1">
        <v>19</v>
      </c>
      <c r="J64" s="1">
        <v>27</v>
      </c>
      <c r="K64" s="1">
        <v>27</v>
      </c>
      <c r="L64" s="1">
        <v>19</v>
      </c>
      <c r="M64" s="1">
        <v>21</v>
      </c>
      <c r="N64" s="1">
        <v>19</v>
      </c>
      <c r="O64" s="1">
        <v>24</v>
      </c>
      <c r="P64" s="1">
        <v>32</v>
      </c>
      <c r="Q64" s="1">
        <v>16</v>
      </c>
      <c r="R64" s="1">
        <v>22</v>
      </c>
      <c r="S64" s="1">
        <v>19</v>
      </c>
      <c r="T64" s="1">
        <v>24</v>
      </c>
      <c r="U64" s="1">
        <v>20</v>
      </c>
      <c r="V64" s="1">
        <v>16</v>
      </c>
      <c r="W64" s="1">
        <v>18</v>
      </c>
      <c r="X64" s="1">
        <v>11</v>
      </c>
      <c r="Y64" s="1">
        <v>12</v>
      </c>
    </row>
    <row r="65" spans="1:25" x14ac:dyDescent="0.3">
      <c r="A65" s="2">
        <v>43133</v>
      </c>
      <c r="B65" s="1">
        <v>13</v>
      </c>
      <c r="C65" s="1">
        <v>11</v>
      </c>
      <c r="D65" s="1">
        <v>4</v>
      </c>
      <c r="E65" s="1">
        <v>7</v>
      </c>
      <c r="F65" s="1">
        <v>11</v>
      </c>
      <c r="G65" s="1">
        <v>7</v>
      </c>
      <c r="H65" s="1">
        <v>9</v>
      </c>
      <c r="I65" s="1">
        <v>17</v>
      </c>
      <c r="J65" s="1">
        <v>22</v>
      </c>
      <c r="K65" s="1">
        <v>24</v>
      </c>
      <c r="L65" s="1">
        <v>15</v>
      </c>
      <c r="M65" s="1">
        <v>19</v>
      </c>
      <c r="N65" s="1">
        <v>27</v>
      </c>
      <c r="O65" s="1">
        <v>25</v>
      </c>
      <c r="P65" s="1">
        <v>30</v>
      </c>
      <c r="Q65" s="1">
        <v>34</v>
      </c>
      <c r="R65" s="1">
        <v>39</v>
      </c>
      <c r="S65" s="1">
        <v>35</v>
      </c>
      <c r="T65" s="1">
        <v>26</v>
      </c>
      <c r="U65" s="1">
        <v>18</v>
      </c>
      <c r="V65" s="1">
        <v>16</v>
      </c>
      <c r="W65" s="1">
        <v>22</v>
      </c>
      <c r="X65" s="1">
        <v>12</v>
      </c>
      <c r="Y65" s="1">
        <v>6</v>
      </c>
    </row>
    <row r="66" spans="1:25" x14ac:dyDescent="0.3">
      <c r="A66" s="2">
        <v>43134</v>
      </c>
      <c r="B66" s="1">
        <v>7</v>
      </c>
      <c r="C66" s="1">
        <v>10</v>
      </c>
      <c r="D66" s="1">
        <v>9</v>
      </c>
      <c r="E66" s="1">
        <v>2</v>
      </c>
      <c r="F66" s="1">
        <v>7</v>
      </c>
      <c r="G66" s="1">
        <v>7</v>
      </c>
      <c r="H66" s="1">
        <v>4</v>
      </c>
      <c r="I66" s="1">
        <v>16</v>
      </c>
      <c r="J66" s="1">
        <v>10</v>
      </c>
      <c r="K66" s="1">
        <v>19</v>
      </c>
      <c r="L66" s="1">
        <v>17</v>
      </c>
      <c r="M66" s="1">
        <v>27</v>
      </c>
      <c r="N66" s="1">
        <v>23</v>
      </c>
      <c r="O66" s="1">
        <v>20</v>
      </c>
      <c r="P66" s="1">
        <v>27</v>
      </c>
      <c r="Q66" s="1">
        <v>23</v>
      </c>
      <c r="R66" s="1">
        <v>14</v>
      </c>
      <c r="S66" s="1">
        <v>21</v>
      </c>
      <c r="T66" s="1">
        <v>9</v>
      </c>
      <c r="U66" s="1">
        <v>22</v>
      </c>
      <c r="V66" s="1">
        <v>20</v>
      </c>
      <c r="W66" s="1">
        <v>22</v>
      </c>
      <c r="X66" s="1">
        <v>8</v>
      </c>
      <c r="Y66" s="1">
        <v>15</v>
      </c>
    </row>
    <row r="67" spans="1:25" x14ac:dyDescent="0.3">
      <c r="A67" s="2">
        <v>43135</v>
      </c>
      <c r="B67" s="1">
        <v>8</v>
      </c>
      <c r="C67" s="1">
        <v>10</v>
      </c>
      <c r="D67" s="1">
        <v>7</v>
      </c>
      <c r="E67" s="1">
        <v>6</v>
      </c>
      <c r="F67" s="1">
        <v>1</v>
      </c>
      <c r="G67" s="1">
        <v>4</v>
      </c>
      <c r="H67" s="1">
        <v>3</v>
      </c>
      <c r="I67" s="1">
        <v>14</v>
      </c>
      <c r="J67" s="1">
        <v>14</v>
      </c>
      <c r="K67" s="1">
        <v>11</v>
      </c>
      <c r="L67" s="1">
        <v>9</v>
      </c>
      <c r="M67" s="1">
        <v>25</v>
      </c>
      <c r="N67" s="1">
        <v>20</v>
      </c>
      <c r="O67" s="1">
        <v>17</v>
      </c>
      <c r="P67" s="1">
        <v>10</v>
      </c>
      <c r="Q67" s="1">
        <v>12</v>
      </c>
      <c r="R67" s="1">
        <v>14</v>
      </c>
      <c r="S67" s="1">
        <v>18</v>
      </c>
      <c r="T67" s="1">
        <v>28</v>
      </c>
      <c r="U67" s="1">
        <v>11</v>
      </c>
      <c r="V67" s="1">
        <v>21</v>
      </c>
      <c r="W67" s="1">
        <v>4</v>
      </c>
      <c r="X67" s="1">
        <v>44</v>
      </c>
      <c r="Y67" s="1">
        <v>81</v>
      </c>
    </row>
    <row r="68" spans="1:25" x14ac:dyDescent="0.3">
      <c r="A68" s="2">
        <v>43136</v>
      </c>
      <c r="B68" s="1">
        <v>34</v>
      </c>
      <c r="C68" s="1">
        <v>23</v>
      </c>
      <c r="D68" s="1">
        <v>10</v>
      </c>
      <c r="E68" s="1">
        <v>9</v>
      </c>
      <c r="F68" s="1">
        <v>8</v>
      </c>
      <c r="G68" s="1">
        <v>22</v>
      </c>
      <c r="H68" s="1">
        <v>29</v>
      </c>
      <c r="I68" s="1">
        <v>38</v>
      </c>
      <c r="J68" s="1">
        <v>32</v>
      </c>
      <c r="K68" s="1">
        <v>23</v>
      </c>
      <c r="L68" s="1">
        <v>15</v>
      </c>
      <c r="M68" s="1">
        <v>31</v>
      </c>
      <c r="N68" s="1">
        <v>19</v>
      </c>
      <c r="O68" s="1">
        <v>33</v>
      </c>
      <c r="P68" s="1">
        <v>20</v>
      </c>
      <c r="Q68" s="1">
        <v>38</v>
      </c>
      <c r="R68" s="1">
        <v>24</v>
      </c>
      <c r="S68" s="1">
        <v>26</v>
      </c>
      <c r="T68" s="1">
        <v>20</v>
      </c>
      <c r="U68" s="1">
        <v>9</v>
      </c>
      <c r="V68" s="1">
        <v>17</v>
      </c>
      <c r="W68" s="1">
        <v>22</v>
      </c>
      <c r="X68" s="1">
        <v>6</v>
      </c>
      <c r="Y68" s="1">
        <v>6</v>
      </c>
    </row>
    <row r="69" spans="1:25" x14ac:dyDescent="0.3">
      <c r="A69" s="2">
        <v>43137</v>
      </c>
      <c r="B69" s="1">
        <v>1</v>
      </c>
      <c r="C69" s="1">
        <v>5</v>
      </c>
      <c r="D69" s="1">
        <v>5</v>
      </c>
      <c r="E69" s="1">
        <v>7</v>
      </c>
      <c r="F69" s="1">
        <v>6</v>
      </c>
      <c r="G69" s="1">
        <v>4</v>
      </c>
      <c r="H69" s="1">
        <v>21</v>
      </c>
      <c r="I69" s="1">
        <v>28</v>
      </c>
      <c r="J69" s="1">
        <v>25</v>
      </c>
      <c r="K69" s="1">
        <v>29</v>
      </c>
      <c r="L69" s="1">
        <v>13</v>
      </c>
      <c r="M69" s="1">
        <v>17</v>
      </c>
      <c r="N69" s="1">
        <v>30</v>
      </c>
      <c r="O69" s="1">
        <v>18</v>
      </c>
      <c r="P69" s="1">
        <v>21</v>
      </c>
      <c r="Q69" s="1">
        <v>21</v>
      </c>
      <c r="R69" s="1">
        <v>21</v>
      </c>
      <c r="S69" s="1">
        <v>12</v>
      </c>
      <c r="T69" s="1">
        <v>36</v>
      </c>
      <c r="U69" s="1">
        <v>13</v>
      </c>
      <c r="V69" s="1">
        <v>11</v>
      </c>
      <c r="W69" s="1">
        <v>8</v>
      </c>
      <c r="X69" s="1">
        <v>10</v>
      </c>
      <c r="Y69" s="1">
        <v>7</v>
      </c>
    </row>
    <row r="70" spans="1:25" x14ac:dyDescent="0.3">
      <c r="A70" s="2">
        <v>43138</v>
      </c>
      <c r="B70" s="1">
        <v>17</v>
      </c>
      <c r="C70" s="1">
        <v>10</v>
      </c>
      <c r="D70" s="1">
        <v>3</v>
      </c>
      <c r="E70" s="1">
        <v>7</v>
      </c>
      <c r="F70" s="1">
        <v>6</v>
      </c>
      <c r="G70" s="1">
        <v>4</v>
      </c>
      <c r="H70" s="1">
        <v>8</v>
      </c>
      <c r="I70" s="1">
        <v>18</v>
      </c>
      <c r="J70" s="1">
        <v>41</v>
      </c>
      <c r="K70" s="1">
        <v>35</v>
      </c>
      <c r="L70" s="1">
        <v>18</v>
      </c>
      <c r="M70" s="1">
        <v>19</v>
      </c>
      <c r="N70" s="1">
        <v>36</v>
      </c>
      <c r="O70" s="1">
        <v>21</v>
      </c>
      <c r="P70" s="1">
        <v>18</v>
      </c>
      <c r="Q70" s="1">
        <v>27</v>
      </c>
      <c r="R70" s="1">
        <v>25</v>
      </c>
      <c r="S70" s="1">
        <v>30</v>
      </c>
      <c r="T70" s="1">
        <v>18</v>
      </c>
      <c r="U70" s="1">
        <v>27</v>
      </c>
      <c r="V70" s="1">
        <v>30</v>
      </c>
      <c r="W70" s="1">
        <v>14</v>
      </c>
      <c r="X70" s="1">
        <v>10</v>
      </c>
      <c r="Y70" s="1">
        <v>9</v>
      </c>
    </row>
    <row r="71" spans="1:25" x14ac:dyDescent="0.3">
      <c r="A71" s="2">
        <v>43139</v>
      </c>
      <c r="B71" s="1">
        <v>5</v>
      </c>
      <c r="C71" s="1">
        <v>10</v>
      </c>
      <c r="D71" s="1">
        <v>5</v>
      </c>
      <c r="E71" s="1">
        <v>4</v>
      </c>
      <c r="F71" s="1">
        <v>2</v>
      </c>
      <c r="G71" s="1">
        <v>11</v>
      </c>
      <c r="H71" s="1">
        <v>15</v>
      </c>
      <c r="I71" s="1">
        <v>11</v>
      </c>
      <c r="J71" s="1">
        <v>18</v>
      </c>
      <c r="K71" s="1">
        <v>25</v>
      </c>
      <c r="L71" s="1">
        <v>15</v>
      </c>
      <c r="M71" s="1">
        <v>25</v>
      </c>
      <c r="N71" s="1">
        <v>20</v>
      </c>
      <c r="O71" s="1">
        <v>12</v>
      </c>
      <c r="P71" s="1">
        <v>16</v>
      </c>
      <c r="Q71" s="1">
        <v>21</v>
      </c>
      <c r="R71" s="1">
        <v>28</v>
      </c>
      <c r="S71" s="1">
        <v>20</v>
      </c>
      <c r="T71" s="1">
        <v>26</v>
      </c>
      <c r="U71" s="1">
        <v>18</v>
      </c>
      <c r="V71" s="1">
        <v>20</v>
      </c>
      <c r="W71" s="1">
        <v>20</v>
      </c>
      <c r="X71" s="1">
        <v>9</v>
      </c>
      <c r="Y71" s="1">
        <v>7</v>
      </c>
    </row>
    <row r="72" spans="1:25" x14ac:dyDescent="0.3">
      <c r="A72" s="2">
        <v>43140</v>
      </c>
      <c r="B72" s="1">
        <v>9</v>
      </c>
      <c r="C72" s="1">
        <v>7</v>
      </c>
      <c r="D72" s="1">
        <v>9</v>
      </c>
      <c r="E72" s="1">
        <v>5</v>
      </c>
      <c r="F72" s="1">
        <v>5</v>
      </c>
      <c r="G72" s="1">
        <v>5</v>
      </c>
      <c r="H72" s="1">
        <v>7</v>
      </c>
      <c r="I72" s="1">
        <v>13</v>
      </c>
      <c r="J72" s="1">
        <v>31</v>
      </c>
      <c r="K72" s="1">
        <v>31</v>
      </c>
      <c r="L72" s="1">
        <v>21</v>
      </c>
      <c r="M72" s="1">
        <v>24</v>
      </c>
      <c r="N72" s="1">
        <v>25</v>
      </c>
      <c r="O72" s="1">
        <v>26</v>
      </c>
      <c r="P72" s="1">
        <v>24</v>
      </c>
      <c r="Q72" s="1">
        <v>22</v>
      </c>
      <c r="R72" s="1">
        <v>34</v>
      </c>
      <c r="S72" s="1">
        <v>18</v>
      </c>
      <c r="T72" s="1">
        <v>25</v>
      </c>
      <c r="U72" s="1">
        <v>24</v>
      </c>
      <c r="V72" s="1">
        <v>14</v>
      </c>
      <c r="W72" s="1">
        <v>11</v>
      </c>
      <c r="X72" s="1">
        <v>12</v>
      </c>
      <c r="Y72" s="1">
        <v>11</v>
      </c>
    </row>
    <row r="73" spans="1:25" x14ac:dyDescent="0.3">
      <c r="A73" s="2">
        <v>43141</v>
      </c>
      <c r="B73" s="1">
        <v>15</v>
      </c>
      <c r="C73" s="1">
        <v>12</v>
      </c>
      <c r="D73" s="1">
        <v>14</v>
      </c>
      <c r="E73" s="1">
        <v>9</v>
      </c>
      <c r="F73" s="1">
        <v>2</v>
      </c>
      <c r="G73" s="1">
        <v>4</v>
      </c>
      <c r="H73" s="1">
        <v>8</v>
      </c>
      <c r="I73" s="1">
        <v>10</v>
      </c>
      <c r="J73" s="1">
        <v>13</v>
      </c>
      <c r="K73" s="1">
        <v>16</v>
      </c>
      <c r="L73" s="1">
        <v>18</v>
      </c>
      <c r="M73" s="1">
        <v>22</v>
      </c>
      <c r="N73" s="1">
        <v>25</v>
      </c>
      <c r="O73" s="1">
        <v>33</v>
      </c>
      <c r="P73" s="1">
        <v>30</v>
      </c>
      <c r="Q73" s="1">
        <v>12</v>
      </c>
      <c r="R73" s="1">
        <v>20</v>
      </c>
      <c r="S73" s="1">
        <v>23</v>
      </c>
      <c r="T73" s="1">
        <v>16</v>
      </c>
      <c r="U73" s="1">
        <v>20</v>
      </c>
      <c r="V73" s="1">
        <v>21</v>
      </c>
      <c r="W73" s="1">
        <v>13</v>
      </c>
      <c r="X73" s="1">
        <v>12</v>
      </c>
      <c r="Y73" s="1">
        <v>14</v>
      </c>
    </row>
    <row r="74" spans="1:25" x14ac:dyDescent="0.3">
      <c r="A74" s="2">
        <v>43142</v>
      </c>
      <c r="B74" s="1">
        <v>16</v>
      </c>
      <c r="C74" s="1">
        <v>5</v>
      </c>
      <c r="D74" s="1">
        <v>11</v>
      </c>
      <c r="E74" s="1">
        <v>3</v>
      </c>
      <c r="F74" s="1">
        <v>10</v>
      </c>
      <c r="G74" s="1">
        <v>4</v>
      </c>
      <c r="H74" s="1">
        <v>11</v>
      </c>
      <c r="I74" s="1">
        <v>16</v>
      </c>
      <c r="J74" s="1">
        <v>9</v>
      </c>
      <c r="K74" s="1">
        <v>18</v>
      </c>
      <c r="L74" s="1">
        <v>21</v>
      </c>
      <c r="M74" s="1">
        <v>24</v>
      </c>
      <c r="N74" s="1">
        <v>26</v>
      </c>
      <c r="O74" s="1">
        <v>25</v>
      </c>
      <c r="P74" s="1">
        <v>24</v>
      </c>
      <c r="Q74" s="1">
        <v>20</v>
      </c>
      <c r="R74" s="1">
        <v>10</v>
      </c>
      <c r="S74" s="1">
        <v>27</v>
      </c>
      <c r="T74" s="1">
        <v>18</v>
      </c>
      <c r="U74" s="1">
        <v>29</v>
      </c>
      <c r="V74" s="1">
        <v>19</v>
      </c>
      <c r="W74" s="1">
        <v>17</v>
      </c>
      <c r="X74" s="1">
        <v>14</v>
      </c>
      <c r="Y74" s="1">
        <v>13</v>
      </c>
    </row>
    <row r="75" spans="1:25" x14ac:dyDescent="0.3">
      <c r="A75" s="2">
        <v>43143</v>
      </c>
      <c r="B75" s="1">
        <v>5</v>
      </c>
      <c r="C75" s="1">
        <v>10</v>
      </c>
      <c r="D75" s="1">
        <v>4</v>
      </c>
      <c r="E75" s="1">
        <v>4</v>
      </c>
      <c r="F75" s="1">
        <v>7</v>
      </c>
      <c r="G75" s="1">
        <v>3</v>
      </c>
      <c r="H75" s="1">
        <v>15</v>
      </c>
      <c r="I75" s="1">
        <v>20</v>
      </c>
      <c r="J75" s="1">
        <v>26</v>
      </c>
      <c r="K75" s="1">
        <v>26</v>
      </c>
      <c r="L75" s="1">
        <v>15</v>
      </c>
      <c r="M75" s="1">
        <v>28</v>
      </c>
      <c r="N75" s="1">
        <v>18</v>
      </c>
      <c r="O75" s="1">
        <v>16</v>
      </c>
      <c r="P75" s="1">
        <v>21</v>
      </c>
      <c r="Q75" s="1">
        <v>25</v>
      </c>
      <c r="R75" s="1">
        <v>20</v>
      </c>
      <c r="S75" s="1">
        <v>26</v>
      </c>
      <c r="T75" s="1">
        <v>28</v>
      </c>
      <c r="U75" s="1">
        <v>24</v>
      </c>
      <c r="V75" s="1">
        <v>14</v>
      </c>
      <c r="W75" s="1">
        <v>8</v>
      </c>
      <c r="X75" s="1">
        <v>19</v>
      </c>
      <c r="Y75" s="1">
        <v>5</v>
      </c>
    </row>
    <row r="76" spans="1:25" x14ac:dyDescent="0.3">
      <c r="A76" s="2">
        <v>43144</v>
      </c>
      <c r="B76" s="1">
        <v>1</v>
      </c>
      <c r="C76" s="1">
        <v>5</v>
      </c>
      <c r="D76" s="1">
        <v>6</v>
      </c>
      <c r="E76" s="1">
        <v>3</v>
      </c>
      <c r="F76" s="1">
        <v>8</v>
      </c>
      <c r="G76" s="1">
        <v>5</v>
      </c>
      <c r="H76" s="1">
        <v>17</v>
      </c>
      <c r="I76" s="1">
        <v>20</v>
      </c>
      <c r="J76" s="1">
        <v>35</v>
      </c>
      <c r="K76" s="1">
        <v>21</v>
      </c>
      <c r="L76" s="1">
        <v>25</v>
      </c>
      <c r="M76" s="1">
        <v>23</v>
      </c>
      <c r="N76" s="1">
        <v>32</v>
      </c>
      <c r="O76" s="1">
        <v>23</v>
      </c>
      <c r="P76" s="1">
        <v>28</v>
      </c>
      <c r="Q76" s="1">
        <v>17</v>
      </c>
      <c r="R76" s="1">
        <v>25</v>
      </c>
      <c r="S76" s="1">
        <v>21</v>
      </c>
      <c r="T76" s="1">
        <v>29</v>
      </c>
      <c r="U76" s="1">
        <v>17</v>
      </c>
      <c r="V76" s="1">
        <v>15</v>
      </c>
      <c r="W76" s="1">
        <v>21</v>
      </c>
      <c r="X76" s="1">
        <v>11</v>
      </c>
      <c r="Y76" s="1">
        <v>7</v>
      </c>
    </row>
    <row r="77" spans="1:25" x14ac:dyDescent="0.3">
      <c r="A77" s="2">
        <v>43145</v>
      </c>
      <c r="B77" s="1">
        <v>6</v>
      </c>
      <c r="C77" s="1">
        <v>3</v>
      </c>
      <c r="D77" s="1">
        <v>5</v>
      </c>
      <c r="E77" s="1">
        <v>3</v>
      </c>
      <c r="F77" s="1">
        <v>4</v>
      </c>
      <c r="G77" s="1">
        <v>6</v>
      </c>
      <c r="H77" s="1">
        <v>14</v>
      </c>
      <c r="I77" s="1">
        <v>29</v>
      </c>
      <c r="J77" s="1">
        <v>38</v>
      </c>
      <c r="K77" s="1">
        <v>28</v>
      </c>
      <c r="L77" s="1">
        <v>19</v>
      </c>
      <c r="M77" s="1">
        <v>32</v>
      </c>
      <c r="N77" s="1">
        <v>33</v>
      </c>
      <c r="O77" s="1">
        <v>13</v>
      </c>
      <c r="P77" s="1">
        <v>28</v>
      </c>
      <c r="Q77" s="1">
        <v>21</v>
      </c>
      <c r="R77" s="1">
        <v>29</v>
      </c>
      <c r="S77" s="1">
        <v>24</v>
      </c>
      <c r="T77" s="1">
        <v>33</v>
      </c>
      <c r="U77" s="1">
        <v>20</v>
      </c>
      <c r="V77" s="1">
        <v>20</v>
      </c>
      <c r="W77" s="1">
        <v>12</v>
      </c>
      <c r="X77" s="1">
        <v>8</v>
      </c>
      <c r="Y77" s="1">
        <v>9</v>
      </c>
    </row>
    <row r="78" spans="1:25" x14ac:dyDescent="0.3">
      <c r="A78" s="2">
        <v>43146</v>
      </c>
      <c r="B78" s="1">
        <v>10</v>
      </c>
      <c r="C78" s="1">
        <v>3</v>
      </c>
      <c r="D78" s="1">
        <v>5</v>
      </c>
      <c r="E78" s="1">
        <v>6</v>
      </c>
      <c r="F78" s="1">
        <v>5</v>
      </c>
      <c r="G78" s="1">
        <v>2</v>
      </c>
      <c r="H78" s="1">
        <v>11</v>
      </c>
      <c r="I78" s="1">
        <v>22</v>
      </c>
      <c r="J78" s="1">
        <v>22</v>
      </c>
      <c r="K78" s="1">
        <v>25</v>
      </c>
      <c r="L78" s="1">
        <v>30</v>
      </c>
      <c r="M78" s="1">
        <v>22</v>
      </c>
      <c r="N78" s="1">
        <v>20</v>
      </c>
      <c r="O78" s="1">
        <v>23</v>
      </c>
      <c r="P78" s="1">
        <v>22</v>
      </c>
      <c r="Q78" s="1">
        <v>15</v>
      </c>
      <c r="R78" s="1">
        <v>27</v>
      </c>
      <c r="S78" s="1">
        <v>33</v>
      </c>
      <c r="T78" s="1">
        <v>28</v>
      </c>
      <c r="U78" s="1">
        <v>16</v>
      </c>
      <c r="V78" s="1">
        <v>25</v>
      </c>
      <c r="W78" s="1">
        <v>17</v>
      </c>
      <c r="X78" s="1">
        <v>11</v>
      </c>
      <c r="Y78" s="1">
        <v>9</v>
      </c>
    </row>
    <row r="79" spans="1:25" x14ac:dyDescent="0.3">
      <c r="A79" s="2">
        <v>43147</v>
      </c>
      <c r="B79" s="1">
        <v>7</v>
      </c>
      <c r="C79" s="1">
        <v>9</v>
      </c>
      <c r="D79" s="1">
        <v>7</v>
      </c>
      <c r="E79" s="1">
        <v>3</v>
      </c>
      <c r="F79" s="1">
        <v>9</v>
      </c>
      <c r="G79" s="1">
        <v>5</v>
      </c>
      <c r="H79" s="1">
        <v>5</v>
      </c>
      <c r="I79" s="1">
        <v>31</v>
      </c>
      <c r="J79" s="1">
        <v>21</v>
      </c>
      <c r="K79" s="1">
        <v>26</v>
      </c>
      <c r="L79" s="1">
        <v>21</v>
      </c>
      <c r="M79" s="1">
        <v>19</v>
      </c>
      <c r="N79" s="1">
        <v>24</v>
      </c>
      <c r="O79" s="1">
        <v>17</v>
      </c>
      <c r="P79" s="1">
        <v>28</v>
      </c>
      <c r="Q79" s="1">
        <v>36</v>
      </c>
      <c r="R79" s="1">
        <v>18</v>
      </c>
      <c r="S79" s="1">
        <v>23</v>
      </c>
      <c r="T79" s="1">
        <v>26</v>
      </c>
      <c r="U79" s="1">
        <v>16</v>
      </c>
      <c r="V79" s="1">
        <v>13</v>
      </c>
      <c r="W79" s="1">
        <v>14</v>
      </c>
      <c r="X79" s="1">
        <v>18</v>
      </c>
      <c r="Y79" s="1">
        <v>10</v>
      </c>
    </row>
    <row r="80" spans="1:25" x14ac:dyDescent="0.3">
      <c r="A80" s="2">
        <v>43148</v>
      </c>
      <c r="B80" s="1">
        <v>4</v>
      </c>
      <c r="C80" s="1">
        <v>10</v>
      </c>
      <c r="D80" s="1">
        <v>8</v>
      </c>
      <c r="E80" s="1">
        <v>4</v>
      </c>
      <c r="F80" s="1">
        <v>9</v>
      </c>
      <c r="G80" s="1">
        <v>2</v>
      </c>
      <c r="H80" s="1">
        <v>7</v>
      </c>
      <c r="I80" s="1">
        <v>14</v>
      </c>
      <c r="J80" s="1">
        <v>10</v>
      </c>
      <c r="K80" s="1">
        <v>11</v>
      </c>
      <c r="L80" s="1">
        <v>15</v>
      </c>
      <c r="M80" s="1">
        <v>27</v>
      </c>
      <c r="N80" s="1">
        <v>22</v>
      </c>
      <c r="O80" s="1">
        <v>21</v>
      </c>
      <c r="P80" s="1">
        <v>15</v>
      </c>
      <c r="Q80" s="1">
        <v>19</v>
      </c>
      <c r="R80" s="1">
        <v>18</v>
      </c>
      <c r="S80" s="1">
        <v>15</v>
      </c>
      <c r="T80" s="1">
        <v>30</v>
      </c>
      <c r="U80" s="1">
        <v>63</v>
      </c>
      <c r="V80" s="1">
        <v>69</v>
      </c>
      <c r="W80" s="1">
        <v>34</v>
      </c>
      <c r="X80" s="1">
        <v>23</v>
      </c>
      <c r="Y80" s="1">
        <v>19</v>
      </c>
    </row>
    <row r="81" spans="1:25" x14ac:dyDescent="0.3">
      <c r="A81" s="2">
        <v>43149</v>
      </c>
      <c r="B81" s="1">
        <v>10</v>
      </c>
      <c r="C81" s="1">
        <v>6</v>
      </c>
      <c r="D81" s="1">
        <v>6</v>
      </c>
      <c r="E81" s="1">
        <v>7</v>
      </c>
      <c r="F81" s="1">
        <v>6</v>
      </c>
      <c r="G81" s="1">
        <v>11</v>
      </c>
      <c r="H81" s="1">
        <v>5</v>
      </c>
      <c r="I81" s="1">
        <v>21</v>
      </c>
      <c r="J81" s="1">
        <v>24</v>
      </c>
      <c r="K81" s="1">
        <v>12</v>
      </c>
      <c r="L81" s="1">
        <v>13</v>
      </c>
      <c r="M81" s="1">
        <v>24</v>
      </c>
      <c r="N81" s="1">
        <v>15</v>
      </c>
      <c r="O81" s="1">
        <v>13</v>
      </c>
      <c r="P81" s="1">
        <v>18</v>
      </c>
      <c r="Q81" s="1">
        <v>27</v>
      </c>
      <c r="R81" s="1">
        <v>17</v>
      </c>
      <c r="S81" s="1">
        <v>27</v>
      </c>
      <c r="T81" s="1">
        <v>22</v>
      </c>
      <c r="U81" s="1">
        <v>23</v>
      </c>
      <c r="V81" s="1">
        <v>7</v>
      </c>
      <c r="W81" s="1">
        <v>13</v>
      </c>
      <c r="X81" s="1">
        <v>13</v>
      </c>
      <c r="Y81" s="1">
        <v>17</v>
      </c>
    </row>
    <row r="82" spans="1:25" x14ac:dyDescent="0.3">
      <c r="A82" s="2">
        <v>43150</v>
      </c>
      <c r="B82" s="1">
        <v>7</v>
      </c>
      <c r="C82" s="1">
        <v>7</v>
      </c>
      <c r="D82" s="1">
        <v>5</v>
      </c>
      <c r="E82" s="1">
        <v>3</v>
      </c>
      <c r="F82" s="1">
        <v>6</v>
      </c>
      <c r="G82" s="1">
        <v>15</v>
      </c>
      <c r="H82" s="1">
        <v>14</v>
      </c>
      <c r="I82" s="1">
        <v>11</v>
      </c>
      <c r="J82" s="1">
        <v>13</v>
      </c>
      <c r="K82" s="1">
        <v>25</v>
      </c>
      <c r="L82" s="1">
        <v>13</v>
      </c>
      <c r="M82" s="1">
        <v>23</v>
      </c>
      <c r="N82" s="1">
        <v>18</v>
      </c>
      <c r="O82" s="1">
        <v>32</v>
      </c>
      <c r="P82" s="1">
        <v>17</v>
      </c>
      <c r="Q82" s="1">
        <v>17</v>
      </c>
      <c r="R82" s="1">
        <v>29</v>
      </c>
      <c r="S82" s="1">
        <v>27</v>
      </c>
      <c r="T82" s="1">
        <v>14</v>
      </c>
      <c r="U82" s="1">
        <v>23</v>
      </c>
      <c r="V82" s="1">
        <v>18</v>
      </c>
      <c r="W82" s="1">
        <v>10</v>
      </c>
      <c r="X82" s="1">
        <v>8</v>
      </c>
      <c r="Y82" s="1">
        <v>10</v>
      </c>
    </row>
    <row r="83" spans="1:25" x14ac:dyDescent="0.3">
      <c r="A83" s="2">
        <v>43151</v>
      </c>
      <c r="B83" s="1">
        <v>3</v>
      </c>
      <c r="C83" s="1">
        <v>6</v>
      </c>
      <c r="D83" s="1">
        <v>2</v>
      </c>
      <c r="E83" s="1">
        <v>11</v>
      </c>
      <c r="F83" s="1">
        <v>6</v>
      </c>
      <c r="G83" s="1">
        <v>8</v>
      </c>
      <c r="H83" s="1">
        <v>10</v>
      </c>
      <c r="I83" s="1">
        <v>12</v>
      </c>
      <c r="J83" s="1">
        <v>27</v>
      </c>
      <c r="K83" s="1">
        <v>24</v>
      </c>
      <c r="L83" s="1">
        <v>20</v>
      </c>
      <c r="M83" s="1">
        <v>21</v>
      </c>
      <c r="N83" s="1">
        <v>20</v>
      </c>
      <c r="O83" s="1">
        <v>28</v>
      </c>
      <c r="P83" s="1">
        <v>31</v>
      </c>
      <c r="Q83" s="1">
        <v>29</v>
      </c>
      <c r="R83" s="1">
        <v>27</v>
      </c>
      <c r="S83" s="1">
        <v>29</v>
      </c>
      <c r="T83" s="1">
        <v>28</v>
      </c>
      <c r="U83" s="1">
        <v>23</v>
      </c>
      <c r="V83" s="1">
        <v>15</v>
      </c>
      <c r="W83" s="1">
        <v>12</v>
      </c>
      <c r="X83" s="1">
        <v>13</v>
      </c>
      <c r="Y83" s="1">
        <v>3</v>
      </c>
    </row>
    <row r="84" spans="1:25" x14ac:dyDescent="0.3">
      <c r="A84" s="2">
        <v>43152</v>
      </c>
      <c r="B84" s="1">
        <v>5</v>
      </c>
      <c r="C84" s="1">
        <v>7</v>
      </c>
      <c r="D84" s="1">
        <v>4</v>
      </c>
      <c r="E84" s="1">
        <v>2</v>
      </c>
      <c r="F84" s="1">
        <v>2</v>
      </c>
      <c r="G84" s="1">
        <v>2</v>
      </c>
      <c r="H84" s="1">
        <v>10</v>
      </c>
      <c r="I84" s="1">
        <v>18</v>
      </c>
      <c r="J84" s="1">
        <v>20</v>
      </c>
      <c r="K84" s="1">
        <v>24</v>
      </c>
      <c r="L84" s="1">
        <v>20</v>
      </c>
      <c r="M84" s="1">
        <v>22</v>
      </c>
      <c r="N84" s="1">
        <v>25</v>
      </c>
      <c r="O84" s="1">
        <v>30</v>
      </c>
      <c r="P84" s="1">
        <v>35</v>
      </c>
      <c r="Q84" s="1">
        <v>36</v>
      </c>
      <c r="R84" s="1">
        <v>40</v>
      </c>
      <c r="S84" s="1">
        <v>23</v>
      </c>
      <c r="T84" s="1">
        <v>23</v>
      </c>
      <c r="U84" s="1">
        <v>20</v>
      </c>
      <c r="V84" s="1">
        <v>21</v>
      </c>
      <c r="W84" s="1">
        <v>15</v>
      </c>
      <c r="X84" s="1">
        <v>19</v>
      </c>
      <c r="Y84" s="1">
        <v>10</v>
      </c>
    </row>
    <row r="85" spans="1:25" x14ac:dyDescent="0.3">
      <c r="A85" s="2">
        <v>43153</v>
      </c>
      <c r="B85" s="1">
        <v>7</v>
      </c>
      <c r="C85" s="1">
        <v>7</v>
      </c>
      <c r="D85" s="1">
        <v>1</v>
      </c>
      <c r="E85" s="1">
        <v>11</v>
      </c>
      <c r="F85" s="1">
        <v>4</v>
      </c>
      <c r="G85" s="1">
        <v>9</v>
      </c>
      <c r="H85" s="1">
        <v>17</v>
      </c>
      <c r="I85" s="1">
        <v>14</v>
      </c>
      <c r="J85" s="1">
        <v>21</v>
      </c>
      <c r="K85" s="1">
        <v>14</v>
      </c>
      <c r="L85" s="1">
        <v>20</v>
      </c>
      <c r="M85" s="1">
        <v>23</v>
      </c>
      <c r="N85" s="1">
        <v>26</v>
      </c>
      <c r="O85" s="1">
        <v>15</v>
      </c>
      <c r="P85" s="1">
        <v>19</v>
      </c>
      <c r="Q85" s="1">
        <v>14</v>
      </c>
      <c r="R85" s="1">
        <v>16</v>
      </c>
      <c r="S85" s="1">
        <v>22</v>
      </c>
      <c r="T85" s="1">
        <v>25</v>
      </c>
      <c r="U85" s="1">
        <v>17</v>
      </c>
      <c r="V85" s="1">
        <v>21</v>
      </c>
      <c r="W85" s="1">
        <v>9</v>
      </c>
      <c r="X85" s="1">
        <v>8</v>
      </c>
      <c r="Y85" s="1">
        <v>8</v>
      </c>
    </row>
    <row r="86" spans="1:25" x14ac:dyDescent="0.3">
      <c r="A86" s="2">
        <v>43154</v>
      </c>
      <c r="B86" s="1">
        <v>11</v>
      </c>
      <c r="C86" s="1">
        <v>8</v>
      </c>
      <c r="D86" s="1">
        <v>6</v>
      </c>
      <c r="E86" s="1">
        <v>3</v>
      </c>
      <c r="F86" s="1">
        <v>3</v>
      </c>
      <c r="G86" s="1">
        <v>6</v>
      </c>
      <c r="H86" s="1">
        <v>6</v>
      </c>
      <c r="I86" s="1">
        <v>21</v>
      </c>
      <c r="J86" s="1">
        <v>22</v>
      </c>
      <c r="K86" s="1">
        <v>20</v>
      </c>
      <c r="L86" s="1">
        <v>20</v>
      </c>
      <c r="M86" s="1">
        <v>17</v>
      </c>
      <c r="N86" s="1">
        <v>15</v>
      </c>
      <c r="O86" s="1">
        <v>24</v>
      </c>
      <c r="P86" s="1">
        <v>26</v>
      </c>
      <c r="Q86" s="1">
        <v>21</v>
      </c>
      <c r="R86" s="1">
        <v>31</v>
      </c>
      <c r="S86" s="1">
        <v>31</v>
      </c>
      <c r="T86" s="1">
        <v>30</v>
      </c>
      <c r="U86" s="1">
        <v>30</v>
      </c>
      <c r="V86" s="1">
        <v>25</v>
      </c>
      <c r="W86" s="1">
        <v>10</v>
      </c>
      <c r="X86" s="1">
        <v>11</v>
      </c>
      <c r="Y86" s="1">
        <v>12</v>
      </c>
    </row>
    <row r="87" spans="1:25" x14ac:dyDescent="0.3">
      <c r="A87" s="2">
        <v>43155</v>
      </c>
      <c r="B87" s="1">
        <v>8</v>
      </c>
      <c r="C87" s="1">
        <v>19</v>
      </c>
      <c r="D87" s="1">
        <v>9</v>
      </c>
      <c r="E87" s="1">
        <v>5</v>
      </c>
      <c r="F87" s="1">
        <v>5</v>
      </c>
      <c r="G87" s="1">
        <v>9</v>
      </c>
      <c r="H87" s="1">
        <v>9</v>
      </c>
      <c r="I87" s="1">
        <v>8</v>
      </c>
      <c r="J87" s="1">
        <v>10</v>
      </c>
      <c r="K87" s="1">
        <v>19</v>
      </c>
      <c r="L87" s="1">
        <v>15</v>
      </c>
      <c r="M87" s="1">
        <v>24</v>
      </c>
      <c r="N87" s="1">
        <v>17</v>
      </c>
      <c r="O87" s="1">
        <v>12</v>
      </c>
      <c r="P87" s="1">
        <v>24</v>
      </c>
      <c r="Q87" s="1">
        <v>23</v>
      </c>
      <c r="R87" s="1">
        <v>26</v>
      </c>
      <c r="S87" s="1">
        <v>20</v>
      </c>
      <c r="T87" s="1">
        <v>21</v>
      </c>
      <c r="U87" s="1">
        <v>15</v>
      </c>
      <c r="V87" s="1">
        <v>18</v>
      </c>
      <c r="W87" s="1">
        <v>13</v>
      </c>
      <c r="X87" s="1">
        <v>13</v>
      </c>
      <c r="Y87" s="1">
        <v>8</v>
      </c>
    </row>
    <row r="88" spans="1:25" x14ac:dyDescent="0.3">
      <c r="A88" s="2">
        <v>43156</v>
      </c>
      <c r="B88" s="1">
        <v>20</v>
      </c>
      <c r="C88" s="1">
        <v>12</v>
      </c>
      <c r="D88" s="1">
        <v>2</v>
      </c>
      <c r="E88" s="1">
        <v>8</v>
      </c>
      <c r="F88" s="1">
        <v>11</v>
      </c>
      <c r="G88" s="1">
        <v>10</v>
      </c>
      <c r="H88" s="1">
        <v>9</v>
      </c>
      <c r="I88" s="1">
        <v>8</v>
      </c>
      <c r="J88" s="1">
        <v>13</v>
      </c>
      <c r="K88" s="1">
        <v>8</v>
      </c>
      <c r="L88" s="1">
        <v>15</v>
      </c>
      <c r="M88" s="1">
        <v>18</v>
      </c>
      <c r="N88" s="1">
        <v>23</v>
      </c>
      <c r="O88" s="1">
        <v>30</v>
      </c>
      <c r="P88" s="1">
        <v>16</v>
      </c>
      <c r="Q88" s="1">
        <v>17</v>
      </c>
      <c r="R88" s="1">
        <v>17</v>
      </c>
      <c r="S88" s="1">
        <v>17</v>
      </c>
      <c r="T88" s="1">
        <v>14</v>
      </c>
      <c r="U88" s="1">
        <v>17</v>
      </c>
      <c r="V88" s="1">
        <v>15</v>
      </c>
      <c r="W88" s="1">
        <v>12</v>
      </c>
      <c r="X88" s="1">
        <v>6</v>
      </c>
      <c r="Y88" s="1">
        <v>10</v>
      </c>
    </row>
    <row r="89" spans="1:25" x14ac:dyDescent="0.3">
      <c r="A89" s="2">
        <v>43157</v>
      </c>
      <c r="B89" s="1">
        <v>7</v>
      </c>
      <c r="C89" s="1">
        <v>6</v>
      </c>
      <c r="D89" s="1">
        <v>5</v>
      </c>
      <c r="E89" s="1">
        <v>4</v>
      </c>
      <c r="F89" s="1">
        <v>6</v>
      </c>
      <c r="G89" s="1">
        <v>7</v>
      </c>
      <c r="H89" s="1">
        <v>16</v>
      </c>
      <c r="I89" s="1">
        <v>21</v>
      </c>
      <c r="J89" s="1">
        <v>26</v>
      </c>
      <c r="K89" s="1">
        <v>17</v>
      </c>
      <c r="L89" s="1">
        <v>27</v>
      </c>
      <c r="M89" s="1">
        <v>38</v>
      </c>
      <c r="N89" s="1">
        <v>27</v>
      </c>
      <c r="O89" s="1">
        <v>15</v>
      </c>
      <c r="P89" s="1">
        <v>19</v>
      </c>
      <c r="Q89" s="1">
        <v>26</v>
      </c>
      <c r="R89" s="1">
        <v>19</v>
      </c>
      <c r="S89" s="1">
        <v>20</v>
      </c>
      <c r="T89" s="1">
        <v>26</v>
      </c>
      <c r="U89" s="1">
        <v>14</v>
      </c>
      <c r="V89" s="1">
        <v>14</v>
      </c>
      <c r="W89" s="1">
        <v>14</v>
      </c>
      <c r="X89" s="1">
        <v>15</v>
      </c>
      <c r="Y89" s="1">
        <v>7</v>
      </c>
    </row>
    <row r="90" spans="1:25" x14ac:dyDescent="0.3">
      <c r="A90" s="2">
        <v>43158</v>
      </c>
      <c r="B90" s="1">
        <v>6</v>
      </c>
      <c r="C90" s="1">
        <v>6</v>
      </c>
      <c r="D90" s="1">
        <v>2</v>
      </c>
      <c r="E90" s="1">
        <v>4</v>
      </c>
      <c r="F90" s="1">
        <v>4</v>
      </c>
      <c r="G90" s="1">
        <v>7</v>
      </c>
      <c r="H90" s="1">
        <v>16</v>
      </c>
      <c r="I90" s="1">
        <v>29</v>
      </c>
      <c r="J90" s="1">
        <v>26</v>
      </c>
      <c r="K90" s="1">
        <v>18</v>
      </c>
      <c r="L90" s="1">
        <v>19</v>
      </c>
      <c r="M90" s="1">
        <v>24</v>
      </c>
      <c r="N90" s="1">
        <v>17</v>
      </c>
      <c r="O90" s="1">
        <v>28</v>
      </c>
      <c r="P90" s="1">
        <v>25</v>
      </c>
      <c r="Q90" s="1">
        <v>33</v>
      </c>
      <c r="R90" s="1">
        <v>24</v>
      </c>
      <c r="S90" s="1">
        <v>24</v>
      </c>
      <c r="T90" s="1">
        <v>33</v>
      </c>
      <c r="U90" s="1">
        <v>14</v>
      </c>
      <c r="V90" s="1">
        <v>19</v>
      </c>
      <c r="W90" s="1">
        <v>12</v>
      </c>
      <c r="X90" s="1">
        <v>6</v>
      </c>
      <c r="Y90" s="1">
        <v>7</v>
      </c>
    </row>
    <row r="91" spans="1:25" x14ac:dyDescent="0.3">
      <c r="A91" s="2">
        <v>43159</v>
      </c>
      <c r="B91" s="1">
        <v>3</v>
      </c>
      <c r="C91" s="1">
        <v>2</v>
      </c>
      <c r="D91" s="1">
        <v>4</v>
      </c>
      <c r="E91" s="1">
        <v>2</v>
      </c>
      <c r="F91" s="1">
        <v>2</v>
      </c>
      <c r="G91" s="1">
        <v>3</v>
      </c>
      <c r="H91" s="1">
        <v>9</v>
      </c>
      <c r="I91" s="1">
        <v>15</v>
      </c>
      <c r="J91" s="1">
        <v>25</v>
      </c>
      <c r="K91" s="1">
        <v>19</v>
      </c>
      <c r="L91" s="1">
        <v>22</v>
      </c>
      <c r="M91" s="1">
        <v>20</v>
      </c>
      <c r="N91" s="1">
        <v>26</v>
      </c>
      <c r="O91" s="1">
        <v>30</v>
      </c>
      <c r="P91" s="1">
        <v>26</v>
      </c>
      <c r="Q91" s="1">
        <v>26</v>
      </c>
      <c r="R91" s="1">
        <v>23</v>
      </c>
      <c r="S91" s="1">
        <v>22</v>
      </c>
      <c r="T91" s="1">
        <v>19</v>
      </c>
      <c r="U91" s="1">
        <v>17</v>
      </c>
      <c r="V91" s="1">
        <v>16</v>
      </c>
      <c r="W91" s="1">
        <v>9</v>
      </c>
      <c r="X91" s="1">
        <v>14</v>
      </c>
      <c r="Y91" s="1">
        <v>10</v>
      </c>
    </row>
    <row r="92" spans="1:25" x14ac:dyDescent="0.3">
      <c r="A92" s="2">
        <v>43160</v>
      </c>
      <c r="B92" s="1">
        <v>13</v>
      </c>
      <c r="C92" s="1">
        <v>5</v>
      </c>
      <c r="D92" s="1">
        <v>7</v>
      </c>
      <c r="E92" s="1">
        <v>4</v>
      </c>
      <c r="F92" s="1">
        <v>3</v>
      </c>
      <c r="G92" s="1">
        <v>6</v>
      </c>
      <c r="H92" s="1">
        <v>4</v>
      </c>
      <c r="I92" s="1">
        <v>12</v>
      </c>
      <c r="J92" s="1">
        <v>17</v>
      </c>
      <c r="K92" s="1">
        <v>15</v>
      </c>
      <c r="L92" s="1">
        <v>17</v>
      </c>
      <c r="M92" s="1">
        <v>32</v>
      </c>
      <c r="N92" s="1">
        <v>22</v>
      </c>
      <c r="O92" s="1">
        <v>19</v>
      </c>
      <c r="P92" s="1">
        <v>25</v>
      </c>
      <c r="Q92" s="1">
        <v>35</v>
      </c>
      <c r="R92" s="1">
        <v>30</v>
      </c>
      <c r="S92" s="1">
        <v>21</v>
      </c>
      <c r="T92" s="1">
        <v>24</v>
      </c>
      <c r="U92" s="1">
        <v>18</v>
      </c>
      <c r="V92" s="1">
        <v>21</v>
      </c>
      <c r="W92" s="1">
        <v>18</v>
      </c>
      <c r="X92" s="1">
        <v>20</v>
      </c>
      <c r="Y92" s="1">
        <v>8</v>
      </c>
    </row>
    <row r="93" spans="1:25" x14ac:dyDescent="0.3">
      <c r="A93" s="2">
        <v>43161</v>
      </c>
      <c r="B93" s="1">
        <v>7</v>
      </c>
      <c r="C93" s="1">
        <v>14</v>
      </c>
      <c r="D93" s="1">
        <v>9</v>
      </c>
      <c r="E93" s="1">
        <v>5</v>
      </c>
      <c r="F93" s="1">
        <v>14</v>
      </c>
      <c r="G93" s="1">
        <v>6</v>
      </c>
      <c r="H93" s="1">
        <v>14</v>
      </c>
      <c r="I93" s="1">
        <v>22</v>
      </c>
      <c r="J93" s="1">
        <v>28</v>
      </c>
      <c r="K93" s="1">
        <v>29</v>
      </c>
      <c r="L93" s="1">
        <v>40</v>
      </c>
      <c r="M93" s="1">
        <v>61</v>
      </c>
      <c r="N93" s="1">
        <v>129</v>
      </c>
      <c r="O93" s="1">
        <v>155</v>
      </c>
      <c r="P93" s="1">
        <v>239</v>
      </c>
      <c r="Q93" s="1">
        <v>267</v>
      </c>
      <c r="R93" s="1">
        <v>284</v>
      </c>
      <c r="S93" s="1">
        <v>239</v>
      </c>
      <c r="T93" s="1">
        <v>187</v>
      </c>
      <c r="U93" s="1">
        <v>147</v>
      </c>
      <c r="V93" s="1">
        <v>107</v>
      </c>
      <c r="W93" s="1">
        <v>94</v>
      </c>
      <c r="X93" s="1">
        <v>52</v>
      </c>
      <c r="Y93" s="1">
        <v>38</v>
      </c>
    </row>
    <row r="94" spans="1:25" x14ac:dyDescent="0.3">
      <c r="A94" s="2">
        <v>43162</v>
      </c>
      <c r="B94" s="1">
        <v>31</v>
      </c>
      <c r="C94" s="1">
        <v>31</v>
      </c>
      <c r="D94" s="1">
        <v>14</v>
      </c>
      <c r="E94" s="1">
        <v>8</v>
      </c>
      <c r="F94" s="1">
        <v>20</v>
      </c>
      <c r="G94" s="1">
        <v>25</v>
      </c>
      <c r="H94" s="1">
        <v>25</v>
      </c>
      <c r="I94" s="1">
        <v>46</v>
      </c>
      <c r="J94" s="1">
        <v>63</v>
      </c>
      <c r="K94" s="1">
        <v>70</v>
      </c>
      <c r="L94" s="1">
        <v>65</v>
      </c>
      <c r="M94" s="1">
        <v>58</v>
      </c>
      <c r="N94" s="1">
        <v>58</v>
      </c>
      <c r="O94" s="1">
        <v>42</v>
      </c>
      <c r="P94" s="1">
        <v>48</v>
      </c>
      <c r="Q94" s="1">
        <v>40</v>
      </c>
      <c r="R94" s="1">
        <v>43</v>
      </c>
      <c r="S94" s="1">
        <v>54</v>
      </c>
      <c r="T94" s="1">
        <v>43</v>
      </c>
      <c r="U94" s="1">
        <v>35</v>
      </c>
      <c r="V94" s="1">
        <v>28</v>
      </c>
      <c r="W94" s="1">
        <v>29</v>
      </c>
      <c r="X94" s="1">
        <v>22</v>
      </c>
      <c r="Y94" s="1">
        <v>19</v>
      </c>
    </row>
    <row r="95" spans="1:25" x14ac:dyDescent="0.3">
      <c r="A95" s="2">
        <v>43163</v>
      </c>
      <c r="B95" s="1">
        <v>9</v>
      </c>
      <c r="C95" s="1">
        <v>6</v>
      </c>
      <c r="D95" s="1">
        <v>3</v>
      </c>
      <c r="E95" s="1">
        <v>9</v>
      </c>
      <c r="F95" s="1">
        <v>5</v>
      </c>
      <c r="G95" s="1">
        <v>2</v>
      </c>
      <c r="H95" s="1">
        <v>5</v>
      </c>
      <c r="I95" s="1">
        <v>22</v>
      </c>
      <c r="J95" s="1">
        <v>17</v>
      </c>
      <c r="K95" s="1">
        <v>19</v>
      </c>
      <c r="L95" s="1">
        <v>31</v>
      </c>
      <c r="M95" s="1">
        <v>18</v>
      </c>
      <c r="N95" s="1">
        <v>22</v>
      </c>
      <c r="O95" s="1">
        <v>22</v>
      </c>
      <c r="P95" s="1">
        <v>35</v>
      </c>
      <c r="Q95" s="1">
        <v>21</v>
      </c>
      <c r="R95" s="1">
        <v>22</v>
      </c>
      <c r="S95" s="1">
        <v>34</v>
      </c>
      <c r="T95" s="1">
        <v>19</v>
      </c>
      <c r="U95" s="1">
        <v>30</v>
      </c>
      <c r="V95" s="1">
        <v>28</v>
      </c>
      <c r="W95" s="1">
        <v>19</v>
      </c>
      <c r="X95" s="1">
        <v>8</v>
      </c>
      <c r="Y95" s="1">
        <v>6</v>
      </c>
    </row>
    <row r="96" spans="1:25" x14ac:dyDescent="0.3">
      <c r="A96" s="2">
        <v>43164</v>
      </c>
      <c r="B96" s="1">
        <v>8</v>
      </c>
      <c r="C96" s="1">
        <v>5</v>
      </c>
      <c r="D96" s="1">
        <v>2</v>
      </c>
      <c r="E96" s="1">
        <v>5</v>
      </c>
      <c r="F96" s="1">
        <v>3</v>
      </c>
      <c r="G96" s="1">
        <v>10</v>
      </c>
      <c r="H96" s="1">
        <v>13</v>
      </c>
      <c r="I96" s="1">
        <v>20</v>
      </c>
      <c r="J96" s="1">
        <v>32</v>
      </c>
      <c r="K96" s="1">
        <v>29</v>
      </c>
      <c r="L96" s="1">
        <v>37</v>
      </c>
      <c r="M96" s="1">
        <v>32</v>
      </c>
      <c r="N96" s="1">
        <v>38</v>
      </c>
      <c r="O96" s="1">
        <v>18</v>
      </c>
      <c r="P96" s="1">
        <v>17</v>
      </c>
      <c r="Q96" s="1">
        <v>29</v>
      </c>
      <c r="R96" s="1">
        <v>28</v>
      </c>
      <c r="S96" s="1">
        <v>38</v>
      </c>
      <c r="T96" s="1">
        <v>35</v>
      </c>
      <c r="U96" s="1">
        <v>25</v>
      </c>
      <c r="V96" s="1">
        <v>19</v>
      </c>
      <c r="W96" s="1">
        <v>18</v>
      </c>
      <c r="X96" s="1">
        <v>8</v>
      </c>
      <c r="Y96" s="1">
        <v>15</v>
      </c>
    </row>
    <row r="97" spans="1:25" x14ac:dyDescent="0.3">
      <c r="A97" s="2">
        <v>43165</v>
      </c>
      <c r="B97" s="1">
        <v>8</v>
      </c>
      <c r="C97" s="1">
        <v>5</v>
      </c>
      <c r="D97" s="1">
        <v>5</v>
      </c>
      <c r="E97" s="1">
        <v>6</v>
      </c>
      <c r="F97" s="1">
        <v>3</v>
      </c>
      <c r="G97" s="1">
        <v>3</v>
      </c>
      <c r="H97" s="1">
        <v>18</v>
      </c>
      <c r="I97" s="1">
        <v>24</v>
      </c>
      <c r="J97" s="1">
        <v>19</v>
      </c>
      <c r="K97" s="1">
        <v>24</v>
      </c>
      <c r="L97" s="1">
        <v>24</v>
      </c>
      <c r="M97" s="1">
        <v>30</v>
      </c>
      <c r="N97" s="1">
        <v>27</v>
      </c>
      <c r="O97" s="1">
        <v>23</v>
      </c>
      <c r="P97" s="1">
        <v>33</v>
      </c>
      <c r="Q97" s="1">
        <v>28</v>
      </c>
      <c r="R97" s="1">
        <v>31</v>
      </c>
      <c r="S97" s="1">
        <v>44</v>
      </c>
      <c r="T97" s="1">
        <v>21</v>
      </c>
      <c r="U97" s="1">
        <v>16</v>
      </c>
      <c r="V97" s="1">
        <v>19</v>
      </c>
      <c r="W97" s="1">
        <v>19</v>
      </c>
      <c r="X97" s="1">
        <v>15</v>
      </c>
      <c r="Y97" s="1">
        <v>11</v>
      </c>
    </row>
    <row r="98" spans="1:25" x14ac:dyDescent="0.3">
      <c r="A98" s="2">
        <v>43166</v>
      </c>
      <c r="B98" s="1">
        <v>15</v>
      </c>
      <c r="C98" s="1">
        <v>9</v>
      </c>
      <c r="D98" s="1">
        <v>5</v>
      </c>
      <c r="E98" s="1">
        <v>6</v>
      </c>
      <c r="F98" s="1">
        <v>12</v>
      </c>
      <c r="G98" s="1">
        <v>9</v>
      </c>
      <c r="H98" s="1">
        <v>2</v>
      </c>
      <c r="I98" s="1">
        <v>10</v>
      </c>
      <c r="J98" s="1">
        <v>21</v>
      </c>
      <c r="K98" s="1">
        <v>32</v>
      </c>
      <c r="L98" s="1">
        <v>34</v>
      </c>
      <c r="M98" s="1">
        <v>16</v>
      </c>
      <c r="N98" s="1">
        <v>53</v>
      </c>
      <c r="O98" s="1">
        <v>113</v>
      </c>
      <c r="P98" s="1">
        <v>171</v>
      </c>
      <c r="Q98" s="1">
        <v>151</v>
      </c>
      <c r="R98" s="1">
        <v>89</v>
      </c>
      <c r="S98" s="1">
        <v>44</v>
      </c>
      <c r="T98" s="1">
        <v>31</v>
      </c>
      <c r="U98" s="1">
        <v>26</v>
      </c>
      <c r="V98" s="1">
        <v>23</v>
      </c>
      <c r="W98" s="1">
        <v>20</v>
      </c>
      <c r="X98" s="1">
        <v>15</v>
      </c>
      <c r="Y98" s="1">
        <v>13</v>
      </c>
    </row>
    <row r="99" spans="1:25" x14ac:dyDescent="0.3">
      <c r="A99" s="2">
        <v>43167</v>
      </c>
      <c r="B99" s="1">
        <v>10</v>
      </c>
      <c r="C99" s="1">
        <v>6</v>
      </c>
      <c r="D99" s="1">
        <v>7</v>
      </c>
      <c r="E99" s="1">
        <v>8</v>
      </c>
      <c r="F99" s="1">
        <v>3</v>
      </c>
      <c r="G99" s="1">
        <v>20</v>
      </c>
      <c r="H99" s="1">
        <v>31</v>
      </c>
      <c r="I99" s="1">
        <v>35</v>
      </c>
      <c r="J99" s="1">
        <v>35</v>
      </c>
      <c r="K99" s="1">
        <v>36</v>
      </c>
      <c r="L99" s="1">
        <v>35</v>
      </c>
      <c r="M99" s="1">
        <v>25</v>
      </c>
      <c r="N99" s="1">
        <v>17</v>
      </c>
      <c r="O99" s="1">
        <v>25</v>
      </c>
      <c r="P99" s="1">
        <v>24</v>
      </c>
      <c r="Q99" s="1">
        <v>29</v>
      </c>
      <c r="R99" s="1">
        <v>28</v>
      </c>
      <c r="S99" s="1">
        <v>33</v>
      </c>
      <c r="T99" s="1">
        <v>17</v>
      </c>
      <c r="U99" s="1">
        <v>17</v>
      </c>
      <c r="V99" s="1">
        <v>20</v>
      </c>
      <c r="W99" s="1">
        <v>11</v>
      </c>
      <c r="X99" s="1">
        <v>15</v>
      </c>
      <c r="Y99" s="1">
        <v>12</v>
      </c>
    </row>
    <row r="100" spans="1:25" x14ac:dyDescent="0.3">
      <c r="A100" s="2">
        <v>43168</v>
      </c>
      <c r="B100" s="1">
        <v>13</v>
      </c>
      <c r="C100" s="1">
        <v>7</v>
      </c>
      <c r="D100" s="1">
        <v>9</v>
      </c>
      <c r="E100" s="1">
        <v>6</v>
      </c>
      <c r="F100" s="1">
        <v>2</v>
      </c>
      <c r="G100" s="1">
        <v>9</v>
      </c>
      <c r="H100" s="1">
        <v>11</v>
      </c>
      <c r="I100" s="1">
        <v>14</v>
      </c>
      <c r="J100" s="1">
        <v>36</v>
      </c>
      <c r="K100" s="1">
        <v>33</v>
      </c>
      <c r="L100" s="1">
        <v>18</v>
      </c>
      <c r="M100" s="1">
        <v>29</v>
      </c>
      <c r="N100" s="1">
        <v>31</v>
      </c>
      <c r="O100" s="1">
        <v>19</v>
      </c>
      <c r="P100" s="1">
        <v>20</v>
      </c>
      <c r="Q100" s="1">
        <v>21</v>
      </c>
      <c r="R100" s="1">
        <v>37</v>
      </c>
      <c r="S100" s="1">
        <v>17</v>
      </c>
      <c r="T100" s="1">
        <v>20</v>
      </c>
      <c r="U100" s="1">
        <v>11</v>
      </c>
      <c r="V100" s="1">
        <v>27</v>
      </c>
      <c r="W100" s="1">
        <v>16</v>
      </c>
      <c r="X100" s="1">
        <v>18</v>
      </c>
      <c r="Y100" s="1">
        <v>15</v>
      </c>
    </row>
    <row r="101" spans="1:25" x14ac:dyDescent="0.3">
      <c r="A101" s="2">
        <v>43169</v>
      </c>
      <c r="B101" s="1">
        <v>8</v>
      </c>
      <c r="C101" s="1">
        <v>8</v>
      </c>
      <c r="D101" s="1">
        <v>5</v>
      </c>
      <c r="E101" s="1">
        <v>2</v>
      </c>
      <c r="F101" s="1">
        <v>10</v>
      </c>
      <c r="G101" s="1">
        <v>10</v>
      </c>
      <c r="H101" s="1">
        <v>7</v>
      </c>
      <c r="I101" s="1">
        <v>20</v>
      </c>
      <c r="J101" s="1">
        <v>26</v>
      </c>
      <c r="K101" s="1">
        <v>21</v>
      </c>
      <c r="L101" s="1">
        <v>18</v>
      </c>
      <c r="M101" s="1">
        <v>23</v>
      </c>
      <c r="N101" s="1">
        <v>12</v>
      </c>
      <c r="O101" s="1">
        <v>43</v>
      </c>
      <c r="P101" s="1">
        <v>16</v>
      </c>
      <c r="Q101" s="1">
        <v>23</v>
      </c>
      <c r="R101" s="1">
        <v>22</v>
      </c>
      <c r="S101" s="1">
        <v>19</v>
      </c>
      <c r="T101" s="1">
        <v>34</v>
      </c>
      <c r="U101" s="1">
        <v>15</v>
      </c>
      <c r="V101" s="1">
        <v>21</v>
      </c>
      <c r="W101" s="1">
        <v>17</v>
      </c>
      <c r="X101" s="1">
        <v>3</v>
      </c>
      <c r="Y101" s="1">
        <v>12</v>
      </c>
    </row>
    <row r="102" spans="1:25" x14ac:dyDescent="0.3">
      <c r="A102" s="2">
        <v>43170</v>
      </c>
      <c r="B102" s="1">
        <v>11</v>
      </c>
      <c r="C102" s="1">
        <v>6</v>
      </c>
      <c r="D102" s="1">
        <v>0</v>
      </c>
      <c r="E102" s="1">
        <v>12</v>
      </c>
      <c r="F102" s="1">
        <v>5</v>
      </c>
      <c r="G102" s="1">
        <v>6</v>
      </c>
      <c r="H102" s="1">
        <v>6</v>
      </c>
      <c r="I102" s="1">
        <v>4</v>
      </c>
      <c r="J102" s="1">
        <v>13</v>
      </c>
      <c r="K102" s="1">
        <v>7</v>
      </c>
      <c r="L102" s="1">
        <v>21</v>
      </c>
      <c r="M102" s="1">
        <v>20</v>
      </c>
      <c r="N102" s="1">
        <v>17</v>
      </c>
      <c r="O102" s="1">
        <v>26</v>
      </c>
      <c r="P102" s="1">
        <v>22</v>
      </c>
      <c r="Q102" s="1">
        <v>16</v>
      </c>
      <c r="R102" s="1">
        <v>22</v>
      </c>
      <c r="S102" s="1">
        <v>8</v>
      </c>
      <c r="T102" s="1">
        <v>15</v>
      </c>
      <c r="U102" s="1">
        <v>22</v>
      </c>
      <c r="V102" s="1">
        <v>10</v>
      </c>
      <c r="W102" s="1">
        <v>17</v>
      </c>
      <c r="X102" s="1">
        <v>15</v>
      </c>
      <c r="Y102" s="1">
        <v>8</v>
      </c>
    </row>
    <row r="103" spans="1:25" x14ac:dyDescent="0.3">
      <c r="A103" s="2">
        <v>43171</v>
      </c>
      <c r="B103" s="1">
        <v>7</v>
      </c>
      <c r="C103" s="1">
        <v>6</v>
      </c>
      <c r="D103" s="1">
        <v>9</v>
      </c>
      <c r="E103" s="1">
        <v>6</v>
      </c>
      <c r="F103" s="1">
        <v>3</v>
      </c>
      <c r="G103" s="1">
        <v>7</v>
      </c>
      <c r="H103" s="1">
        <v>3</v>
      </c>
      <c r="I103" s="1">
        <v>19</v>
      </c>
      <c r="J103" s="1">
        <v>34</v>
      </c>
      <c r="K103" s="1">
        <v>18</v>
      </c>
      <c r="L103" s="1">
        <v>20</v>
      </c>
      <c r="M103" s="1">
        <v>18</v>
      </c>
      <c r="N103" s="1">
        <v>21</v>
      </c>
      <c r="O103" s="1">
        <v>22</v>
      </c>
      <c r="P103" s="1">
        <v>14</v>
      </c>
      <c r="Q103" s="1">
        <v>25</v>
      </c>
      <c r="R103" s="1">
        <v>20</v>
      </c>
      <c r="S103" s="1">
        <v>24</v>
      </c>
      <c r="T103" s="1">
        <v>16</v>
      </c>
      <c r="U103" s="1">
        <v>10</v>
      </c>
      <c r="V103" s="1">
        <v>14</v>
      </c>
      <c r="W103" s="1">
        <v>8</v>
      </c>
      <c r="X103" s="1">
        <v>8</v>
      </c>
      <c r="Y103" s="1">
        <v>8</v>
      </c>
    </row>
    <row r="104" spans="1:25" x14ac:dyDescent="0.3">
      <c r="A104" s="2">
        <v>43172</v>
      </c>
      <c r="B104" s="1">
        <v>7</v>
      </c>
      <c r="C104" s="1">
        <v>2</v>
      </c>
      <c r="D104" s="1">
        <v>7</v>
      </c>
      <c r="E104" s="1">
        <v>2</v>
      </c>
      <c r="F104" s="1">
        <v>9</v>
      </c>
      <c r="G104" s="1">
        <v>8</v>
      </c>
      <c r="H104" s="1">
        <v>10</v>
      </c>
      <c r="I104" s="1">
        <v>18</v>
      </c>
      <c r="J104" s="1">
        <v>37</v>
      </c>
      <c r="K104" s="1">
        <v>16</v>
      </c>
      <c r="L104" s="1">
        <v>19</v>
      </c>
      <c r="M104" s="1">
        <v>16</v>
      </c>
      <c r="N104" s="1">
        <v>23</v>
      </c>
      <c r="O104" s="1">
        <v>24</v>
      </c>
      <c r="P104" s="1">
        <v>27</v>
      </c>
      <c r="Q104" s="1">
        <v>16</v>
      </c>
      <c r="R104" s="1">
        <v>20</v>
      </c>
      <c r="S104" s="1">
        <v>14</v>
      </c>
      <c r="T104" s="1">
        <v>26</v>
      </c>
      <c r="U104" s="1">
        <v>23</v>
      </c>
      <c r="V104" s="1">
        <v>13</v>
      </c>
      <c r="W104" s="1">
        <v>8</v>
      </c>
      <c r="X104" s="1">
        <v>21</v>
      </c>
      <c r="Y104" s="1">
        <v>4</v>
      </c>
    </row>
    <row r="105" spans="1:25" x14ac:dyDescent="0.3">
      <c r="A105" s="2">
        <v>43173</v>
      </c>
      <c r="B105" s="1">
        <v>10</v>
      </c>
      <c r="C105" s="1">
        <v>4</v>
      </c>
      <c r="D105" s="1">
        <v>3</v>
      </c>
      <c r="E105" s="1">
        <v>3</v>
      </c>
      <c r="F105" s="1">
        <v>2</v>
      </c>
      <c r="G105" s="1">
        <v>3</v>
      </c>
      <c r="H105" s="1">
        <v>15</v>
      </c>
      <c r="I105" s="1">
        <v>20</v>
      </c>
      <c r="J105" s="1">
        <v>28</v>
      </c>
      <c r="K105" s="1">
        <v>33</v>
      </c>
      <c r="L105" s="1">
        <v>19</v>
      </c>
      <c r="M105" s="1">
        <v>30</v>
      </c>
      <c r="N105" s="1">
        <v>21</v>
      </c>
      <c r="O105" s="1">
        <v>18</v>
      </c>
      <c r="P105" s="1">
        <v>20</v>
      </c>
      <c r="Q105" s="1">
        <v>26</v>
      </c>
      <c r="R105" s="1">
        <v>26</v>
      </c>
      <c r="S105" s="1">
        <v>23</v>
      </c>
      <c r="T105" s="1">
        <v>15</v>
      </c>
      <c r="U105" s="1">
        <v>23</v>
      </c>
      <c r="V105" s="1">
        <v>15</v>
      </c>
      <c r="W105" s="1">
        <v>12</v>
      </c>
      <c r="X105" s="1">
        <v>10</v>
      </c>
      <c r="Y105" s="1">
        <v>8</v>
      </c>
    </row>
    <row r="106" spans="1:25" x14ac:dyDescent="0.3">
      <c r="A106" s="2">
        <v>43174</v>
      </c>
      <c r="B106" s="1">
        <v>9</v>
      </c>
      <c r="C106" s="1">
        <v>5</v>
      </c>
      <c r="D106" s="1">
        <v>9</v>
      </c>
      <c r="E106" s="1">
        <v>6</v>
      </c>
      <c r="F106" s="1">
        <v>5</v>
      </c>
      <c r="G106" s="1">
        <v>3</v>
      </c>
      <c r="H106" s="1">
        <v>8</v>
      </c>
      <c r="I106" s="1">
        <v>17</v>
      </c>
      <c r="J106" s="1">
        <v>24</v>
      </c>
      <c r="K106" s="1">
        <v>21</v>
      </c>
      <c r="L106" s="1">
        <v>23</v>
      </c>
      <c r="M106" s="1">
        <v>18</v>
      </c>
      <c r="N106" s="1">
        <v>24</v>
      </c>
      <c r="O106" s="1">
        <v>29</v>
      </c>
      <c r="P106" s="1">
        <v>23</v>
      </c>
      <c r="Q106" s="1">
        <v>25</v>
      </c>
      <c r="R106" s="1">
        <v>19</v>
      </c>
      <c r="S106" s="1">
        <v>22</v>
      </c>
      <c r="T106" s="1">
        <v>17</v>
      </c>
      <c r="U106" s="1">
        <v>19</v>
      </c>
      <c r="V106" s="1">
        <v>15</v>
      </c>
      <c r="W106" s="1">
        <v>11</v>
      </c>
      <c r="X106" s="1">
        <v>11</v>
      </c>
      <c r="Y106" s="1">
        <v>14</v>
      </c>
    </row>
    <row r="107" spans="1:25" x14ac:dyDescent="0.3">
      <c r="A107" s="2">
        <v>43175</v>
      </c>
      <c r="B107" s="1">
        <v>9</v>
      </c>
      <c r="C107" s="1">
        <v>8</v>
      </c>
      <c r="D107" s="1">
        <v>6</v>
      </c>
      <c r="E107" s="1">
        <v>6</v>
      </c>
      <c r="F107" s="1">
        <v>4</v>
      </c>
      <c r="G107" s="1">
        <v>7</v>
      </c>
      <c r="H107" s="1">
        <v>13</v>
      </c>
      <c r="I107" s="1">
        <v>16</v>
      </c>
      <c r="J107" s="1">
        <v>24</v>
      </c>
      <c r="K107" s="1">
        <v>17</v>
      </c>
      <c r="L107" s="1">
        <v>29</v>
      </c>
      <c r="M107" s="1">
        <v>28</v>
      </c>
      <c r="N107" s="1">
        <v>22</v>
      </c>
      <c r="O107" s="1">
        <v>26</v>
      </c>
      <c r="P107" s="1">
        <v>26</v>
      </c>
      <c r="Q107" s="1">
        <v>24</v>
      </c>
      <c r="R107" s="1">
        <v>33</v>
      </c>
      <c r="S107" s="1">
        <v>24</v>
      </c>
      <c r="T107" s="1">
        <v>23</v>
      </c>
      <c r="U107" s="1">
        <v>17</v>
      </c>
      <c r="V107" s="1">
        <v>23</v>
      </c>
      <c r="W107" s="1">
        <v>24</v>
      </c>
      <c r="X107" s="1">
        <v>11</v>
      </c>
      <c r="Y107" s="1">
        <v>13</v>
      </c>
    </row>
    <row r="108" spans="1:25" x14ac:dyDescent="0.3">
      <c r="A108" s="2">
        <v>43176</v>
      </c>
      <c r="B108" s="1">
        <v>11</v>
      </c>
      <c r="C108" s="1">
        <v>6</v>
      </c>
      <c r="D108" s="1">
        <v>17</v>
      </c>
      <c r="E108" s="1">
        <v>7</v>
      </c>
      <c r="F108" s="1">
        <v>3</v>
      </c>
      <c r="G108" s="1">
        <v>3</v>
      </c>
      <c r="H108" s="1">
        <v>5</v>
      </c>
      <c r="I108" s="1">
        <v>9</v>
      </c>
      <c r="J108" s="1">
        <v>16</v>
      </c>
      <c r="K108" s="1">
        <v>8</v>
      </c>
      <c r="L108" s="1">
        <v>17</v>
      </c>
      <c r="M108" s="1">
        <v>18</v>
      </c>
      <c r="N108" s="1">
        <v>27</v>
      </c>
      <c r="O108" s="1">
        <v>18</v>
      </c>
      <c r="P108" s="1">
        <v>21</v>
      </c>
      <c r="Q108" s="1">
        <v>19</v>
      </c>
      <c r="R108" s="1">
        <v>9</v>
      </c>
      <c r="S108" s="1">
        <v>13</v>
      </c>
      <c r="T108" s="1">
        <v>18</v>
      </c>
      <c r="U108" s="1">
        <v>15</v>
      </c>
      <c r="V108" s="1">
        <v>25</v>
      </c>
      <c r="W108" s="1">
        <v>17</v>
      </c>
      <c r="X108" s="1">
        <v>11</v>
      </c>
      <c r="Y108" s="1">
        <v>9</v>
      </c>
    </row>
    <row r="109" spans="1:25" x14ac:dyDescent="0.3">
      <c r="A109" s="2">
        <v>43177</v>
      </c>
      <c r="B109" s="1">
        <v>8</v>
      </c>
      <c r="C109" s="1">
        <v>14</v>
      </c>
      <c r="D109" s="1">
        <v>11</v>
      </c>
      <c r="E109" s="1">
        <v>5</v>
      </c>
      <c r="F109" s="1">
        <v>13</v>
      </c>
      <c r="G109" s="1">
        <v>4</v>
      </c>
      <c r="H109" s="1">
        <v>6</v>
      </c>
      <c r="I109" s="1">
        <v>11</v>
      </c>
      <c r="J109" s="1">
        <v>7</v>
      </c>
      <c r="K109" s="1">
        <v>12</v>
      </c>
      <c r="L109" s="1">
        <v>9</v>
      </c>
      <c r="M109" s="1">
        <v>14</v>
      </c>
      <c r="N109" s="1">
        <v>23</v>
      </c>
      <c r="O109" s="1">
        <v>10</v>
      </c>
      <c r="P109" s="1">
        <v>17</v>
      </c>
      <c r="Q109" s="1">
        <v>30</v>
      </c>
      <c r="R109" s="1">
        <v>24</v>
      </c>
      <c r="S109" s="1">
        <v>21</v>
      </c>
      <c r="T109" s="1">
        <v>19</v>
      </c>
      <c r="U109" s="1">
        <v>25</v>
      </c>
      <c r="V109" s="1">
        <v>12</v>
      </c>
      <c r="W109" s="1">
        <v>4</v>
      </c>
      <c r="X109" s="1">
        <v>11</v>
      </c>
      <c r="Y109" s="1">
        <v>8</v>
      </c>
    </row>
    <row r="110" spans="1:25" x14ac:dyDescent="0.3">
      <c r="A110" s="2">
        <v>43178</v>
      </c>
      <c r="B110" s="1">
        <v>5</v>
      </c>
      <c r="C110" s="1">
        <v>6</v>
      </c>
      <c r="D110" s="1">
        <v>10</v>
      </c>
      <c r="E110" s="1">
        <v>0</v>
      </c>
      <c r="F110" s="1">
        <v>5</v>
      </c>
      <c r="G110" s="1">
        <v>7</v>
      </c>
      <c r="H110" s="1">
        <v>4</v>
      </c>
      <c r="I110" s="1">
        <v>16</v>
      </c>
      <c r="J110" s="1">
        <v>19</v>
      </c>
      <c r="K110" s="1">
        <v>24</v>
      </c>
      <c r="L110" s="1">
        <v>23</v>
      </c>
      <c r="M110" s="1">
        <v>21</v>
      </c>
      <c r="N110" s="1">
        <v>24</v>
      </c>
      <c r="O110" s="1">
        <v>34</v>
      </c>
      <c r="P110" s="1">
        <v>29</v>
      </c>
      <c r="Q110" s="1">
        <v>27</v>
      </c>
      <c r="R110" s="1">
        <v>23</v>
      </c>
      <c r="S110" s="1">
        <v>25</v>
      </c>
      <c r="T110" s="1">
        <v>21</v>
      </c>
      <c r="U110" s="1">
        <v>16</v>
      </c>
      <c r="V110" s="1">
        <v>17</v>
      </c>
      <c r="W110" s="1">
        <v>10</v>
      </c>
      <c r="X110" s="1">
        <v>13</v>
      </c>
      <c r="Y110" s="1">
        <v>7</v>
      </c>
    </row>
    <row r="111" spans="1:25" x14ac:dyDescent="0.3">
      <c r="A111" s="2">
        <v>43179</v>
      </c>
      <c r="B111" s="1">
        <v>4</v>
      </c>
      <c r="C111" s="1">
        <v>3</v>
      </c>
      <c r="D111" s="1">
        <v>5</v>
      </c>
      <c r="E111" s="1">
        <v>1</v>
      </c>
      <c r="F111" s="1">
        <v>3</v>
      </c>
      <c r="G111" s="1">
        <v>6</v>
      </c>
      <c r="H111" s="1">
        <v>12</v>
      </c>
      <c r="I111" s="1">
        <v>21</v>
      </c>
      <c r="J111" s="1">
        <v>17</v>
      </c>
      <c r="K111" s="1">
        <v>20</v>
      </c>
      <c r="L111" s="1">
        <v>23</v>
      </c>
      <c r="M111" s="1">
        <v>18</v>
      </c>
      <c r="N111" s="1">
        <v>20</v>
      </c>
      <c r="O111" s="1">
        <v>24</v>
      </c>
      <c r="P111" s="1">
        <v>19</v>
      </c>
      <c r="Q111" s="1">
        <v>31</v>
      </c>
      <c r="R111" s="1">
        <v>27</v>
      </c>
      <c r="S111" s="1">
        <v>14</v>
      </c>
      <c r="T111" s="1">
        <v>33</v>
      </c>
      <c r="U111" s="1">
        <v>36</v>
      </c>
      <c r="V111" s="1">
        <v>31</v>
      </c>
      <c r="W111" s="1">
        <v>16</v>
      </c>
      <c r="X111" s="1">
        <v>6</v>
      </c>
      <c r="Y111" s="1">
        <v>7</v>
      </c>
    </row>
    <row r="112" spans="1:25" x14ac:dyDescent="0.3">
      <c r="A112" s="2">
        <v>43180</v>
      </c>
      <c r="B112" s="1">
        <v>7</v>
      </c>
      <c r="C112" s="1">
        <v>5</v>
      </c>
      <c r="D112" s="1">
        <v>5</v>
      </c>
      <c r="E112" s="1">
        <v>3</v>
      </c>
      <c r="F112" s="1">
        <v>5</v>
      </c>
      <c r="G112" s="1">
        <v>7</v>
      </c>
      <c r="H112" s="1">
        <v>13</v>
      </c>
      <c r="I112" s="1">
        <v>21</v>
      </c>
      <c r="J112" s="1">
        <v>30</v>
      </c>
      <c r="K112" s="1">
        <v>30</v>
      </c>
      <c r="L112" s="1">
        <v>39</v>
      </c>
      <c r="M112" s="1">
        <v>25</v>
      </c>
      <c r="N112" s="1">
        <v>26</v>
      </c>
      <c r="O112" s="1">
        <v>23</v>
      </c>
      <c r="P112" s="1">
        <v>45</v>
      </c>
      <c r="Q112" s="1">
        <v>34</v>
      </c>
      <c r="R112" s="1">
        <v>29</v>
      </c>
      <c r="S112" s="1">
        <v>21</v>
      </c>
      <c r="T112" s="1">
        <v>18</v>
      </c>
      <c r="U112" s="1">
        <v>19</v>
      </c>
      <c r="V112" s="1">
        <v>26</v>
      </c>
      <c r="W112" s="1">
        <v>19</v>
      </c>
      <c r="X112" s="1">
        <v>22</v>
      </c>
      <c r="Y112" s="1">
        <v>12</v>
      </c>
    </row>
    <row r="113" spans="1:25" x14ac:dyDescent="0.3">
      <c r="A113" s="2">
        <v>43181</v>
      </c>
      <c r="B113" s="1">
        <v>5</v>
      </c>
      <c r="C113" s="1">
        <v>6</v>
      </c>
      <c r="D113" s="1">
        <v>8</v>
      </c>
      <c r="E113" s="1">
        <v>7</v>
      </c>
      <c r="F113" s="1">
        <v>5</v>
      </c>
      <c r="G113" s="1">
        <v>8</v>
      </c>
      <c r="H113" s="1">
        <v>14</v>
      </c>
      <c r="I113" s="1">
        <v>24</v>
      </c>
      <c r="J113" s="1">
        <v>19</v>
      </c>
      <c r="K113" s="1">
        <v>29</v>
      </c>
      <c r="L113" s="1">
        <v>24</v>
      </c>
      <c r="M113" s="1">
        <v>17</v>
      </c>
      <c r="N113" s="1">
        <v>19</v>
      </c>
      <c r="O113" s="1">
        <v>28</v>
      </c>
      <c r="P113" s="1">
        <v>27</v>
      </c>
      <c r="Q113" s="1">
        <v>27</v>
      </c>
      <c r="R113" s="1">
        <v>30</v>
      </c>
      <c r="S113" s="1">
        <v>39</v>
      </c>
      <c r="T113" s="1">
        <v>18</v>
      </c>
      <c r="U113" s="1">
        <v>18</v>
      </c>
      <c r="V113" s="1">
        <v>25</v>
      </c>
      <c r="W113" s="1">
        <v>7</v>
      </c>
      <c r="X113" s="1">
        <v>4</v>
      </c>
      <c r="Y113" s="1">
        <v>12</v>
      </c>
    </row>
    <row r="114" spans="1:25" x14ac:dyDescent="0.3">
      <c r="A114" s="2">
        <v>43182</v>
      </c>
      <c r="B114" s="1">
        <v>9</v>
      </c>
      <c r="C114" s="1">
        <v>6</v>
      </c>
      <c r="D114" s="1">
        <v>4</v>
      </c>
      <c r="E114" s="1">
        <v>9</v>
      </c>
      <c r="F114" s="1">
        <v>4</v>
      </c>
      <c r="G114" s="1">
        <v>7</v>
      </c>
      <c r="H114" s="1">
        <v>8</v>
      </c>
      <c r="I114" s="1">
        <v>21</v>
      </c>
      <c r="J114" s="1">
        <v>19</v>
      </c>
      <c r="K114" s="1">
        <v>34</v>
      </c>
      <c r="L114" s="1">
        <v>21</v>
      </c>
      <c r="M114" s="1">
        <v>22</v>
      </c>
      <c r="N114" s="1">
        <v>22</v>
      </c>
      <c r="O114" s="1">
        <v>31</v>
      </c>
      <c r="P114" s="1">
        <v>26</v>
      </c>
      <c r="Q114" s="1">
        <v>28</v>
      </c>
      <c r="R114" s="1">
        <v>25</v>
      </c>
      <c r="S114" s="1">
        <v>31</v>
      </c>
      <c r="T114" s="1">
        <v>15</v>
      </c>
      <c r="U114" s="1">
        <v>13</v>
      </c>
      <c r="V114" s="1">
        <v>21</v>
      </c>
      <c r="W114" s="1">
        <v>6</v>
      </c>
      <c r="X114" s="1">
        <v>19</v>
      </c>
      <c r="Y114" s="1">
        <v>13</v>
      </c>
    </row>
    <row r="115" spans="1:25" x14ac:dyDescent="0.3">
      <c r="A115" s="2">
        <v>43183</v>
      </c>
      <c r="B115" s="1">
        <v>11</v>
      </c>
      <c r="C115" s="1">
        <v>9</v>
      </c>
      <c r="D115" s="1">
        <v>4</v>
      </c>
      <c r="E115" s="1">
        <v>5</v>
      </c>
      <c r="F115" s="1">
        <v>5</v>
      </c>
      <c r="G115" s="1">
        <v>8</v>
      </c>
      <c r="H115" s="1">
        <v>11</v>
      </c>
      <c r="I115" s="1">
        <v>9</v>
      </c>
      <c r="J115" s="1">
        <v>14</v>
      </c>
      <c r="K115" s="1">
        <v>29</v>
      </c>
      <c r="L115" s="1">
        <v>19</v>
      </c>
      <c r="M115" s="1">
        <v>19</v>
      </c>
      <c r="N115" s="1">
        <v>30</v>
      </c>
      <c r="O115" s="1">
        <v>22</v>
      </c>
      <c r="P115" s="1">
        <v>19</v>
      </c>
      <c r="Q115" s="1">
        <v>25</v>
      </c>
      <c r="R115" s="1">
        <v>37</v>
      </c>
      <c r="S115" s="1">
        <v>26</v>
      </c>
      <c r="T115" s="1">
        <v>12</v>
      </c>
      <c r="U115" s="1">
        <v>24</v>
      </c>
      <c r="V115" s="1">
        <v>14</v>
      </c>
      <c r="W115" s="1">
        <v>16</v>
      </c>
      <c r="X115" s="1">
        <v>10</v>
      </c>
      <c r="Y115" s="1">
        <v>9</v>
      </c>
    </row>
    <row r="116" spans="1:25" x14ac:dyDescent="0.3">
      <c r="A116" s="2">
        <v>43184</v>
      </c>
      <c r="B116" s="1">
        <v>4</v>
      </c>
      <c r="C116" s="1">
        <v>10</v>
      </c>
      <c r="D116" s="1">
        <v>8</v>
      </c>
      <c r="E116" s="1">
        <v>9</v>
      </c>
      <c r="F116" s="1">
        <v>8</v>
      </c>
      <c r="G116" s="1">
        <v>5</v>
      </c>
      <c r="H116" s="1">
        <v>5</v>
      </c>
      <c r="I116" s="1">
        <v>13</v>
      </c>
      <c r="J116" s="1">
        <v>16</v>
      </c>
      <c r="K116" s="1">
        <v>17</v>
      </c>
      <c r="L116" s="1">
        <v>11</v>
      </c>
      <c r="M116" s="1">
        <v>15</v>
      </c>
      <c r="N116" s="1">
        <v>15</v>
      </c>
      <c r="O116" s="1">
        <v>13</v>
      </c>
      <c r="P116" s="1">
        <v>22</v>
      </c>
      <c r="Q116" s="1">
        <v>9</v>
      </c>
      <c r="R116" s="1">
        <v>14</v>
      </c>
      <c r="S116" s="1">
        <v>34</v>
      </c>
      <c r="T116" s="1">
        <v>14</v>
      </c>
      <c r="U116" s="1">
        <v>18</v>
      </c>
      <c r="V116" s="1">
        <v>18</v>
      </c>
      <c r="W116" s="1">
        <v>12</v>
      </c>
      <c r="X116" s="1">
        <v>9</v>
      </c>
      <c r="Y116" s="1">
        <v>2</v>
      </c>
    </row>
    <row r="117" spans="1:25" x14ac:dyDescent="0.3">
      <c r="A117" s="2">
        <v>43185</v>
      </c>
      <c r="B117" s="1">
        <v>4</v>
      </c>
      <c r="C117" s="1">
        <v>5</v>
      </c>
      <c r="D117" s="1">
        <v>5</v>
      </c>
      <c r="E117" s="1">
        <v>6</v>
      </c>
      <c r="F117" s="1">
        <v>6</v>
      </c>
      <c r="G117" s="1">
        <v>2</v>
      </c>
      <c r="H117" s="1">
        <v>10</v>
      </c>
      <c r="I117" s="1">
        <v>14</v>
      </c>
      <c r="J117" s="1">
        <v>19</v>
      </c>
      <c r="K117" s="1">
        <v>28</v>
      </c>
      <c r="L117" s="1">
        <v>22</v>
      </c>
      <c r="M117" s="1">
        <v>15</v>
      </c>
      <c r="N117" s="1">
        <v>26</v>
      </c>
      <c r="O117" s="1">
        <v>35</v>
      </c>
      <c r="P117" s="1">
        <v>25</v>
      </c>
      <c r="Q117" s="1">
        <v>16</v>
      </c>
      <c r="R117" s="1">
        <v>19</v>
      </c>
      <c r="S117" s="1">
        <v>22</v>
      </c>
      <c r="T117" s="1">
        <v>24</v>
      </c>
      <c r="U117" s="1">
        <v>11</v>
      </c>
      <c r="V117" s="1">
        <v>9</v>
      </c>
      <c r="W117" s="1">
        <v>11</v>
      </c>
      <c r="X117" s="1">
        <v>12</v>
      </c>
      <c r="Y117" s="1">
        <v>4</v>
      </c>
    </row>
    <row r="118" spans="1:25" x14ac:dyDescent="0.3">
      <c r="A118" s="2">
        <v>43186</v>
      </c>
      <c r="B118" s="1">
        <v>6</v>
      </c>
      <c r="C118" s="1">
        <v>6</v>
      </c>
      <c r="D118" s="1">
        <v>7</v>
      </c>
      <c r="E118" s="1">
        <v>3</v>
      </c>
      <c r="F118" s="1">
        <v>9</v>
      </c>
      <c r="G118" s="1">
        <v>9</v>
      </c>
      <c r="H118" s="1">
        <v>9</v>
      </c>
      <c r="I118" s="1">
        <v>11</v>
      </c>
      <c r="J118" s="1">
        <v>15</v>
      </c>
      <c r="K118" s="1">
        <v>14</v>
      </c>
      <c r="L118" s="1">
        <v>23</v>
      </c>
      <c r="M118" s="1">
        <v>25</v>
      </c>
      <c r="N118" s="1">
        <v>24</v>
      </c>
      <c r="O118" s="1">
        <v>14</v>
      </c>
      <c r="P118" s="1">
        <v>18</v>
      </c>
      <c r="Q118" s="1">
        <v>19</v>
      </c>
      <c r="R118" s="1">
        <v>17</v>
      </c>
      <c r="S118" s="1">
        <v>31</v>
      </c>
      <c r="T118" s="1">
        <v>18</v>
      </c>
      <c r="U118" s="1">
        <v>19</v>
      </c>
      <c r="V118" s="1">
        <v>15</v>
      </c>
      <c r="W118" s="1">
        <v>8</v>
      </c>
      <c r="X118" s="1">
        <v>12</v>
      </c>
      <c r="Y118" s="1">
        <v>6</v>
      </c>
    </row>
    <row r="119" spans="1:25" x14ac:dyDescent="0.3">
      <c r="A119" s="2">
        <v>43187</v>
      </c>
      <c r="B119" s="1">
        <v>7</v>
      </c>
      <c r="C119" s="1">
        <v>4</v>
      </c>
      <c r="D119" s="1">
        <v>10</v>
      </c>
      <c r="E119" s="1">
        <v>2</v>
      </c>
      <c r="F119" s="1">
        <v>3</v>
      </c>
      <c r="G119" s="1">
        <v>0</v>
      </c>
      <c r="H119" s="1">
        <v>11</v>
      </c>
      <c r="I119" s="1">
        <v>22</v>
      </c>
      <c r="J119" s="1">
        <v>26</v>
      </c>
      <c r="K119" s="1">
        <v>22</v>
      </c>
      <c r="L119" s="1">
        <v>16</v>
      </c>
      <c r="M119" s="1">
        <v>18</v>
      </c>
      <c r="N119" s="1">
        <v>33</v>
      </c>
      <c r="O119" s="1">
        <v>18</v>
      </c>
      <c r="P119" s="1">
        <v>24</v>
      </c>
      <c r="Q119" s="1">
        <v>32</v>
      </c>
      <c r="R119" s="1">
        <v>22</v>
      </c>
      <c r="S119" s="1">
        <v>30</v>
      </c>
      <c r="T119" s="1">
        <v>21</v>
      </c>
      <c r="U119" s="1">
        <v>21</v>
      </c>
      <c r="V119" s="1">
        <v>13</v>
      </c>
      <c r="W119" s="1">
        <v>15</v>
      </c>
      <c r="X119" s="1">
        <v>5</v>
      </c>
      <c r="Y119" s="1">
        <v>8</v>
      </c>
    </row>
    <row r="120" spans="1:25" x14ac:dyDescent="0.3">
      <c r="A120" s="2">
        <v>43188</v>
      </c>
      <c r="B120" s="1">
        <v>10</v>
      </c>
      <c r="C120" s="1">
        <v>4</v>
      </c>
      <c r="D120" s="1">
        <v>7</v>
      </c>
      <c r="E120" s="1">
        <v>1</v>
      </c>
      <c r="F120" s="1">
        <v>5</v>
      </c>
      <c r="G120" s="1">
        <v>7</v>
      </c>
      <c r="H120" s="1">
        <v>9</v>
      </c>
      <c r="I120" s="1">
        <v>6</v>
      </c>
      <c r="J120" s="1">
        <v>18</v>
      </c>
      <c r="K120" s="1">
        <v>16</v>
      </c>
      <c r="L120" s="1">
        <v>22</v>
      </c>
      <c r="M120" s="1">
        <v>30</v>
      </c>
      <c r="N120" s="1">
        <v>23</v>
      </c>
      <c r="O120" s="1">
        <v>31</v>
      </c>
      <c r="P120" s="1">
        <v>22</v>
      </c>
      <c r="Q120" s="1">
        <v>47</v>
      </c>
      <c r="R120" s="1">
        <v>27</v>
      </c>
      <c r="S120" s="1">
        <v>34</v>
      </c>
      <c r="T120" s="1">
        <v>21</v>
      </c>
      <c r="U120" s="1">
        <v>22</v>
      </c>
      <c r="V120" s="1">
        <v>13</v>
      </c>
      <c r="W120" s="1">
        <v>19</v>
      </c>
      <c r="X120" s="1">
        <v>4</v>
      </c>
      <c r="Y120" s="1">
        <v>11</v>
      </c>
    </row>
    <row r="121" spans="1:25" x14ac:dyDescent="0.3">
      <c r="A121" s="2">
        <v>43189</v>
      </c>
      <c r="B121" s="1">
        <v>4</v>
      </c>
      <c r="C121" s="1">
        <v>7</v>
      </c>
      <c r="D121" s="1">
        <v>11</v>
      </c>
      <c r="E121" s="1">
        <v>7</v>
      </c>
      <c r="F121" s="1">
        <v>1</v>
      </c>
      <c r="G121" s="1">
        <v>7</v>
      </c>
      <c r="H121" s="1">
        <v>8</v>
      </c>
      <c r="I121" s="1">
        <v>12</v>
      </c>
      <c r="J121" s="1">
        <v>13</v>
      </c>
      <c r="K121" s="1">
        <v>17</v>
      </c>
      <c r="L121" s="1">
        <v>22</v>
      </c>
      <c r="M121" s="1">
        <v>27</v>
      </c>
      <c r="N121" s="1">
        <v>24</v>
      </c>
      <c r="O121" s="1">
        <v>15</v>
      </c>
      <c r="P121" s="1">
        <v>32</v>
      </c>
      <c r="Q121" s="1">
        <v>21</v>
      </c>
      <c r="R121" s="1">
        <v>25</v>
      </c>
      <c r="S121" s="1">
        <v>17</v>
      </c>
      <c r="T121" s="1">
        <v>8</v>
      </c>
      <c r="U121" s="1">
        <v>10</v>
      </c>
      <c r="V121" s="1">
        <v>15</v>
      </c>
      <c r="W121" s="1">
        <v>7</v>
      </c>
      <c r="X121" s="1">
        <v>8</v>
      </c>
      <c r="Y121" s="1">
        <v>21</v>
      </c>
    </row>
    <row r="122" spans="1:25" x14ac:dyDescent="0.3">
      <c r="A122" s="2">
        <v>43190</v>
      </c>
      <c r="B122" s="1">
        <v>17</v>
      </c>
      <c r="C122" s="1">
        <v>5</v>
      </c>
      <c r="D122" s="1">
        <v>9</v>
      </c>
      <c r="E122" s="1">
        <v>10</v>
      </c>
      <c r="F122" s="1">
        <v>6</v>
      </c>
      <c r="G122" s="1">
        <v>3</v>
      </c>
      <c r="H122" s="1">
        <v>4</v>
      </c>
      <c r="I122" s="1">
        <v>8</v>
      </c>
      <c r="J122" s="1">
        <v>16</v>
      </c>
      <c r="K122" s="1">
        <v>26</v>
      </c>
      <c r="L122" s="1">
        <v>18</v>
      </c>
      <c r="M122" s="1">
        <v>17</v>
      </c>
      <c r="N122" s="1">
        <v>26</v>
      </c>
      <c r="O122" s="1">
        <v>14</v>
      </c>
      <c r="P122" s="1">
        <v>12</v>
      </c>
      <c r="Q122" s="1">
        <v>36</v>
      </c>
      <c r="R122" s="1">
        <v>22</v>
      </c>
      <c r="S122" s="1">
        <v>16</v>
      </c>
      <c r="T122" s="1">
        <v>17</v>
      </c>
      <c r="U122" s="1">
        <v>12</v>
      </c>
      <c r="V122" s="1">
        <v>16</v>
      </c>
      <c r="W122" s="1">
        <v>19</v>
      </c>
      <c r="X122" s="1">
        <v>12</v>
      </c>
      <c r="Y122" s="1">
        <v>13</v>
      </c>
    </row>
    <row r="123" spans="1:25" x14ac:dyDescent="0.3">
      <c r="A123" s="2">
        <v>43191</v>
      </c>
      <c r="B123" s="1">
        <v>2</v>
      </c>
      <c r="C123" s="1">
        <v>8</v>
      </c>
      <c r="D123" s="1">
        <v>5</v>
      </c>
      <c r="E123" s="1">
        <v>3</v>
      </c>
      <c r="F123" s="1">
        <v>4</v>
      </c>
      <c r="G123" s="1">
        <v>2</v>
      </c>
      <c r="H123" s="1">
        <v>14</v>
      </c>
      <c r="I123" s="1">
        <v>11</v>
      </c>
      <c r="J123" s="1">
        <v>9</v>
      </c>
      <c r="K123" s="1">
        <v>14</v>
      </c>
      <c r="L123" s="1">
        <v>22</v>
      </c>
      <c r="M123" s="1">
        <v>18</v>
      </c>
      <c r="N123" s="1">
        <v>21</v>
      </c>
      <c r="O123" s="1">
        <v>20</v>
      </c>
      <c r="P123" s="1">
        <v>18</v>
      </c>
      <c r="Q123" s="1">
        <v>15</v>
      </c>
      <c r="R123" s="1">
        <v>17</v>
      </c>
      <c r="S123" s="1">
        <v>10</v>
      </c>
      <c r="T123" s="1">
        <v>16</v>
      </c>
      <c r="U123" s="1">
        <v>13</v>
      </c>
      <c r="V123" s="1">
        <v>13</v>
      </c>
      <c r="W123" s="1">
        <v>18</v>
      </c>
      <c r="X123" s="1">
        <v>10</v>
      </c>
      <c r="Y123" s="1">
        <v>9</v>
      </c>
    </row>
    <row r="124" spans="1:25" x14ac:dyDescent="0.3">
      <c r="A124" s="2">
        <v>43192</v>
      </c>
      <c r="B124" s="1">
        <v>4</v>
      </c>
      <c r="C124" s="1">
        <v>10</v>
      </c>
      <c r="D124" s="1">
        <v>3</v>
      </c>
      <c r="E124" s="1">
        <v>2</v>
      </c>
      <c r="F124" s="1">
        <v>2</v>
      </c>
      <c r="G124" s="1">
        <v>13</v>
      </c>
      <c r="H124" s="1">
        <v>31</v>
      </c>
      <c r="I124" s="1">
        <v>28</v>
      </c>
      <c r="J124" s="1">
        <v>32</v>
      </c>
      <c r="K124" s="1">
        <v>12</v>
      </c>
      <c r="L124" s="1">
        <v>17</v>
      </c>
      <c r="M124" s="1">
        <v>23</v>
      </c>
      <c r="N124" s="1">
        <v>16</v>
      </c>
      <c r="O124" s="1">
        <v>28</v>
      </c>
      <c r="P124" s="1">
        <v>23</v>
      </c>
      <c r="Q124" s="1">
        <v>29</v>
      </c>
      <c r="R124" s="1">
        <v>21</v>
      </c>
      <c r="S124" s="1">
        <v>18</v>
      </c>
      <c r="T124" s="1">
        <v>17</v>
      </c>
      <c r="U124" s="1">
        <v>11</v>
      </c>
      <c r="V124" s="1">
        <v>20</v>
      </c>
      <c r="W124" s="1">
        <v>13</v>
      </c>
      <c r="X124" s="1">
        <v>11</v>
      </c>
      <c r="Y124" s="1">
        <v>9</v>
      </c>
    </row>
    <row r="125" spans="1:25" x14ac:dyDescent="0.3">
      <c r="A125" s="2">
        <v>43193</v>
      </c>
      <c r="B125" s="1">
        <v>9</v>
      </c>
      <c r="C125" s="1">
        <v>6</v>
      </c>
      <c r="D125" s="1">
        <v>3</v>
      </c>
      <c r="E125" s="1">
        <v>6</v>
      </c>
      <c r="F125" s="1">
        <v>4</v>
      </c>
      <c r="G125" s="1">
        <v>5</v>
      </c>
      <c r="H125" s="1">
        <v>13</v>
      </c>
      <c r="I125" s="1">
        <v>11</v>
      </c>
      <c r="J125" s="1">
        <v>19</v>
      </c>
      <c r="K125" s="1">
        <v>5</v>
      </c>
      <c r="L125" s="1">
        <v>20</v>
      </c>
      <c r="M125" s="1">
        <v>15</v>
      </c>
      <c r="N125" s="1">
        <v>11</v>
      </c>
      <c r="O125" s="1">
        <v>15</v>
      </c>
      <c r="P125" s="1">
        <v>30</v>
      </c>
      <c r="Q125" s="1">
        <v>23</v>
      </c>
      <c r="R125" s="1">
        <v>23</v>
      </c>
      <c r="S125" s="1">
        <v>24</v>
      </c>
      <c r="T125" s="1">
        <v>28</v>
      </c>
      <c r="U125" s="1">
        <v>14</v>
      </c>
      <c r="V125" s="1">
        <v>14</v>
      </c>
      <c r="W125" s="1">
        <v>12</v>
      </c>
      <c r="X125" s="1">
        <v>13</v>
      </c>
      <c r="Y125" s="1">
        <v>8</v>
      </c>
    </row>
    <row r="126" spans="1:25" x14ac:dyDescent="0.3">
      <c r="A126" s="2">
        <v>43194</v>
      </c>
      <c r="B126" s="1">
        <v>6</v>
      </c>
      <c r="C126" s="1">
        <v>6</v>
      </c>
      <c r="D126" s="1">
        <v>5</v>
      </c>
      <c r="E126" s="1">
        <v>2</v>
      </c>
      <c r="F126" s="1">
        <v>5</v>
      </c>
      <c r="G126" s="1">
        <v>7</v>
      </c>
      <c r="H126" s="1">
        <v>15</v>
      </c>
      <c r="I126" s="1">
        <v>13</v>
      </c>
      <c r="J126" s="1">
        <v>29</v>
      </c>
      <c r="K126" s="1">
        <v>27</v>
      </c>
      <c r="L126" s="1">
        <v>25</v>
      </c>
      <c r="M126" s="1">
        <v>15</v>
      </c>
      <c r="N126" s="1">
        <v>17</v>
      </c>
      <c r="O126" s="1">
        <v>16</v>
      </c>
      <c r="P126" s="1">
        <v>35</v>
      </c>
      <c r="Q126" s="1">
        <v>48</v>
      </c>
      <c r="R126" s="1">
        <v>59</v>
      </c>
      <c r="S126" s="1">
        <v>42</v>
      </c>
      <c r="T126" s="1">
        <v>34</v>
      </c>
      <c r="U126" s="1">
        <v>19</v>
      </c>
      <c r="V126" s="1">
        <v>19</v>
      </c>
      <c r="W126" s="1">
        <v>14</v>
      </c>
      <c r="X126" s="1">
        <v>14</v>
      </c>
      <c r="Y126" s="1">
        <v>8</v>
      </c>
    </row>
    <row r="127" spans="1:25" x14ac:dyDescent="0.3">
      <c r="A127" s="2">
        <v>43195</v>
      </c>
      <c r="B127" s="1">
        <v>4</v>
      </c>
      <c r="C127" s="1">
        <v>4</v>
      </c>
      <c r="D127" s="1">
        <v>1</v>
      </c>
      <c r="E127" s="1">
        <v>4</v>
      </c>
      <c r="F127" s="1">
        <v>5</v>
      </c>
      <c r="G127" s="1">
        <v>3</v>
      </c>
      <c r="H127" s="1">
        <v>9</v>
      </c>
      <c r="I127" s="1">
        <v>20</v>
      </c>
      <c r="J127" s="1">
        <v>22</v>
      </c>
      <c r="K127" s="1">
        <v>22</v>
      </c>
      <c r="L127" s="1">
        <v>26</v>
      </c>
      <c r="M127" s="1">
        <v>16</v>
      </c>
      <c r="N127" s="1">
        <v>18</v>
      </c>
      <c r="O127" s="1">
        <v>22</v>
      </c>
      <c r="P127" s="1">
        <v>27</v>
      </c>
      <c r="Q127" s="1">
        <v>31</v>
      </c>
      <c r="R127" s="1">
        <v>15</v>
      </c>
      <c r="S127" s="1">
        <v>36</v>
      </c>
      <c r="T127" s="1">
        <v>18</v>
      </c>
      <c r="U127" s="1">
        <v>13</v>
      </c>
      <c r="V127" s="1">
        <v>14</v>
      </c>
      <c r="W127" s="1">
        <v>13</v>
      </c>
      <c r="X127" s="1">
        <v>15</v>
      </c>
      <c r="Y127" s="1">
        <v>10</v>
      </c>
    </row>
    <row r="128" spans="1:25" x14ac:dyDescent="0.3">
      <c r="A128" s="2">
        <v>43196</v>
      </c>
      <c r="B128" s="1">
        <v>7</v>
      </c>
      <c r="C128" s="1">
        <v>6</v>
      </c>
      <c r="D128" s="1">
        <v>5</v>
      </c>
      <c r="E128" s="1">
        <v>5</v>
      </c>
      <c r="F128" s="1">
        <v>6</v>
      </c>
      <c r="G128" s="1">
        <v>5</v>
      </c>
      <c r="H128" s="1">
        <v>11</v>
      </c>
      <c r="I128" s="1">
        <v>16</v>
      </c>
      <c r="J128" s="1">
        <v>26</v>
      </c>
      <c r="K128" s="1">
        <v>24</v>
      </c>
      <c r="L128" s="1">
        <v>28</v>
      </c>
      <c r="M128" s="1">
        <v>26</v>
      </c>
      <c r="N128" s="1">
        <v>35</v>
      </c>
      <c r="O128" s="1">
        <v>23</v>
      </c>
      <c r="P128" s="1">
        <v>25</v>
      </c>
      <c r="Q128" s="1">
        <v>16</v>
      </c>
      <c r="R128" s="1">
        <v>22</v>
      </c>
      <c r="S128" s="1">
        <v>31</v>
      </c>
      <c r="T128" s="1">
        <v>14</v>
      </c>
      <c r="U128" s="1">
        <v>12</v>
      </c>
      <c r="V128" s="1">
        <v>12</v>
      </c>
      <c r="W128" s="1">
        <v>19</v>
      </c>
      <c r="X128" s="1">
        <v>10</v>
      </c>
      <c r="Y128" s="1">
        <v>13</v>
      </c>
    </row>
    <row r="129" spans="1:25" x14ac:dyDescent="0.3">
      <c r="A129" s="2">
        <v>43197</v>
      </c>
      <c r="B129" s="1">
        <v>10</v>
      </c>
      <c r="C129" s="1">
        <v>5</v>
      </c>
      <c r="D129" s="1">
        <v>7</v>
      </c>
      <c r="E129" s="1">
        <v>8</v>
      </c>
      <c r="F129" s="1">
        <v>1</v>
      </c>
      <c r="G129" s="1">
        <v>7</v>
      </c>
      <c r="H129" s="1">
        <v>5</v>
      </c>
      <c r="I129" s="1">
        <v>7</v>
      </c>
      <c r="J129" s="1">
        <v>12</v>
      </c>
      <c r="K129" s="1">
        <v>10</v>
      </c>
      <c r="L129" s="1">
        <v>22</v>
      </c>
      <c r="M129" s="1">
        <v>16</v>
      </c>
      <c r="N129" s="1">
        <v>20</v>
      </c>
      <c r="O129" s="1">
        <v>17</v>
      </c>
      <c r="P129" s="1">
        <v>23</v>
      </c>
      <c r="Q129" s="1">
        <v>24</v>
      </c>
      <c r="R129" s="1">
        <v>12</v>
      </c>
      <c r="S129" s="1">
        <v>20</v>
      </c>
      <c r="T129" s="1">
        <v>22</v>
      </c>
      <c r="U129" s="1">
        <v>12</v>
      </c>
      <c r="V129" s="1">
        <v>14</v>
      </c>
      <c r="W129" s="1">
        <v>11</v>
      </c>
      <c r="X129" s="1">
        <v>13</v>
      </c>
      <c r="Y129" s="1">
        <v>16</v>
      </c>
    </row>
    <row r="130" spans="1:25" x14ac:dyDescent="0.3">
      <c r="A130" s="2">
        <v>43198</v>
      </c>
      <c r="B130" s="1">
        <v>12</v>
      </c>
      <c r="C130" s="1">
        <v>6</v>
      </c>
      <c r="D130" s="1">
        <v>6</v>
      </c>
      <c r="E130" s="1">
        <v>3</v>
      </c>
      <c r="F130" s="1">
        <v>3</v>
      </c>
      <c r="G130" s="1">
        <v>3</v>
      </c>
      <c r="H130" s="1">
        <v>12</v>
      </c>
      <c r="I130" s="1">
        <v>9</v>
      </c>
      <c r="J130" s="1">
        <v>13</v>
      </c>
      <c r="K130" s="1">
        <v>12</v>
      </c>
      <c r="L130" s="1">
        <v>23</v>
      </c>
      <c r="M130" s="1">
        <v>21</v>
      </c>
      <c r="N130" s="1">
        <v>18</v>
      </c>
      <c r="O130" s="1">
        <v>16</v>
      </c>
      <c r="P130" s="1">
        <v>17</v>
      </c>
      <c r="Q130" s="1">
        <v>17</v>
      </c>
      <c r="R130" s="1">
        <v>18</v>
      </c>
      <c r="S130" s="1">
        <v>14</v>
      </c>
      <c r="T130" s="1">
        <v>14</v>
      </c>
      <c r="U130" s="1">
        <v>16</v>
      </c>
      <c r="V130" s="1">
        <v>17</v>
      </c>
      <c r="W130" s="1">
        <v>11</v>
      </c>
      <c r="X130" s="1">
        <v>8</v>
      </c>
      <c r="Y130" s="1">
        <v>6</v>
      </c>
    </row>
    <row r="131" spans="1:25" x14ac:dyDescent="0.3">
      <c r="A131" s="2">
        <v>43199</v>
      </c>
      <c r="B131" s="1">
        <v>1</v>
      </c>
      <c r="C131" s="1">
        <v>2</v>
      </c>
      <c r="D131" s="1">
        <v>1</v>
      </c>
      <c r="E131" s="1">
        <v>7</v>
      </c>
      <c r="F131" s="1">
        <v>4</v>
      </c>
      <c r="G131" s="1">
        <v>10</v>
      </c>
      <c r="H131" s="1">
        <v>5</v>
      </c>
      <c r="I131" s="1">
        <v>19</v>
      </c>
      <c r="J131" s="1">
        <v>20</v>
      </c>
      <c r="K131" s="1">
        <v>35</v>
      </c>
      <c r="L131" s="1">
        <v>21</v>
      </c>
      <c r="M131" s="1">
        <v>21</v>
      </c>
      <c r="N131" s="1">
        <v>26</v>
      </c>
      <c r="O131" s="1">
        <v>22</v>
      </c>
      <c r="P131" s="1">
        <v>19</v>
      </c>
      <c r="Q131" s="1">
        <v>24</v>
      </c>
      <c r="R131" s="1">
        <v>26</v>
      </c>
      <c r="S131" s="1">
        <v>21</v>
      </c>
      <c r="T131" s="1">
        <v>20</v>
      </c>
      <c r="U131" s="1">
        <v>15</v>
      </c>
      <c r="V131" s="1">
        <v>11</v>
      </c>
      <c r="W131" s="1">
        <v>10</v>
      </c>
      <c r="X131" s="1">
        <v>6</v>
      </c>
      <c r="Y131" s="1">
        <v>11</v>
      </c>
    </row>
    <row r="132" spans="1:25" x14ac:dyDescent="0.3">
      <c r="A132" s="2">
        <v>43200</v>
      </c>
      <c r="B132" s="1">
        <v>4</v>
      </c>
      <c r="C132" s="1">
        <v>2</v>
      </c>
      <c r="D132" s="1">
        <v>4</v>
      </c>
      <c r="E132" s="1">
        <v>7</v>
      </c>
      <c r="F132" s="1">
        <v>4</v>
      </c>
      <c r="G132" s="1">
        <v>5</v>
      </c>
      <c r="H132" s="1">
        <v>11</v>
      </c>
      <c r="I132" s="1">
        <v>11</v>
      </c>
      <c r="J132" s="1">
        <v>17</v>
      </c>
      <c r="K132" s="1">
        <v>16</v>
      </c>
      <c r="L132" s="1">
        <v>17</v>
      </c>
      <c r="M132" s="1">
        <v>27</v>
      </c>
      <c r="N132" s="1">
        <v>8</v>
      </c>
      <c r="O132" s="1">
        <v>13</v>
      </c>
      <c r="P132" s="1">
        <v>21</v>
      </c>
      <c r="Q132" s="1">
        <v>23</v>
      </c>
      <c r="R132" s="1">
        <v>16</v>
      </c>
      <c r="S132" s="1">
        <v>16</v>
      </c>
      <c r="T132" s="1">
        <v>17</v>
      </c>
      <c r="U132" s="1">
        <v>12</v>
      </c>
      <c r="V132" s="1">
        <v>14</v>
      </c>
      <c r="W132" s="1">
        <v>13</v>
      </c>
      <c r="X132" s="1">
        <v>13</v>
      </c>
      <c r="Y132" s="1">
        <v>12</v>
      </c>
    </row>
    <row r="133" spans="1:25" x14ac:dyDescent="0.3">
      <c r="A133" s="2">
        <v>43201</v>
      </c>
      <c r="B133" s="1">
        <v>6</v>
      </c>
      <c r="C133" s="1">
        <v>9</v>
      </c>
      <c r="D133" s="1">
        <v>5</v>
      </c>
      <c r="E133" s="1">
        <v>4</v>
      </c>
      <c r="F133" s="1">
        <v>11</v>
      </c>
      <c r="G133" s="1">
        <v>8</v>
      </c>
      <c r="H133" s="1">
        <v>11</v>
      </c>
      <c r="I133" s="1">
        <v>20</v>
      </c>
      <c r="J133" s="1">
        <v>17</v>
      </c>
      <c r="K133" s="1">
        <v>18</v>
      </c>
      <c r="L133" s="1">
        <v>22</v>
      </c>
      <c r="M133" s="1">
        <v>25</v>
      </c>
      <c r="N133" s="1">
        <v>27</v>
      </c>
      <c r="O133" s="1">
        <v>19</v>
      </c>
      <c r="P133" s="1">
        <v>18</v>
      </c>
      <c r="Q133" s="1">
        <v>21</v>
      </c>
      <c r="R133" s="1">
        <v>26</v>
      </c>
      <c r="S133" s="1">
        <v>32</v>
      </c>
      <c r="T133" s="1">
        <v>24</v>
      </c>
      <c r="U133" s="1">
        <v>23</v>
      </c>
      <c r="V133" s="1">
        <v>17</v>
      </c>
      <c r="W133" s="1">
        <v>10</v>
      </c>
      <c r="X133" s="1">
        <v>9</v>
      </c>
      <c r="Y133" s="1">
        <v>10</v>
      </c>
    </row>
    <row r="134" spans="1:25" x14ac:dyDescent="0.3">
      <c r="A134" s="2">
        <v>43202</v>
      </c>
      <c r="B134" s="1">
        <v>3</v>
      </c>
      <c r="C134" s="1">
        <v>7</v>
      </c>
      <c r="D134" s="1">
        <v>5</v>
      </c>
      <c r="E134" s="1">
        <v>6</v>
      </c>
      <c r="F134" s="1">
        <v>6</v>
      </c>
      <c r="G134" s="1">
        <v>5</v>
      </c>
      <c r="H134" s="1">
        <v>13</v>
      </c>
      <c r="I134" s="1">
        <v>18</v>
      </c>
      <c r="J134" s="1">
        <v>22</v>
      </c>
      <c r="K134" s="1">
        <v>25</v>
      </c>
      <c r="L134" s="1">
        <v>16</v>
      </c>
      <c r="M134" s="1">
        <v>14</v>
      </c>
      <c r="N134" s="1">
        <v>23</v>
      </c>
      <c r="O134" s="1">
        <v>27</v>
      </c>
      <c r="P134" s="1">
        <v>18</v>
      </c>
      <c r="Q134" s="1">
        <v>29</v>
      </c>
      <c r="R134" s="1">
        <v>36</v>
      </c>
      <c r="S134" s="1">
        <v>25</v>
      </c>
      <c r="T134" s="1">
        <v>34</v>
      </c>
      <c r="U134" s="1">
        <v>19</v>
      </c>
      <c r="V134" s="1">
        <v>19</v>
      </c>
      <c r="W134" s="1">
        <v>13</v>
      </c>
      <c r="X134" s="1">
        <v>8</v>
      </c>
      <c r="Y134" s="1">
        <v>10</v>
      </c>
    </row>
    <row r="135" spans="1:25" x14ac:dyDescent="0.3">
      <c r="A135" s="2">
        <v>43203</v>
      </c>
      <c r="B135" s="1">
        <v>2</v>
      </c>
      <c r="C135" s="1">
        <v>6</v>
      </c>
      <c r="D135" s="1">
        <v>10</v>
      </c>
      <c r="E135" s="1">
        <v>3</v>
      </c>
      <c r="F135" s="1">
        <v>3</v>
      </c>
      <c r="G135" s="1">
        <v>3</v>
      </c>
      <c r="H135" s="1">
        <v>8</v>
      </c>
      <c r="I135" s="1">
        <v>11</v>
      </c>
      <c r="J135" s="1">
        <v>13</v>
      </c>
      <c r="K135" s="1">
        <v>29</v>
      </c>
      <c r="L135" s="1">
        <v>20</v>
      </c>
      <c r="M135" s="1">
        <v>20</v>
      </c>
      <c r="N135" s="1">
        <v>26</v>
      </c>
      <c r="O135" s="1">
        <v>26</v>
      </c>
      <c r="P135" s="1">
        <v>24</v>
      </c>
      <c r="Q135" s="1">
        <v>44</v>
      </c>
      <c r="R135" s="1">
        <v>49</v>
      </c>
      <c r="S135" s="1">
        <v>30</v>
      </c>
      <c r="T135" s="1">
        <v>22</v>
      </c>
      <c r="U135" s="1">
        <v>20</v>
      </c>
      <c r="V135" s="1">
        <v>24</v>
      </c>
      <c r="W135" s="1">
        <v>13</v>
      </c>
      <c r="X135" s="1">
        <v>15</v>
      </c>
      <c r="Y135" s="1">
        <v>23</v>
      </c>
    </row>
    <row r="136" spans="1:25" x14ac:dyDescent="0.3">
      <c r="A136" s="2">
        <v>43204</v>
      </c>
      <c r="B136" s="1">
        <v>6</v>
      </c>
      <c r="C136" s="1">
        <v>11</v>
      </c>
      <c r="D136" s="1">
        <v>6</v>
      </c>
      <c r="E136" s="1">
        <v>3</v>
      </c>
      <c r="F136" s="1">
        <v>5</v>
      </c>
      <c r="G136" s="1">
        <v>5</v>
      </c>
      <c r="H136" s="1">
        <v>4</v>
      </c>
      <c r="I136" s="1">
        <v>7</v>
      </c>
      <c r="J136" s="1">
        <v>10</v>
      </c>
      <c r="K136" s="1">
        <v>23</v>
      </c>
      <c r="L136" s="1">
        <v>27</v>
      </c>
      <c r="M136" s="1">
        <v>26</v>
      </c>
      <c r="N136" s="1">
        <v>36</v>
      </c>
      <c r="O136" s="1">
        <v>28</v>
      </c>
      <c r="P136" s="1">
        <v>35</v>
      </c>
      <c r="Q136" s="1">
        <v>26</v>
      </c>
      <c r="R136" s="1">
        <v>29</v>
      </c>
      <c r="S136" s="1">
        <v>21</v>
      </c>
      <c r="T136" s="1">
        <v>16</v>
      </c>
      <c r="U136" s="1">
        <v>16</v>
      </c>
      <c r="V136" s="1">
        <v>20</v>
      </c>
      <c r="W136" s="1">
        <v>18</v>
      </c>
      <c r="X136" s="1">
        <v>24</v>
      </c>
      <c r="Y136" s="1">
        <v>6</v>
      </c>
    </row>
    <row r="137" spans="1:25" x14ac:dyDescent="0.3">
      <c r="A137" s="2">
        <v>43205</v>
      </c>
      <c r="B137" s="1">
        <v>21</v>
      </c>
      <c r="C137" s="1">
        <v>14</v>
      </c>
      <c r="D137" s="1">
        <v>12</v>
      </c>
      <c r="E137" s="1">
        <v>3</v>
      </c>
      <c r="F137" s="1">
        <v>10</v>
      </c>
      <c r="G137" s="1">
        <v>10</v>
      </c>
      <c r="H137" s="1">
        <v>1</v>
      </c>
      <c r="I137" s="1">
        <v>4</v>
      </c>
      <c r="J137" s="1">
        <v>10</v>
      </c>
      <c r="K137" s="1">
        <v>11</v>
      </c>
      <c r="L137" s="1">
        <v>21</v>
      </c>
      <c r="M137" s="1">
        <v>28</v>
      </c>
      <c r="N137" s="1">
        <v>20</v>
      </c>
      <c r="O137" s="1">
        <v>20</v>
      </c>
      <c r="P137" s="1">
        <v>12</v>
      </c>
      <c r="Q137" s="1">
        <v>22</v>
      </c>
      <c r="R137" s="1">
        <v>8</v>
      </c>
      <c r="S137" s="1">
        <v>10</v>
      </c>
      <c r="T137" s="1">
        <v>33</v>
      </c>
      <c r="U137" s="1">
        <v>15</v>
      </c>
      <c r="V137" s="1">
        <v>21</v>
      </c>
      <c r="W137" s="1">
        <v>23</v>
      </c>
      <c r="X137" s="1">
        <v>14</v>
      </c>
      <c r="Y137" s="1">
        <v>10</v>
      </c>
    </row>
    <row r="138" spans="1:25" x14ac:dyDescent="0.3">
      <c r="A138" s="2">
        <v>43206</v>
      </c>
      <c r="B138" s="1">
        <v>5</v>
      </c>
      <c r="C138" s="1">
        <v>9</v>
      </c>
      <c r="D138" s="1">
        <v>8</v>
      </c>
      <c r="E138" s="1">
        <v>4</v>
      </c>
      <c r="F138" s="1">
        <v>8</v>
      </c>
      <c r="G138" s="1">
        <v>12</v>
      </c>
      <c r="H138" s="1">
        <v>32</v>
      </c>
      <c r="I138" s="1">
        <v>47</v>
      </c>
      <c r="J138" s="1">
        <v>47</v>
      </c>
      <c r="K138" s="1">
        <v>40</v>
      </c>
      <c r="L138" s="1">
        <v>32</v>
      </c>
      <c r="M138" s="1">
        <v>24</v>
      </c>
      <c r="N138" s="1">
        <v>34</v>
      </c>
      <c r="O138" s="1">
        <v>34</v>
      </c>
      <c r="P138" s="1">
        <v>25</v>
      </c>
      <c r="Q138" s="1">
        <v>27</v>
      </c>
      <c r="R138" s="1">
        <v>34</v>
      </c>
      <c r="S138" s="1">
        <v>25</v>
      </c>
      <c r="T138" s="1">
        <v>16</v>
      </c>
      <c r="U138" s="1">
        <v>14</v>
      </c>
      <c r="V138" s="1">
        <v>11</v>
      </c>
      <c r="W138" s="1">
        <v>12</v>
      </c>
      <c r="X138" s="1">
        <v>9</v>
      </c>
      <c r="Y138" s="1">
        <v>10</v>
      </c>
    </row>
    <row r="139" spans="1:25" x14ac:dyDescent="0.3">
      <c r="A139" s="2">
        <v>43207</v>
      </c>
      <c r="B139" s="1">
        <v>9</v>
      </c>
      <c r="C139" s="1">
        <v>7</v>
      </c>
      <c r="D139" s="1">
        <v>3</v>
      </c>
      <c r="E139" s="1">
        <v>12</v>
      </c>
      <c r="F139" s="1">
        <v>6</v>
      </c>
      <c r="G139" s="1">
        <v>5</v>
      </c>
      <c r="H139" s="1">
        <v>13</v>
      </c>
      <c r="I139" s="1">
        <v>12</v>
      </c>
      <c r="J139" s="1">
        <v>16</v>
      </c>
      <c r="K139" s="1">
        <v>16</v>
      </c>
      <c r="L139" s="1">
        <v>21</v>
      </c>
      <c r="M139" s="1">
        <v>27</v>
      </c>
      <c r="N139" s="1">
        <v>22</v>
      </c>
      <c r="O139" s="1">
        <v>23</v>
      </c>
      <c r="P139" s="1">
        <v>18</v>
      </c>
      <c r="Q139" s="1">
        <v>28</v>
      </c>
      <c r="R139" s="1">
        <v>28</v>
      </c>
      <c r="S139" s="1">
        <v>22</v>
      </c>
      <c r="T139" s="1">
        <v>6</v>
      </c>
      <c r="U139" s="1">
        <v>17</v>
      </c>
      <c r="V139" s="1">
        <v>19</v>
      </c>
      <c r="W139" s="1">
        <v>15</v>
      </c>
      <c r="X139" s="1">
        <v>19</v>
      </c>
      <c r="Y139" s="1">
        <v>9</v>
      </c>
    </row>
    <row r="140" spans="1:25" x14ac:dyDescent="0.3">
      <c r="A140" s="2">
        <v>43208</v>
      </c>
      <c r="B140" s="1">
        <v>3</v>
      </c>
      <c r="C140" s="1">
        <v>6</v>
      </c>
      <c r="D140" s="1">
        <v>4</v>
      </c>
      <c r="E140" s="1">
        <v>2</v>
      </c>
      <c r="F140" s="1">
        <v>6</v>
      </c>
      <c r="G140" s="1">
        <v>7</v>
      </c>
      <c r="H140" s="1">
        <v>7</v>
      </c>
      <c r="I140" s="1">
        <v>18</v>
      </c>
      <c r="J140" s="1">
        <v>22</v>
      </c>
      <c r="K140" s="1">
        <v>23</v>
      </c>
      <c r="L140" s="1">
        <v>14</v>
      </c>
      <c r="M140" s="1">
        <v>19</v>
      </c>
      <c r="N140" s="1">
        <v>14</v>
      </c>
      <c r="O140" s="1">
        <v>17</v>
      </c>
      <c r="P140" s="1">
        <v>16</v>
      </c>
      <c r="Q140" s="1">
        <v>27</v>
      </c>
      <c r="R140" s="1">
        <v>35</v>
      </c>
      <c r="S140" s="1">
        <v>28</v>
      </c>
      <c r="T140" s="1">
        <v>24</v>
      </c>
      <c r="U140" s="1">
        <v>12</v>
      </c>
      <c r="V140" s="1">
        <v>22</v>
      </c>
      <c r="W140" s="1">
        <v>12</v>
      </c>
      <c r="X140" s="1">
        <v>6</v>
      </c>
      <c r="Y140" s="1">
        <v>4</v>
      </c>
    </row>
    <row r="141" spans="1:25" x14ac:dyDescent="0.3">
      <c r="A141" s="2">
        <v>43209</v>
      </c>
      <c r="B141" s="1">
        <v>6</v>
      </c>
      <c r="C141" s="1">
        <v>3</v>
      </c>
      <c r="D141" s="1">
        <v>2</v>
      </c>
      <c r="E141" s="1">
        <v>1</v>
      </c>
      <c r="F141" s="1">
        <v>10</v>
      </c>
      <c r="G141" s="1">
        <v>7</v>
      </c>
      <c r="H141" s="1">
        <v>8</v>
      </c>
      <c r="I141" s="1">
        <v>17</v>
      </c>
      <c r="J141" s="1">
        <v>18</v>
      </c>
      <c r="K141" s="1">
        <v>17</v>
      </c>
      <c r="L141" s="1">
        <v>22</v>
      </c>
      <c r="M141" s="1">
        <v>17</v>
      </c>
      <c r="N141" s="1">
        <v>23</v>
      </c>
      <c r="O141" s="1">
        <v>17</v>
      </c>
      <c r="P141" s="1">
        <v>25</v>
      </c>
      <c r="Q141" s="1">
        <v>23</v>
      </c>
      <c r="R141" s="1">
        <v>33</v>
      </c>
      <c r="S141" s="1">
        <v>22</v>
      </c>
      <c r="T141" s="1">
        <v>15</v>
      </c>
      <c r="U141" s="1">
        <v>13</v>
      </c>
      <c r="V141" s="1">
        <v>15</v>
      </c>
      <c r="W141" s="1">
        <v>12</v>
      </c>
      <c r="X141" s="1">
        <v>13</v>
      </c>
      <c r="Y141" s="1">
        <v>11</v>
      </c>
    </row>
    <row r="142" spans="1:25" x14ac:dyDescent="0.3">
      <c r="A142" s="2">
        <v>43210</v>
      </c>
      <c r="B142" s="1">
        <v>8</v>
      </c>
      <c r="C142" s="1">
        <v>6</v>
      </c>
      <c r="D142" s="1">
        <v>3</v>
      </c>
      <c r="E142" s="1">
        <v>7</v>
      </c>
      <c r="F142" s="1">
        <v>5</v>
      </c>
      <c r="G142" s="1">
        <v>5</v>
      </c>
      <c r="H142" s="1">
        <v>17</v>
      </c>
      <c r="I142" s="1">
        <v>18</v>
      </c>
      <c r="J142" s="1">
        <v>18</v>
      </c>
      <c r="K142" s="1">
        <v>23</v>
      </c>
      <c r="L142" s="1">
        <v>25</v>
      </c>
      <c r="M142" s="1">
        <v>23</v>
      </c>
      <c r="N142" s="1">
        <v>24</v>
      </c>
      <c r="O142" s="1">
        <v>8</v>
      </c>
      <c r="P142" s="1">
        <v>23</v>
      </c>
      <c r="Q142" s="1">
        <v>30</v>
      </c>
      <c r="R142" s="1">
        <v>29</v>
      </c>
      <c r="S142" s="1">
        <v>29</v>
      </c>
      <c r="T142" s="1">
        <v>29</v>
      </c>
      <c r="U142" s="1">
        <v>12</v>
      </c>
      <c r="V142" s="1">
        <v>20</v>
      </c>
      <c r="W142" s="1">
        <v>19</v>
      </c>
      <c r="X142" s="1">
        <v>19</v>
      </c>
      <c r="Y142" s="1">
        <v>5</v>
      </c>
    </row>
    <row r="143" spans="1:25" x14ac:dyDescent="0.3">
      <c r="A143" s="2">
        <v>43211</v>
      </c>
      <c r="B143" s="1">
        <v>9</v>
      </c>
      <c r="C143" s="1">
        <v>12</v>
      </c>
      <c r="D143" s="1">
        <v>2</v>
      </c>
      <c r="E143" s="1">
        <v>6</v>
      </c>
      <c r="F143" s="1">
        <v>4</v>
      </c>
      <c r="G143" s="1">
        <v>2</v>
      </c>
      <c r="H143" s="1">
        <v>10</v>
      </c>
      <c r="I143" s="1">
        <v>12</v>
      </c>
      <c r="J143" s="1">
        <v>16</v>
      </c>
      <c r="K143" s="1">
        <v>17</v>
      </c>
      <c r="L143" s="1">
        <v>20</v>
      </c>
      <c r="M143" s="1">
        <v>27</v>
      </c>
      <c r="N143" s="1">
        <v>24</v>
      </c>
      <c r="O143" s="1">
        <v>19</v>
      </c>
      <c r="P143" s="1">
        <v>23</v>
      </c>
      <c r="Q143" s="1">
        <v>25</v>
      </c>
      <c r="R143" s="1">
        <v>21</v>
      </c>
      <c r="S143" s="1">
        <v>26</v>
      </c>
      <c r="T143" s="1">
        <v>17</v>
      </c>
      <c r="U143" s="1">
        <v>15</v>
      </c>
      <c r="V143" s="1">
        <v>15</v>
      </c>
      <c r="W143" s="1">
        <v>14</v>
      </c>
      <c r="X143" s="1">
        <v>19</v>
      </c>
      <c r="Y143" s="1">
        <v>10</v>
      </c>
    </row>
    <row r="144" spans="1:25" x14ac:dyDescent="0.3">
      <c r="A144" s="2">
        <v>43212</v>
      </c>
      <c r="B144" s="1">
        <v>12</v>
      </c>
      <c r="C144" s="1">
        <v>9</v>
      </c>
      <c r="D144" s="1">
        <v>18</v>
      </c>
      <c r="E144" s="1">
        <v>4</v>
      </c>
      <c r="F144" s="1">
        <v>13</v>
      </c>
      <c r="G144" s="1">
        <v>4</v>
      </c>
      <c r="H144" s="1">
        <v>4</v>
      </c>
      <c r="I144" s="1">
        <v>12</v>
      </c>
      <c r="J144" s="1">
        <v>8</v>
      </c>
      <c r="K144" s="1">
        <v>18</v>
      </c>
      <c r="L144" s="1">
        <v>18</v>
      </c>
      <c r="M144" s="1">
        <v>21</v>
      </c>
      <c r="N144" s="1">
        <v>19</v>
      </c>
      <c r="O144" s="1">
        <v>27</v>
      </c>
      <c r="P144" s="1">
        <v>24</v>
      </c>
      <c r="Q144" s="1">
        <v>19</v>
      </c>
      <c r="R144" s="1">
        <v>23</v>
      </c>
      <c r="S144" s="1">
        <v>28</v>
      </c>
      <c r="T144" s="1">
        <v>16</v>
      </c>
      <c r="U144" s="1">
        <v>15</v>
      </c>
      <c r="V144" s="1">
        <v>21</v>
      </c>
      <c r="W144" s="1">
        <v>7</v>
      </c>
      <c r="X144" s="1">
        <v>10</v>
      </c>
      <c r="Y144" s="1">
        <v>8</v>
      </c>
    </row>
    <row r="145" spans="1:25" x14ac:dyDescent="0.3">
      <c r="A145" s="2">
        <v>43213</v>
      </c>
      <c r="B145" s="1">
        <v>5</v>
      </c>
      <c r="C145" s="1">
        <v>4</v>
      </c>
      <c r="D145" s="1">
        <v>1</v>
      </c>
      <c r="E145" s="1">
        <v>3</v>
      </c>
      <c r="F145" s="1">
        <v>7</v>
      </c>
      <c r="G145" s="1">
        <v>4</v>
      </c>
      <c r="H145" s="1">
        <v>19</v>
      </c>
      <c r="I145" s="1">
        <v>29</v>
      </c>
      <c r="J145" s="1">
        <v>20</v>
      </c>
      <c r="K145" s="1">
        <v>23</v>
      </c>
      <c r="L145" s="1">
        <v>29</v>
      </c>
      <c r="M145" s="1">
        <v>40</v>
      </c>
      <c r="N145" s="1">
        <v>20</v>
      </c>
      <c r="O145" s="1">
        <v>22</v>
      </c>
      <c r="P145" s="1">
        <v>27</v>
      </c>
      <c r="Q145" s="1">
        <v>20</v>
      </c>
      <c r="R145" s="1">
        <v>26</v>
      </c>
      <c r="S145" s="1">
        <v>27</v>
      </c>
      <c r="T145" s="1">
        <v>18</v>
      </c>
      <c r="U145" s="1">
        <v>21</v>
      </c>
      <c r="V145" s="1">
        <v>15</v>
      </c>
      <c r="W145" s="1">
        <v>15</v>
      </c>
      <c r="X145" s="1">
        <v>12</v>
      </c>
      <c r="Y145" s="1">
        <v>5</v>
      </c>
    </row>
    <row r="146" spans="1:25" x14ac:dyDescent="0.3">
      <c r="A146" s="2">
        <v>43214</v>
      </c>
      <c r="B146" s="1">
        <v>2</v>
      </c>
      <c r="C146" s="1">
        <v>4</v>
      </c>
      <c r="D146" s="1">
        <v>2</v>
      </c>
      <c r="E146" s="1">
        <v>4</v>
      </c>
      <c r="F146" s="1">
        <v>4</v>
      </c>
      <c r="G146" s="1">
        <v>2</v>
      </c>
      <c r="H146" s="1">
        <v>11</v>
      </c>
      <c r="I146" s="1">
        <v>17</v>
      </c>
      <c r="J146" s="1">
        <v>16</v>
      </c>
      <c r="K146" s="1">
        <v>27</v>
      </c>
      <c r="L146" s="1">
        <v>13</v>
      </c>
      <c r="M146" s="1">
        <v>22</v>
      </c>
      <c r="N146" s="1">
        <v>22</v>
      </c>
      <c r="O146" s="1">
        <v>17</v>
      </c>
      <c r="P146" s="1">
        <v>21</v>
      </c>
      <c r="Q146" s="1">
        <v>31</v>
      </c>
      <c r="R146" s="1">
        <v>19</v>
      </c>
      <c r="S146" s="1">
        <v>26</v>
      </c>
      <c r="T146" s="1">
        <v>19</v>
      </c>
      <c r="U146" s="1">
        <v>24</v>
      </c>
      <c r="V146" s="1">
        <v>15</v>
      </c>
      <c r="W146" s="1">
        <v>9</v>
      </c>
      <c r="X146" s="1">
        <v>9</v>
      </c>
      <c r="Y146" s="1">
        <v>5</v>
      </c>
    </row>
    <row r="147" spans="1:25" x14ac:dyDescent="0.3">
      <c r="A147" s="2">
        <v>43215</v>
      </c>
      <c r="B147" s="1">
        <v>7</v>
      </c>
      <c r="C147" s="1">
        <v>7</v>
      </c>
      <c r="D147" s="1">
        <v>2</v>
      </c>
      <c r="E147" s="1">
        <v>3</v>
      </c>
      <c r="F147" s="1">
        <v>3</v>
      </c>
      <c r="G147" s="1">
        <v>10</v>
      </c>
      <c r="H147" s="1">
        <v>8</v>
      </c>
      <c r="I147" s="1">
        <v>28</v>
      </c>
      <c r="J147" s="1">
        <v>22</v>
      </c>
      <c r="K147" s="1">
        <v>22</v>
      </c>
      <c r="L147" s="1">
        <v>17</v>
      </c>
      <c r="M147" s="1">
        <v>22</v>
      </c>
      <c r="N147" s="1">
        <v>24</v>
      </c>
      <c r="O147" s="1">
        <v>21</v>
      </c>
      <c r="P147" s="1">
        <v>23</v>
      </c>
      <c r="Q147" s="1">
        <v>25</v>
      </c>
      <c r="R147" s="1">
        <v>13</v>
      </c>
      <c r="S147" s="1">
        <v>22</v>
      </c>
      <c r="T147" s="1">
        <v>22</v>
      </c>
      <c r="U147" s="1">
        <v>15</v>
      </c>
      <c r="V147" s="1">
        <v>16</v>
      </c>
      <c r="W147" s="1">
        <v>35</v>
      </c>
      <c r="X147" s="1">
        <v>11</v>
      </c>
      <c r="Y147" s="1">
        <v>8</v>
      </c>
    </row>
    <row r="148" spans="1:25" x14ac:dyDescent="0.3">
      <c r="A148" s="2">
        <v>43216</v>
      </c>
      <c r="B148" s="1">
        <v>14</v>
      </c>
      <c r="C148" s="1">
        <v>2</v>
      </c>
      <c r="D148" s="1">
        <v>9</v>
      </c>
      <c r="E148" s="1">
        <v>4</v>
      </c>
      <c r="F148" s="1">
        <v>3</v>
      </c>
      <c r="G148" s="1">
        <v>6</v>
      </c>
      <c r="H148" s="1">
        <v>8</v>
      </c>
      <c r="I148" s="1">
        <v>20</v>
      </c>
      <c r="J148" s="1">
        <v>23</v>
      </c>
      <c r="K148" s="1">
        <v>24</v>
      </c>
      <c r="L148" s="1">
        <v>27</v>
      </c>
      <c r="M148" s="1">
        <v>29</v>
      </c>
      <c r="N148" s="1">
        <v>26</v>
      </c>
      <c r="O148" s="1">
        <v>31</v>
      </c>
      <c r="P148" s="1">
        <v>26</v>
      </c>
      <c r="Q148" s="1">
        <v>27</v>
      </c>
      <c r="R148" s="1">
        <v>30</v>
      </c>
      <c r="S148" s="1">
        <v>22</v>
      </c>
      <c r="T148" s="1">
        <v>17</v>
      </c>
      <c r="U148" s="1">
        <v>25</v>
      </c>
      <c r="V148" s="1">
        <v>24</v>
      </c>
      <c r="W148" s="1">
        <v>10</v>
      </c>
      <c r="X148" s="1">
        <v>11</v>
      </c>
      <c r="Y148" s="1">
        <v>3</v>
      </c>
    </row>
    <row r="149" spans="1:25" x14ac:dyDescent="0.3">
      <c r="A149" s="2">
        <v>43217</v>
      </c>
      <c r="B149" s="1">
        <v>4</v>
      </c>
      <c r="C149" s="1">
        <v>6</v>
      </c>
      <c r="D149" s="1">
        <v>5</v>
      </c>
      <c r="E149" s="1">
        <v>7</v>
      </c>
      <c r="F149" s="1">
        <v>5</v>
      </c>
      <c r="G149" s="1">
        <v>4</v>
      </c>
      <c r="H149" s="1">
        <v>4</v>
      </c>
      <c r="I149" s="1">
        <v>17</v>
      </c>
      <c r="J149" s="1">
        <v>23</v>
      </c>
      <c r="K149" s="1">
        <v>28</v>
      </c>
      <c r="L149" s="1">
        <v>22</v>
      </c>
      <c r="M149" s="1">
        <v>18</v>
      </c>
      <c r="N149" s="1">
        <v>15</v>
      </c>
      <c r="O149" s="1">
        <v>23</v>
      </c>
      <c r="P149" s="1">
        <v>22</v>
      </c>
      <c r="Q149" s="1">
        <v>28</v>
      </c>
      <c r="R149" s="1">
        <v>24</v>
      </c>
      <c r="S149" s="1">
        <v>26</v>
      </c>
      <c r="T149" s="1">
        <v>23</v>
      </c>
      <c r="U149" s="1">
        <v>19</v>
      </c>
      <c r="V149" s="1">
        <v>14</v>
      </c>
      <c r="W149" s="1">
        <v>12</v>
      </c>
      <c r="X149" s="1">
        <v>19</v>
      </c>
      <c r="Y149" s="1">
        <v>7</v>
      </c>
    </row>
    <row r="150" spans="1:25" x14ac:dyDescent="0.3">
      <c r="A150" s="2">
        <v>43218</v>
      </c>
      <c r="B150" s="1">
        <v>6</v>
      </c>
      <c r="C150" s="1">
        <v>9</v>
      </c>
      <c r="D150" s="1">
        <v>9</v>
      </c>
      <c r="E150" s="1">
        <v>3</v>
      </c>
      <c r="F150" s="1">
        <v>3</v>
      </c>
      <c r="G150" s="1">
        <v>8</v>
      </c>
      <c r="H150" s="1">
        <v>4</v>
      </c>
      <c r="I150" s="1">
        <v>5</v>
      </c>
      <c r="J150" s="1">
        <v>5</v>
      </c>
      <c r="K150" s="1">
        <v>15</v>
      </c>
      <c r="L150" s="1">
        <v>23</v>
      </c>
      <c r="M150" s="1">
        <v>31</v>
      </c>
      <c r="N150" s="1">
        <v>13</v>
      </c>
      <c r="O150" s="1">
        <v>25</v>
      </c>
      <c r="P150" s="1">
        <v>24</v>
      </c>
      <c r="Q150" s="1">
        <v>13</v>
      </c>
      <c r="R150" s="1">
        <v>15</v>
      </c>
      <c r="S150" s="1">
        <v>39</v>
      </c>
      <c r="T150" s="1">
        <v>30</v>
      </c>
      <c r="U150" s="1">
        <v>29</v>
      </c>
      <c r="V150" s="1">
        <v>10</v>
      </c>
      <c r="W150" s="1">
        <v>17</v>
      </c>
      <c r="X150" s="1">
        <v>17</v>
      </c>
      <c r="Y150" s="1">
        <v>17</v>
      </c>
    </row>
    <row r="151" spans="1:25" x14ac:dyDescent="0.3">
      <c r="A151" s="2">
        <v>43219</v>
      </c>
      <c r="B151" s="1">
        <v>16</v>
      </c>
      <c r="C151" s="1">
        <v>9</v>
      </c>
      <c r="D151" s="1">
        <v>13</v>
      </c>
      <c r="E151" s="1">
        <v>6</v>
      </c>
      <c r="F151" s="1">
        <v>2</v>
      </c>
      <c r="G151" s="1">
        <v>12</v>
      </c>
      <c r="H151" s="1">
        <v>4</v>
      </c>
      <c r="I151" s="1">
        <v>7</v>
      </c>
      <c r="J151" s="1">
        <v>10</v>
      </c>
      <c r="K151" s="1">
        <v>21</v>
      </c>
      <c r="L151" s="1">
        <v>13</v>
      </c>
      <c r="M151" s="1">
        <v>13</v>
      </c>
      <c r="N151" s="1">
        <v>25</v>
      </c>
      <c r="O151" s="1">
        <v>26</v>
      </c>
      <c r="P151" s="1">
        <v>14</v>
      </c>
      <c r="Q151" s="1">
        <v>17</v>
      </c>
      <c r="R151" s="1">
        <v>13</v>
      </c>
      <c r="S151" s="1">
        <v>12</v>
      </c>
      <c r="T151" s="1">
        <v>8</v>
      </c>
      <c r="U151" s="1">
        <v>14</v>
      </c>
      <c r="V151" s="1">
        <v>15</v>
      </c>
      <c r="W151" s="1">
        <v>16</v>
      </c>
      <c r="X151" s="1">
        <v>11</v>
      </c>
      <c r="Y151" s="1">
        <v>7</v>
      </c>
    </row>
    <row r="152" spans="1:25" x14ac:dyDescent="0.3">
      <c r="A152" s="2">
        <v>43220</v>
      </c>
      <c r="B152" s="1">
        <v>8</v>
      </c>
      <c r="C152" s="1">
        <v>3</v>
      </c>
      <c r="D152" s="1">
        <v>2</v>
      </c>
      <c r="E152" s="1">
        <v>4</v>
      </c>
      <c r="F152" s="1">
        <v>4</v>
      </c>
      <c r="G152" s="1">
        <v>7</v>
      </c>
      <c r="H152" s="1">
        <v>7</v>
      </c>
      <c r="I152" s="1">
        <v>16</v>
      </c>
      <c r="J152" s="1">
        <v>20</v>
      </c>
      <c r="K152" s="1">
        <v>29</v>
      </c>
      <c r="L152" s="1">
        <v>22</v>
      </c>
      <c r="M152" s="1">
        <v>18</v>
      </c>
      <c r="N152" s="1">
        <v>31</v>
      </c>
      <c r="O152" s="1">
        <v>27</v>
      </c>
      <c r="P152" s="1">
        <v>23</v>
      </c>
      <c r="Q152" s="1">
        <v>24</v>
      </c>
      <c r="R152" s="1">
        <v>27</v>
      </c>
      <c r="S152" s="1">
        <v>21</v>
      </c>
      <c r="T152" s="1">
        <v>33</v>
      </c>
      <c r="U152" s="1">
        <v>20</v>
      </c>
      <c r="V152" s="1">
        <v>10</v>
      </c>
      <c r="W152" s="1">
        <v>11</v>
      </c>
      <c r="X152" s="1">
        <v>9</v>
      </c>
      <c r="Y152" s="1">
        <v>9</v>
      </c>
    </row>
    <row r="153" spans="1:25" x14ac:dyDescent="0.3">
      <c r="A153" s="2">
        <v>43221</v>
      </c>
      <c r="B153" s="1">
        <v>9</v>
      </c>
      <c r="C153" s="1">
        <v>6</v>
      </c>
      <c r="D153" s="1">
        <v>2</v>
      </c>
      <c r="E153" s="1">
        <v>5</v>
      </c>
      <c r="F153" s="1">
        <v>4</v>
      </c>
      <c r="G153" s="1">
        <v>2</v>
      </c>
      <c r="H153" s="1">
        <v>8</v>
      </c>
      <c r="I153" s="1">
        <v>20</v>
      </c>
      <c r="J153" s="1">
        <v>27</v>
      </c>
      <c r="K153" s="1">
        <v>29</v>
      </c>
      <c r="L153" s="1">
        <v>34</v>
      </c>
      <c r="M153" s="1">
        <v>27</v>
      </c>
      <c r="N153" s="1">
        <v>28</v>
      </c>
      <c r="O153" s="1">
        <v>20</v>
      </c>
      <c r="P153" s="1">
        <v>18</v>
      </c>
      <c r="Q153" s="1">
        <v>28</v>
      </c>
      <c r="R153" s="1">
        <v>15</v>
      </c>
      <c r="S153" s="1">
        <v>28</v>
      </c>
      <c r="T153" s="1">
        <v>23</v>
      </c>
      <c r="U153" s="1">
        <v>18</v>
      </c>
      <c r="V153" s="1">
        <v>15</v>
      </c>
      <c r="W153" s="1">
        <v>19</v>
      </c>
      <c r="X153" s="1">
        <v>10</v>
      </c>
      <c r="Y153" s="1">
        <v>9</v>
      </c>
    </row>
    <row r="154" spans="1:25" x14ac:dyDescent="0.3">
      <c r="A154" s="2">
        <v>43222</v>
      </c>
      <c r="B154" s="1">
        <v>7</v>
      </c>
      <c r="C154" s="1">
        <v>3</v>
      </c>
      <c r="D154" s="1">
        <v>12</v>
      </c>
      <c r="E154" s="1">
        <v>5</v>
      </c>
      <c r="F154" s="1">
        <v>9</v>
      </c>
      <c r="G154" s="1">
        <v>7</v>
      </c>
      <c r="H154" s="1">
        <v>6</v>
      </c>
      <c r="I154" s="1">
        <v>21</v>
      </c>
      <c r="J154" s="1">
        <v>20</v>
      </c>
      <c r="K154" s="1">
        <v>22</v>
      </c>
      <c r="L154" s="1">
        <v>30</v>
      </c>
      <c r="M154" s="1">
        <v>21</v>
      </c>
      <c r="N154" s="1">
        <v>12</v>
      </c>
      <c r="O154" s="1">
        <v>23</v>
      </c>
      <c r="P154" s="1">
        <v>38</v>
      </c>
      <c r="Q154" s="1">
        <v>34</v>
      </c>
      <c r="R154" s="1">
        <v>32</v>
      </c>
      <c r="S154" s="1">
        <v>44</v>
      </c>
      <c r="T154" s="1">
        <v>32</v>
      </c>
      <c r="U154" s="1">
        <v>19</v>
      </c>
      <c r="V154" s="1">
        <v>26</v>
      </c>
      <c r="W154" s="1">
        <v>17</v>
      </c>
      <c r="X154" s="1">
        <v>11</v>
      </c>
      <c r="Y154" s="1">
        <v>8</v>
      </c>
    </row>
    <row r="155" spans="1:25" x14ac:dyDescent="0.3">
      <c r="A155" s="2">
        <v>43223</v>
      </c>
      <c r="B155" s="1">
        <v>6</v>
      </c>
      <c r="C155" s="1">
        <v>4</v>
      </c>
      <c r="D155" s="1">
        <v>8</v>
      </c>
      <c r="E155" s="1">
        <v>6</v>
      </c>
      <c r="F155" s="1">
        <v>8</v>
      </c>
      <c r="G155" s="1">
        <v>7</v>
      </c>
      <c r="H155" s="1">
        <v>9</v>
      </c>
      <c r="I155" s="1">
        <v>17</v>
      </c>
      <c r="J155" s="1">
        <v>28</v>
      </c>
      <c r="K155" s="1">
        <v>20</v>
      </c>
      <c r="L155" s="1">
        <v>26</v>
      </c>
      <c r="M155" s="1">
        <v>23</v>
      </c>
      <c r="N155" s="1">
        <v>30</v>
      </c>
      <c r="O155" s="1">
        <v>24</v>
      </c>
      <c r="P155" s="1">
        <v>27</v>
      </c>
      <c r="Q155" s="1">
        <v>34</v>
      </c>
      <c r="R155" s="1">
        <v>50</v>
      </c>
      <c r="S155" s="1">
        <v>23</v>
      </c>
      <c r="T155" s="1">
        <v>23</v>
      </c>
      <c r="U155" s="1">
        <v>21</v>
      </c>
      <c r="V155" s="1">
        <v>16</v>
      </c>
      <c r="W155" s="1">
        <v>8</v>
      </c>
      <c r="X155" s="1">
        <v>13</v>
      </c>
      <c r="Y155" s="1">
        <v>15</v>
      </c>
    </row>
    <row r="156" spans="1:25" x14ac:dyDescent="0.3">
      <c r="A156" s="2">
        <v>43224</v>
      </c>
      <c r="B156" s="1">
        <v>8</v>
      </c>
      <c r="C156" s="1">
        <v>8</v>
      </c>
      <c r="D156" s="1">
        <v>12</v>
      </c>
      <c r="E156" s="1">
        <v>4</v>
      </c>
      <c r="F156" s="1">
        <v>4</v>
      </c>
      <c r="G156" s="1">
        <v>4</v>
      </c>
      <c r="H156" s="1">
        <v>10</v>
      </c>
      <c r="I156" s="1">
        <v>23</v>
      </c>
      <c r="J156" s="1">
        <v>11</v>
      </c>
      <c r="K156" s="1">
        <v>23</v>
      </c>
      <c r="L156" s="1">
        <v>26</v>
      </c>
      <c r="M156" s="1">
        <v>32</v>
      </c>
      <c r="N156" s="1">
        <v>29</v>
      </c>
      <c r="O156" s="1">
        <v>28</v>
      </c>
      <c r="P156" s="1">
        <v>33</v>
      </c>
      <c r="Q156" s="1">
        <v>26</v>
      </c>
      <c r="R156" s="1">
        <v>22</v>
      </c>
      <c r="S156" s="1">
        <v>29</v>
      </c>
      <c r="T156" s="1">
        <v>25</v>
      </c>
      <c r="U156" s="1">
        <v>21</v>
      </c>
      <c r="V156" s="1">
        <v>15</v>
      </c>
      <c r="W156" s="1">
        <v>19</v>
      </c>
      <c r="X156" s="1">
        <v>16</v>
      </c>
      <c r="Y156" s="1">
        <v>12</v>
      </c>
    </row>
    <row r="157" spans="1:25" x14ac:dyDescent="0.3">
      <c r="A157" s="2">
        <v>43225</v>
      </c>
      <c r="B157" s="1">
        <v>7</v>
      </c>
      <c r="C157" s="1">
        <v>12</v>
      </c>
      <c r="D157" s="1">
        <v>9</v>
      </c>
      <c r="E157" s="1">
        <v>8</v>
      </c>
      <c r="F157" s="1">
        <v>4</v>
      </c>
      <c r="G157" s="1">
        <v>4</v>
      </c>
      <c r="H157" s="1">
        <v>8</v>
      </c>
      <c r="I157" s="1">
        <v>14</v>
      </c>
      <c r="J157" s="1">
        <v>21</v>
      </c>
      <c r="K157" s="1">
        <v>19</v>
      </c>
      <c r="L157" s="1">
        <v>15</v>
      </c>
      <c r="M157" s="1">
        <v>22</v>
      </c>
      <c r="N157" s="1">
        <v>15</v>
      </c>
      <c r="O157" s="1">
        <v>29</v>
      </c>
      <c r="P157" s="1">
        <v>23</v>
      </c>
      <c r="Q157" s="1">
        <v>16</v>
      </c>
      <c r="R157" s="1">
        <v>22</v>
      </c>
      <c r="S157" s="1">
        <v>21</v>
      </c>
      <c r="T157" s="1">
        <v>13</v>
      </c>
      <c r="U157" s="1">
        <v>14</v>
      </c>
      <c r="V157" s="1">
        <v>27</v>
      </c>
      <c r="W157" s="1">
        <v>15</v>
      </c>
      <c r="X157" s="1">
        <v>15</v>
      </c>
      <c r="Y157" s="1">
        <v>9</v>
      </c>
    </row>
    <row r="158" spans="1:25" x14ac:dyDescent="0.3">
      <c r="A158" s="2">
        <v>43226</v>
      </c>
      <c r="B158" s="1">
        <v>7</v>
      </c>
      <c r="C158" s="1">
        <v>8</v>
      </c>
      <c r="D158" s="1">
        <v>3</v>
      </c>
      <c r="E158" s="1">
        <v>9</v>
      </c>
      <c r="F158" s="1">
        <v>14</v>
      </c>
      <c r="G158" s="1">
        <v>2</v>
      </c>
      <c r="H158" s="1">
        <v>14</v>
      </c>
      <c r="I158" s="1">
        <v>7</v>
      </c>
      <c r="J158" s="1">
        <v>18</v>
      </c>
      <c r="K158" s="1">
        <v>16</v>
      </c>
      <c r="L158" s="1">
        <v>17</v>
      </c>
      <c r="M158" s="1">
        <v>17</v>
      </c>
      <c r="N158" s="1">
        <v>18</v>
      </c>
      <c r="O158" s="1">
        <v>25</v>
      </c>
      <c r="P158" s="1">
        <v>15</v>
      </c>
      <c r="Q158" s="1">
        <v>21</v>
      </c>
      <c r="R158" s="1">
        <v>10</v>
      </c>
      <c r="S158" s="1">
        <v>9</v>
      </c>
      <c r="T158" s="1">
        <v>18</v>
      </c>
      <c r="U158" s="1">
        <v>19</v>
      </c>
      <c r="V158" s="1">
        <v>17</v>
      </c>
      <c r="W158" s="1">
        <v>11</v>
      </c>
      <c r="X158" s="1">
        <v>6</v>
      </c>
      <c r="Y158" s="1">
        <v>16</v>
      </c>
    </row>
    <row r="159" spans="1:25" x14ac:dyDescent="0.3">
      <c r="A159" s="2">
        <v>43227</v>
      </c>
      <c r="B159" s="1">
        <v>9</v>
      </c>
      <c r="C159" s="1">
        <v>2</v>
      </c>
      <c r="D159" s="1">
        <v>6</v>
      </c>
      <c r="E159" s="1">
        <v>8</v>
      </c>
      <c r="F159" s="1">
        <v>8</v>
      </c>
      <c r="G159" s="1">
        <v>10</v>
      </c>
      <c r="H159" s="1">
        <v>12</v>
      </c>
      <c r="I159" s="1">
        <v>12</v>
      </c>
      <c r="J159" s="1">
        <v>17</v>
      </c>
      <c r="K159" s="1">
        <v>21</v>
      </c>
      <c r="L159" s="1">
        <v>19</v>
      </c>
      <c r="M159" s="1">
        <v>24</v>
      </c>
      <c r="N159" s="1">
        <v>31</v>
      </c>
      <c r="O159" s="1">
        <v>32</v>
      </c>
      <c r="P159" s="1">
        <v>17</v>
      </c>
      <c r="Q159" s="1">
        <v>36</v>
      </c>
      <c r="R159" s="1">
        <v>35</v>
      </c>
      <c r="S159" s="1">
        <v>35</v>
      </c>
      <c r="T159" s="1">
        <v>18</v>
      </c>
      <c r="U159" s="1">
        <v>17</v>
      </c>
      <c r="V159" s="1">
        <v>14</v>
      </c>
      <c r="W159" s="1">
        <v>8</v>
      </c>
      <c r="X159" s="1">
        <v>7</v>
      </c>
      <c r="Y159" s="1">
        <v>9</v>
      </c>
    </row>
    <row r="160" spans="1:25" x14ac:dyDescent="0.3">
      <c r="A160" s="2">
        <v>43228</v>
      </c>
      <c r="B160" s="1">
        <v>10</v>
      </c>
      <c r="C160" s="1">
        <v>8</v>
      </c>
      <c r="D160" s="1">
        <v>10</v>
      </c>
      <c r="E160" s="1">
        <v>5</v>
      </c>
      <c r="F160" s="1">
        <v>3</v>
      </c>
      <c r="G160" s="1">
        <v>3</v>
      </c>
      <c r="H160" s="1">
        <v>13</v>
      </c>
      <c r="I160" s="1">
        <v>18</v>
      </c>
      <c r="J160" s="1">
        <v>25</v>
      </c>
      <c r="K160" s="1">
        <v>15</v>
      </c>
      <c r="L160" s="1">
        <v>22</v>
      </c>
      <c r="M160" s="1">
        <v>20</v>
      </c>
      <c r="N160" s="1">
        <v>26</v>
      </c>
      <c r="O160" s="1">
        <v>26</v>
      </c>
      <c r="P160" s="1">
        <v>25</v>
      </c>
      <c r="Q160" s="1">
        <v>23</v>
      </c>
      <c r="R160" s="1">
        <v>16</v>
      </c>
      <c r="S160" s="1">
        <v>35</v>
      </c>
      <c r="T160" s="1">
        <v>28</v>
      </c>
      <c r="U160" s="1">
        <v>16</v>
      </c>
      <c r="V160" s="1">
        <v>11</v>
      </c>
      <c r="W160" s="1">
        <v>9</v>
      </c>
      <c r="X160" s="1">
        <v>9</v>
      </c>
      <c r="Y160" s="1">
        <v>4</v>
      </c>
    </row>
    <row r="161" spans="1:25" x14ac:dyDescent="0.3">
      <c r="A161" s="2">
        <v>43229</v>
      </c>
      <c r="B161" s="1">
        <v>2</v>
      </c>
      <c r="C161" s="1">
        <v>5</v>
      </c>
      <c r="D161" s="1">
        <v>5</v>
      </c>
      <c r="E161" s="1">
        <v>4</v>
      </c>
      <c r="F161" s="1">
        <v>3</v>
      </c>
      <c r="G161" s="1">
        <v>7</v>
      </c>
      <c r="H161" s="1">
        <v>13</v>
      </c>
      <c r="I161" s="1">
        <v>17</v>
      </c>
      <c r="J161" s="1">
        <v>23</v>
      </c>
      <c r="K161" s="1">
        <v>25</v>
      </c>
      <c r="L161" s="1">
        <v>30</v>
      </c>
      <c r="M161" s="1">
        <v>38</v>
      </c>
      <c r="N161" s="1">
        <v>28</v>
      </c>
      <c r="O161" s="1">
        <v>27</v>
      </c>
      <c r="P161" s="1">
        <v>21</v>
      </c>
      <c r="Q161" s="1">
        <v>27</v>
      </c>
      <c r="R161" s="1">
        <v>33</v>
      </c>
      <c r="S161" s="1">
        <v>24</v>
      </c>
      <c r="T161" s="1">
        <v>21</v>
      </c>
      <c r="U161" s="1">
        <v>13</v>
      </c>
      <c r="V161" s="1">
        <v>28</v>
      </c>
      <c r="W161" s="1">
        <v>22</v>
      </c>
      <c r="X161" s="1">
        <v>8</v>
      </c>
      <c r="Y161" s="1">
        <v>16</v>
      </c>
    </row>
    <row r="162" spans="1:25" x14ac:dyDescent="0.3">
      <c r="A162" s="2">
        <v>43230</v>
      </c>
      <c r="B162" s="1">
        <v>11</v>
      </c>
      <c r="C162" s="1">
        <v>3</v>
      </c>
      <c r="D162" s="1">
        <v>6</v>
      </c>
      <c r="E162" s="1">
        <v>0</v>
      </c>
      <c r="F162" s="1">
        <v>4</v>
      </c>
      <c r="G162" s="1">
        <v>10</v>
      </c>
      <c r="H162" s="1">
        <v>3</v>
      </c>
      <c r="I162" s="1">
        <v>24</v>
      </c>
      <c r="J162" s="1">
        <v>19</v>
      </c>
      <c r="K162" s="1">
        <v>21</v>
      </c>
      <c r="L162" s="1">
        <v>22</v>
      </c>
      <c r="M162" s="1">
        <v>24</v>
      </c>
      <c r="N162" s="1">
        <v>31</v>
      </c>
      <c r="O162" s="1">
        <v>17</v>
      </c>
      <c r="P162" s="1">
        <v>20</v>
      </c>
      <c r="Q162" s="1">
        <v>39</v>
      </c>
      <c r="R162" s="1">
        <v>22</v>
      </c>
      <c r="S162" s="1">
        <v>44</v>
      </c>
      <c r="T162" s="1">
        <v>16</v>
      </c>
      <c r="U162" s="1">
        <v>17</v>
      </c>
      <c r="V162" s="1">
        <v>16</v>
      </c>
      <c r="W162" s="1">
        <v>11</v>
      </c>
      <c r="X162" s="1">
        <v>9</v>
      </c>
      <c r="Y162" s="1">
        <v>12</v>
      </c>
    </row>
    <row r="163" spans="1:25" x14ac:dyDescent="0.3">
      <c r="A163" s="2">
        <v>43231</v>
      </c>
      <c r="B163" s="1">
        <v>11</v>
      </c>
      <c r="C163" s="1">
        <v>4</v>
      </c>
      <c r="D163" s="1">
        <v>9</v>
      </c>
      <c r="E163" s="1">
        <v>5</v>
      </c>
      <c r="F163" s="1">
        <v>4</v>
      </c>
      <c r="G163" s="1">
        <v>3</v>
      </c>
      <c r="H163" s="1">
        <v>12</v>
      </c>
      <c r="I163" s="1">
        <v>17</v>
      </c>
      <c r="J163" s="1">
        <v>15</v>
      </c>
      <c r="K163" s="1">
        <v>13</v>
      </c>
      <c r="L163" s="1">
        <v>27</v>
      </c>
      <c r="M163" s="1">
        <v>18</v>
      </c>
      <c r="N163" s="1">
        <v>19</v>
      </c>
      <c r="O163" s="1">
        <v>22</v>
      </c>
      <c r="P163" s="1">
        <v>29</v>
      </c>
      <c r="Q163" s="1">
        <v>37</v>
      </c>
      <c r="R163" s="1">
        <v>35</v>
      </c>
      <c r="S163" s="1">
        <v>27</v>
      </c>
      <c r="T163" s="1">
        <v>22</v>
      </c>
      <c r="U163" s="1">
        <v>27</v>
      </c>
      <c r="V163" s="1">
        <v>17</v>
      </c>
      <c r="W163" s="1">
        <v>21</v>
      </c>
      <c r="X163" s="1">
        <v>13</v>
      </c>
      <c r="Y163" s="1">
        <v>13</v>
      </c>
    </row>
    <row r="164" spans="1:25" x14ac:dyDescent="0.3">
      <c r="A164" s="2">
        <v>43232</v>
      </c>
      <c r="B164" s="1">
        <v>12</v>
      </c>
      <c r="C164" s="1">
        <v>7</v>
      </c>
      <c r="D164" s="1">
        <v>11</v>
      </c>
      <c r="E164" s="1">
        <v>16</v>
      </c>
      <c r="F164" s="1">
        <v>14</v>
      </c>
      <c r="G164" s="1">
        <v>7</v>
      </c>
      <c r="H164" s="1">
        <v>7</v>
      </c>
      <c r="I164" s="1">
        <v>10</v>
      </c>
      <c r="J164" s="1">
        <v>10</v>
      </c>
      <c r="K164" s="1">
        <v>16</v>
      </c>
      <c r="L164" s="1">
        <v>19</v>
      </c>
      <c r="M164" s="1">
        <v>21</v>
      </c>
      <c r="N164" s="1">
        <v>30</v>
      </c>
      <c r="O164" s="1">
        <v>22</v>
      </c>
      <c r="P164" s="1">
        <v>17</v>
      </c>
      <c r="Q164" s="1">
        <v>17</v>
      </c>
      <c r="R164" s="1">
        <v>16</v>
      </c>
      <c r="S164" s="1">
        <v>22</v>
      </c>
      <c r="T164" s="1">
        <v>25</v>
      </c>
      <c r="U164" s="1">
        <v>36</v>
      </c>
      <c r="V164" s="1">
        <v>27</v>
      </c>
      <c r="W164" s="1">
        <v>20</v>
      </c>
      <c r="X164" s="1">
        <v>22</v>
      </c>
      <c r="Y164" s="1">
        <v>14</v>
      </c>
    </row>
    <row r="165" spans="1:25" x14ac:dyDescent="0.3">
      <c r="A165" s="2">
        <v>43233</v>
      </c>
      <c r="B165" s="1">
        <v>10</v>
      </c>
      <c r="C165" s="1">
        <v>7</v>
      </c>
      <c r="D165" s="1">
        <v>7</v>
      </c>
      <c r="E165" s="1">
        <v>2</v>
      </c>
      <c r="F165" s="1">
        <v>3</v>
      </c>
      <c r="G165" s="1">
        <v>5</v>
      </c>
      <c r="H165" s="1">
        <v>3</v>
      </c>
      <c r="I165" s="1">
        <v>5</v>
      </c>
      <c r="J165" s="1">
        <v>7</v>
      </c>
      <c r="K165" s="1">
        <v>14</v>
      </c>
      <c r="L165" s="1">
        <v>21</v>
      </c>
      <c r="M165" s="1">
        <v>15</v>
      </c>
      <c r="N165" s="1">
        <v>24</v>
      </c>
      <c r="O165" s="1">
        <v>30</v>
      </c>
      <c r="P165" s="1">
        <v>23</v>
      </c>
      <c r="Q165" s="1">
        <v>16</v>
      </c>
      <c r="R165" s="1">
        <v>16</v>
      </c>
      <c r="S165" s="1">
        <v>7</v>
      </c>
      <c r="T165" s="1">
        <v>11</v>
      </c>
      <c r="U165" s="1">
        <v>9</v>
      </c>
      <c r="V165" s="1">
        <v>20</v>
      </c>
      <c r="W165" s="1">
        <v>7</v>
      </c>
      <c r="X165" s="1">
        <v>15</v>
      </c>
      <c r="Y165" s="1">
        <v>6</v>
      </c>
    </row>
    <row r="166" spans="1:25" x14ac:dyDescent="0.3">
      <c r="A166" s="2">
        <v>43234</v>
      </c>
      <c r="B166" s="1">
        <v>7</v>
      </c>
      <c r="C166" s="1">
        <v>14</v>
      </c>
      <c r="D166" s="1">
        <v>6</v>
      </c>
      <c r="E166" s="1">
        <v>4</v>
      </c>
      <c r="F166" s="1">
        <v>10</v>
      </c>
      <c r="G166" s="1">
        <v>7</v>
      </c>
      <c r="H166" s="1">
        <v>15</v>
      </c>
      <c r="I166" s="1">
        <v>15</v>
      </c>
      <c r="J166" s="1">
        <v>20</v>
      </c>
      <c r="K166" s="1">
        <v>21</v>
      </c>
      <c r="L166" s="1">
        <v>19</v>
      </c>
      <c r="M166" s="1">
        <v>18</v>
      </c>
      <c r="N166" s="1">
        <v>25</v>
      </c>
      <c r="O166" s="1">
        <v>22</v>
      </c>
      <c r="P166" s="1">
        <v>23</v>
      </c>
      <c r="Q166" s="1">
        <v>30</v>
      </c>
      <c r="R166" s="1">
        <v>34</v>
      </c>
      <c r="S166" s="1">
        <v>17</v>
      </c>
      <c r="T166" s="1">
        <v>29</v>
      </c>
      <c r="U166" s="1">
        <v>25</v>
      </c>
      <c r="V166" s="1">
        <v>18</v>
      </c>
      <c r="W166" s="1">
        <v>13</v>
      </c>
      <c r="X166" s="1">
        <v>9</v>
      </c>
      <c r="Y166" s="1">
        <v>3</v>
      </c>
    </row>
    <row r="167" spans="1:25" x14ac:dyDescent="0.3">
      <c r="A167" s="2">
        <v>43235</v>
      </c>
      <c r="B167" s="1">
        <v>2</v>
      </c>
      <c r="C167" s="1">
        <v>8</v>
      </c>
      <c r="D167" s="1">
        <v>4</v>
      </c>
      <c r="E167" s="1">
        <v>5</v>
      </c>
      <c r="F167" s="1">
        <v>4</v>
      </c>
      <c r="G167" s="1">
        <v>6</v>
      </c>
      <c r="H167" s="1">
        <v>19</v>
      </c>
      <c r="I167" s="1">
        <v>17</v>
      </c>
      <c r="J167" s="1">
        <v>22</v>
      </c>
      <c r="K167" s="1">
        <v>27</v>
      </c>
      <c r="L167" s="1">
        <v>23</v>
      </c>
      <c r="M167" s="1">
        <v>24</v>
      </c>
      <c r="N167" s="1">
        <v>30</v>
      </c>
      <c r="O167" s="1">
        <v>32</v>
      </c>
      <c r="P167" s="1">
        <v>41</v>
      </c>
      <c r="Q167" s="1">
        <v>50</v>
      </c>
      <c r="R167" s="1">
        <v>39</v>
      </c>
      <c r="S167" s="1">
        <v>128</v>
      </c>
      <c r="T167" s="1">
        <v>80</v>
      </c>
      <c r="U167" s="1">
        <v>28</v>
      </c>
      <c r="V167" s="1">
        <v>20</v>
      </c>
      <c r="W167" s="1">
        <v>13</v>
      </c>
      <c r="X167" s="1">
        <v>6</v>
      </c>
      <c r="Y167" s="1">
        <v>3</v>
      </c>
    </row>
    <row r="168" spans="1:25" x14ac:dyDescent="0.3">
      <c r="A168" s="2">
        <v>43236</v>
      </c>
      <c r="B168" s="1">
        <v>4</v>
      </c>
      <c r="C168" s="1">
        <v>5</v>
      </c>
      <c r="D168" s="1">
        <v>7</v>
      </c>
      <c r="E168" s="1">
        <v>10</v>
      </c>
      <c r="F168" s="1">
        <v>4</v>
      </c>
      <c r="G168" s="1">
        <v>5</v>
      </c>
      <c r="H168" s="1">
        <v>18</v>
      </c>
      <c r="I168" s="1">
        <v>34</v>
      </c>
      <c r="J168" s="1">
        <v>22</v>
      </c>
      <c r="K168" s="1">
        <v>28</v>
      </c>
      <c r="L168" s="1">
        <v>20</v>
      </c>
      <c r="M168" s="1">
        <v>23</v>
      </c>
      <c r="N168" s="1">
        <v>25</v>
      </c>
      <c r="O168" s="1">
        <v>17</v>
      </c>
      <c r="P168" s="1">
        <v>29</v>
      </c>
      <c r="Q168" s="1">
        <v>29</v>
      </c>
      <c r="R168" s="1">
        <v>27</v>
      </c>
      <c r="S168" s="1">
        <v>39</v>
      </c>
      <c r="T168" s="1">
        <v>12</v>
      </c>
      <c r="U168" s="1">
        <v>24</v>
      </c>
      <c r="V168" s="1">
        <v>11</v>
      </c>
      <c r="W168" s="1">
        <v>11</v>
      </c>
      <c r="X168" s="1">
        <v>6</v>
      </c>
      <c r="Y168" s="1">
        <v>8</v>
      </c>
    </row>
    <row r="169" spans="1:25" x14ac:dyDescent="0.3">
      <c r="A169" s="2">
        <v>43237</v>
      </c>
      <c r="B169" s="1">
        <v>8</v>
      </c>
      <c r="C169" s="1">
        <v>3</v>
      </c>
      <c r="D169" s="1">
        <v>15</v>
      </c>
      <c r="E169" s="1">
        <v>17</v>
      </c>
      <c r="F169" s="1">
        <v>19</v>
      </c>
      <c r="G169" s="1">
        <v>15</v>
      </c>
      <c r="H169" s="1">
        <v>21</v>
      </c>
      <c r="I169" s="1">
        <v>26</v>
      </c>
      <c r="J169" s="1">
        <v>30</v>
      </c>
      <c r="K169" s="1">
        <v>34</v>
      </c>
      <c r="L169" s="1">
        <v>31</v>
      </c>
      <c r="M169" s="1">
        <v>28</v>
      </c>
      <c r="N169" s="1">
        <v>31</v>
      </c>
      <c r="O169" s="1">
        <v>15</v>
      </c>
      <c r="P169" s="1">
        <v>24</v>
      </c>
      <c r="Q169" s="1">
        <v>28</v>
      </c>
      <c r="R169" s="1">
        <v>26</v>
      </c>
      <c r="S169" s="1">
        <v>25</v>
      </c>
      <c r="T169" s="1">
        <v>23</v>
      </c>
      <c r="U169" s="1">
        <v>23</v>
      </c>
      <c r="V169" s="1">
        <v>31</v>
      </c>
      <c r="W169" s="1">
        <v>11</v>
      </c>
      <c r="X169" s="1">
        <v>14</v>
      </c>
      <c r="Y169" s="1">
        <v>2</v>
      </c>
    </row>
    <row r="170" spans="1:25" x14ac:dyDescent="0.3">
      <c r="A170" s="2">
        <v>43238</v>
      </c>
      <c r="B170" s="1">
        <v>9</v>
      </c>
      <c r="C170" s="1">
        <v>8</v>
      </c>
      <c r="D170" s="1">
        <v>4</v>
      </c>
      <c r="E170" s="1">
        <v>3</v>
      </c>
      <c r="F170" s="1">
        <v>2</v>
      </c>
      <c r="G170" s="1">
        <v>7</v>
      </c>
      <c r="H170" s="1">
        <v>16</v>
      </c>
      <c r="I170" s="1">
        <v>18</v>
      </c>
      <c r="J170" s="1">
        <v>17</v>
      </c>
      <c r="K170" s="1">
        <v>16</v>
      </c>
      <c r="L170" s="1">
        <v>24</v>
      </c>
      <c r="M170" s="1">
        <v>14</v>
      </c>
      <c r="N170" s="1">
        <v>24</v>
      </c>
      <c r="O170" s="1">
        <v>34</v>
      </c>
      <c r="P170" s="1">
        <v>26</v>
      </c>
      <c r="Q170" s="1">
        <v>33</v>
      </c>
      <c r="R170" s="1">
        <v>28</v>
      </c>
      <c r="S170" s="1">
        <v>21</v>
      </c>
      <c r="T170" s="1">
        <v>30</v>
      </c>
      <c r="U170" s="1">
        <v>11</v>
      </c>
      <c r="V170" s="1">
        <v>17</v>
      </c>
      <c r="W170" s="1">
        <v>28</v>
      </c>
      <c r="X170" s="1">
        <v>5</v>
      </c>
      <c r="Y170" s="1">
        <v>9</v>
      </c>
    </row>
    <row r="171" spans="1:25" x14ac:dyDescent="0.3">
      <c r="A171" s="2">
        <v>43239</v>
      </c>
      <c r="B171" s="1">
        <v>7</v>
      </c>
      <c r="C171" s="1">
        <v>8</v>
      </c>
      <c r="D171" s="1">
        <v>4</v>
      </c>
      <c r="E171" s="1">
        <v>7</v>
      </c>
      <c r="F171" s="1">
        <v>7</v>
      </c>
      <c r="G171" s="1">
        <v>12</v>
      </c>
      <c r="H171" s="1">
        <v>7</v>
      </c>
      <c r="I171" s="1">
        <v>14</v>
      </c>
      <c r="J171" s="1">
        <v>14</v>
      </c>
      <c r="K171" s="1">
        <v>19</v>
      </c>
      <c r="L171" s="1">
        <v>22</v>
      </c>
      <c r="M171" s="1">
        <v>25</v>
      </c>
      <c r="N171" s="1">
        <v>29</v>
      </c>
      <c r="O171" s="1">
        <v>14</v>
      </c>
      <c r="P171" s="1">
        <v>23</v>
      </c>
      <c r="Q171" s="1">
        <v>22</v>
      </c>
      <c r="R171" s="1">
        <v>19</v>
      </c>
      <c r="S171" s="1">
        <v>29</v>
      </c>
      <c r="T171" s="1">
        <v>17</v>
      </c>
      <c r="U171" s="1">
        <v>13</v>
      </c>
      <c r="V171" s="1">
        <v>17</v>
      </c>
      <c r="W171" s="1">
        <v>19</v>
      </c>
      <c r="X171" s="1">
        <v>13</v>
      </c>
      <c r="Y171" s="1">
        <v>15</v>
      </c>
    </row>
    <row r="172" spans="1:25" x14ac:dyDescent="0.3">
      <c r="A172" s="2">
        <v>43240</v>
      </c>
      <c r="B172" s="1">
        <v>9</v>
      </c>
      <c r="C172" s="1">
        <v>12</v>
      </c>
      <c r="D172" s="1">
        <v>7</v>
      </c>
      <c r="E172" s="1">
        <v>7</v>
      </c>
      <c r="F172" s="1">
        <v>9</v>
      </c>
      <c r="G172" s="1">
        <v>8</v>
      </c>
      <c r="H172" s="1">
        <v>7</v>
      </c>
      <c r="I172" s="1">
        <v>20</v>
      </c>
      <c r="J172" s="1">
        <v>11</v>
      </c>
      <c r="K172" s="1">
        <v>25</v>
      </c>
      <c r="L172" s="1">
        <v>32</v>
      </c>
      <c r="M172" s="1">
        <v>23</v>
      </c>
      <c r="N172" s="1">
        <v>25</v>
      </c>
      <c r="O172" s="1">
        <v>25</v>
      </c>
      <c r="P172" s="1">
        <v>21</v>
      </c>
      <c r="Q172" s="1">
        <v>24</v>
      </c>
      <c r="R172" s="1">
        <v>26</v>
      </c>
      <c r="S172" s="1">
        <v>13</v>
      </c>
      <c r="T172" s="1">
        <v>19</v>
      </c>
      <c r="U172" s="1">
        <v>16</v>
      </c>
      <c r="V172" s="1">
        <v>20</v>
      </c>
      <c r="W172" s="1">
        <v>21</v>
      </c>
      <c r="X172" s="1">
        <v>13</v>
      </c>
      <c r="Y172" s="1">
        <v>9</v>
      </c>
    </row>
    <row r="173" spans="1:25" x14ac:dyDescent="0.3">
      <c r="A173" s="2">
        <v>43241</v>
      </c>
      <c r="B173" s="1">
        <v>6</v>
      </c>
      <c r="C173" s="1">
        <v>8</v>
      </c>
      <c r="D173" s="1">
        <v>9</v>
      </c>
      <c r="E173" s="1">
        <v>10</v>
      </c>
      <c r="F173" s="1">
        <v>7</v>
      </c>
      <c r="G173" s="1">
        <v>6</v>
      </c>
      <c r="H173" s="1">
        <v>12</v>
      </c>
      <c r="I173" s="1">
        <v>14</v>
      </c>
      <c r="J173" s="1">
        <v>35</v>
      </c>
      <c r="K173" s="1">
        <v>19</v>
      </c>
      <c r="L173" s="1">
        <v>20</v>
      </c>
      <c r="M173" s="1">
        <v>29</v>
      </c>
      <c r="N173" s="1">
        <v>32</v>
      </c>
      <c r="O173" s="1">
        <v>22</v>
      </c>
      <c r="P173" s="1">
        <v>27</v>
      </c>
      <c r="Q173" s="1">
        <v>21</v>
      </c>
      <c r="R173" s="1">
        <v>22</v>
      </c>
      <c r="S173" s="1">
        <v>24</v>
      </c>
      <c r="T173" s="1">
        <v>28</v>
      </c>
      <c r="U173" s="1">
        <v>17</v>
      </c>
      <c r="V173" s="1">
        <v>20</v>
      </c>
      <c r="W173" s="1">
        <v>12</v>
      </c>
      <c r="X173" s="1">
        <v>6</v>
      </c>
      <c r="Y173" s="1">
        <v>8</v>
      </c>
    </row>
    <row r="174" spans="1:25" x14ac:dyDescent="0.3">
      <c r="A174" s="2">
        <v>43242</v>
      </c>
      <c r="B174" s="1">
        <v>9</v>
      </c>
      <c r="C174" s="1">
        <v>8</v>
      </c>
      <c r="D174" s="1">
        <v>4</v>
      </c>
      <c r="E174" s="1">
        <v>8</v>
      </c>
      <c r="F174" s="1">
        <v>6</v>
      </c>
      <c r="G174" s="1">
        <v>4</v>
      </c>
      <c r="H174" s="1">
        <v>19</v>
      </c>
      <c r="I174" s="1">
        <v>13</v>
      </c>
      <c r="J174" s="1">
        <v>22</v>
      </c>
      <c r="K174" s="1">
        <v>39</v>
      </c>
      <c r="L174" s="1">
        <v>18</v>
      </c>
      <c r="M174" s="1">
        <v>14</v>
      </c>
      <c r="N174" s="1">
        <v>10</v>
      </c>
      <c r="O174" s="1">
        <v>25</v>
      </c>
      <c r="P174" s="1">
        <v>23</v>
      </c>
      <c r="Q174" s="1">
        <v>33</v>
      </c>
      <c r="R174" s="1">
        <v>20</v>
      </c>
      <c r="S174" s="1">
        <v>19</v>
      </c>
      <c r="T174" s="1">
        <v>19</v>
      </c>
      <c r="U174" s="1">
        <v>20</v>
      </c>
      <c r="V174" s="1">
        <v>13</v>
      </c>
      <c r="W174" s="1">
        <v>20</v>
      </c>
      <c r="X174" s="1">
        <v>7</v>
      </c>
      <c r="Y174" s="1">
        <v>13</v>
      </c>
    </row>
    <row r="175" spans="1:25" x14ac:dyDescent="0.3">
      <c r="A175" s="2">
        <v>43243</v>
      </c>
      <c r="B175" s="1">
        <v>7</v>
      </c>
      <c r="C175" s="1">
        <v>8</v>
      </c>
      <c r="D175" s="1">
        <v>4</v>
      </c>
      <c r="E175" s="1">
        <v>4</v>
      </c>
      <c r="F175" s="1">
        <v>7</v>
      </c>
      <c r="G175" s="1">
        <v>4</v>
      </c>
      <c r="H175" s="1">
        <v>13</v>
      </c>
      <c r="I175" s="1">
        <v>26</v>
      </c>
      <c r="J175" s="1">
        <v>21</v>
      </c>
      <c r="K175" s="1">
        <v>14</v>
      </c>
      <c r="L175" s="1">
        <v>25</v>
      </c>
      <c r="M175" s="1">
        <v>27</v>
      </c>
      <c r="N175" s="1">
        <v>19</v>
      </c>
      <c r="O175" s="1">
        <v>25</v>
      </c>
      <c r="P175" s="1">
        <v>30</v>
      </c>
      <c r="Q175" s="1">
        <v>24</v>
      </c>
      <c r="R175" s="1">
        <v>37</v>
      </c>
      <c r="S175" s="1">
        <v>26</v>
      </c>
      <c r="T175" s="1">
        <v>22</v>
      </c>
      <c r="U175" s="1">
        <v>23</v>
      </c>
      <c r="V175" s="1">
        <v>17</v>
      </c>
      <c r="W175" s="1">
        <v>11</v>
      </c>
      <c r="X175" s="1">
        <v>13</v>
      </c>
      <c r="Y175" s="1">
        <v>9</v>
      </c>
    </row>
    <row r="176" spans="1:25" x14ac:dyDescent="0.3">
      <c r="A176" s="2">
        <v>43244</v>
      </c>
      <c r="B176" s="1">
        <v>7</v>
      </c>
      <c r="C176" s="1">
        <v>3</v>
      </c>
      <c r="D176" s="1">
        <v>7</v>
      </c>
      <c r="E176" s="1">
        <v>3</v>
      </c>
      <c r="F176" s="1">
        <v>3</v>
      </c>
      <c r="G176" s="1">
        <v>4</v>
      </c>
      <c r="H176" s="1">
        <v>14</v>
      </c>
      <c r="I176" s="1">
        <v>21</v>
      </c>
      <c r="J176" s="1">
        <v>25</v>
      </c>
      <c r="K176" s="1">
        <v>30</v>
      </c>
      <c r="L176" s="1">
        <v>23</v>
      </c>
      <c r="M176" s="1">
        <v>10</v>
      </c>
      <c r="N176" s="1">
        <v>27</v>
      </c>
      <c r="O176" s="1">
        <v>29</v>
      </c>
      <c r="P176" s="1">
        <v>26</v>
      </c>
      <c r="Q176" s="1">
        <v>30</v>
      </c>
      <c r="R176" s="1">
        <v>31</v>
      </c>
      <c r="S176" s="1">
        <v>24</v>
      </c>
      <c r="T176" s="1">
        <v>28</v>
      </c>
      <c r="U176" s="1">
        <v>23</v>
      </c>
      <c r="V176" s="1">
        <v>17</v>
      </c>
      <c r="W176" s="1">
        <v>19</v>
      </c>
      <c r="X176" s="1">
        <v>12</v>
      </c>
      <c r="Y176" s="1">
        <v>19</v>
      </c>
    </row>
    <row r="177" spans="1:25" x14ac:dyDescent="0.3">
      <c r="A177" s="2">
        <v>43245</v>
      </c>
      <c r="B177" s="1">
        <v>2</v>
      </c>
      <c r="C177" s="1">
        <v>12</v>
      </c>
      <c r="D177" s="1">
        <v>8</v>
      </c>
      <c r="E177" s="1">
        <v>4</v>
      </c>
      <c r="F177" s="1">
        <v>4</v>
      </c>
      <c r="G177" s="1">
        <v>5</v>
      </c>
      <c r="H177" s="1">
        <v>7</v>
      </c>
      <c r="I177" s="1">
        <v>20</v>
      </c>
      <c r="J177" s="1">
        <v>16</v>
      </c>
      <c r="K177" s="1">
        <v>22</v>
      </c>
      <c r="L177" s="1">
        <v>34</v>
      </c>
      <c r="M177" s="1">
        <v>34</v>
      </c>
      <c r="N177" s="1">
        <v>29</v>
      </c>
      <c r="O177" s="1">
        <v>15</v>
      </c>
      <c r="P177" s="1">
        <v>36</v>
      </c>
      <c r="Q177" s="1">
        <v>36</v>
      </c>
      <c r="R177" s="1">
        <v>48</v>
      </c>
      <c r="S177" s="1">
        <v>26</v>
      </c>
      <c r="T177" s="1">
        <v>19</v>
      </c>
      <c r="U177" s="1">
        <v>22</v>
      </c>
      <c r="V177" s="1">
        <v>18</v>
      </c>
      <c r="W177" s="1">
        <v>13</v>
      </c>
      <c r="X177" s="1">
        <v>10</v>
      </c>
      <c r="Y177" s="1">
        <v>7</v>
      </c>
    </row>
    <row r="178" spans="1:25" x14ac:dyDescent="0.3">
      <c r="A178" s="2">
        <v>43246</v>
      </c>
      <c r="B178" s="1">
        <v>8</v>
      </c>
      <c r="C178" s="1">
        <v>3</v>
      </c>
      <c r="D178" s="1">
        <v>14</v>
      </c>
      <c r="E178" s="1">
        <v>8</v>
      </c>
      <c r="F178" s="1">
        <v>6</v>
      </c>
      <c r="G178" s="1">
        <v>0</v>
      </c>
      <c r="H178" s="1">
        <v>12</v>
      </c>
      <c r="I178" s="1">
        <v>7</v>
      </c>
      <c r="J178" s="1">
        <v>18</v>
      </c>
      <c r="K178" s="1">
        <v>25</v>
      </c>
      <c r="L178" s="1">
        <v>17</v>
      </c>
      <c r="M178" s="1">
        <v>21</v>
      </c>
      <c r="N178" s="1">
        <v>24</v>
      </c>
      <c r="O178" s="1">
        <v>26</v>
      </c>
      <c r="P178" s="1">
        <v>21</v>
      </c>
      <c r="Q178" s="1">
        <v>16</v>
      </c>
      <c r="R178" s="1">
        <v>20</v>
      </c>
      <c r="S178" s="1">
        <v>15</v>
      </c>
      <c r="T178" s="1">
        <v>23</v>
      </c>
      <c r="U178" s="1">
        <v>11</v>
      </c>
      <c r="V178" s="1">
        <v>15</v>
      </c>
      <c r="W178" s="1">
        <v>15</v>
      </c>
      <c r="X178" s="1">
        <v>14</v>
      </c>
      <c r="Y178" s="1">
        <v>16</v>
      </c>
    </row>
    <row r="179" spans="1:25" x14ac:dyDescent="0.3">
      <c r="A179" s="2">
        <v>43247</v>
      </c>
      <c r="B179" s="1">
        <v>14</v>
      </c>
      <c r="C179" s="1">
        <v>11</v>
      </c>
      <c r="D179" s="1">
        <v>7</v>
      </c>
      <c r="E179" s="1">
        <v>9</v>
      </c>
      <c r="F179" s="1">
        <v>7</v>
      </c>
      <c r="G179" s="1">
        <v>4</v>
      </c>
      <c r="H179" s="1">
        <v>8</v>
      </c>
      <c r="I179" s="1">
        <v>11</v>
      </c>
      <c r="J179" s="1">
        <v>21</v>
      </c>
      <c r="K179" s="1">
        <v>38</v>
      </c>
      <c r="L179" s="1">
        <v>38</v>
      </c>
      <c r="M179" s="1">
        <v>17</v>
      </c>
      <c r="N179" s="1">
        <v>16</v>
      </c>
      <c r="O179" s="1">
        <v>13</v>
      </c>
      <c r="P179" s="1">
        <v>19</v>
      </c>
      <c r="Q179" s="1">
        <v>19</v>
      </c>
      <c r="R179" s="1">
        <v>18</v>
      </c>
      <c r="S179" s="1">
        <v>10</v>
      </c>
      <c r="T179" s="1">
        <v>20</v>
      </c>
      <c r="U179" s="1">
        <v>13</v>
      </c>
      <c r="V179" s="1">
        <v>14</v>
      </c>
      <c r="W179" s="1">
        <v>7</v>
      </c>
      <c r="X179" s="1">
        <v>13</v>
      </c>
      <c r="Y179" s="1">
        <v>11</v>
      </c>
    </row>
    <row r="180" spans="1:25" x14ac:dyDescent="0.3">
      <c r="A180" s="2">
        <v>43248</v>
      </c>
      <c r="B180" s="1">
        <v>8</v>
      </c>
      <c r="C180" s="1">
        <v>6</v>
      </c>
      <c r="D180" s="1">
        <v>10</v>
      </c>
      <c r="E180" s="1">
        <v>7</v>
      </c>
      <c r="F180" s="1">
        <v>8</v>
      </c>
      <c r="G180" s="1">
        <v>3</v>
      </c>
      <c r="H180" s="1">
        <v>6</v>
      </c>
      <c r="I180" s="1">
        <v>10</v>
      </c>
      <c r="J180" s="1">
        <v>19</v>
      </c>
      <c r="K180" s="1">
        <v>6</v>
      </c>
      <c r="L180" s="1">
        <v>15</v>
      </c>
      <c r="M180" s="1">
        <v>20</v>
      </c>
      <c r="N180" s="1">
        <v>6</v>
      </c>
      <c r="O180" s="1">
        <v>8</v>
      </c>
      <c r="P180" s="1">
        <v>12</v>
      </c>
      <c r="Q180" s="1">
        <v>14</v>
      </c>
      <c r="R180" s="1">
        <v>16</v>
      </c>
      <c r="S180" s="1">
        <v>10</v>
      </c>
      <c r="T180" s="1">
        <v>16</v>
      </c>
      <c r="U180" s="1">
        <v>11</v>
      </c>
      <c r="V180" s="1">
        <v>14</v>
      </c>
      <c r="W180" s="1">
        <v>11</v>
      </c>
      <c r="X180" s="1">
        <v>11</v>
      </c>
      <c r="Y180" s="1">
        <v>9</v>
      </c>
    </row>
    <row r="181" spans="1:25" x14ac:dyDescent="0.3">
      <c r="A181" s="2">
        <v>43249</v>
      </c>
      <c r="B181" s="1">
        <v>9</v>
      </c>
      <c r="C181" s="1">
        <v>8</v>
      </c>
      <c r="D181" s="1">
        <v>7</v>
      </c>
      <c r="E181" s="1">
        <v>3</v>
      </c>
      <c r="F181" s="1">
        <v>2</v>
      </c>
      <c r="G181" s="1">
        <v>4</v>
      </c>
      <c r="H181" s="1">
        <v>11</v>
      </c>
      <c r="I181" s="1">
        <v>23</v>
      </c>
      <c r="J181" s="1">
        <v>31</v>
      </c>
      <c r="K181" s="1">
        <v>17</v>
      </c>
      <c r="L181" s="1">
        <v>28</v>
      </c>
      <c r="M181" s="1">
        <v>16</v>
      </c>
      <c r="N181" s="1">
        <v>26</v>
      </c>
      <c r="O181" s="1">
        <v>23</v>
      </c>
      <c r="P181" s="1">
        <v>30</v>
      </c>
      <c r="Q181" s="1">
        <v>33</v>
      </c>
      <c r="R181" s="1">
        <v>35</v>
      </c>
      <c r="S181" s="1">
        <v>30</v>
      </c>
      <c r="T181" s="1">
        <v>18</v>
      </c>
      <c r="U181" s="1">
        <v>10</v>
      </c>
      <c r="V181" s="1">
        <v>16</v>
      </c>
      <c r="W181" s="1">
        <v>14</v>
      </c>
      <c r="X181" s="1">
        <v>10</v>
      </c>
      <c r="Y181" s="1">
        <v>7</v>
      </c>
    </row>
    <row r="182" spans="1:25" x14ac:dyDescent="0.3">
      <c r="A182" s="2">
        <v>43250</v>
      </c>
      <c r="B182" s="1">
        <v>9</v>
      </c>
      <c r="C182" s="1">
        <v>5</v>
      </c>
      <c r="D182" s="1">
        <v>5</v>
      </c>
      <c r="E182" s="1">
        <v>8</v>
      </c>
      <c r="F182" s="1">
        <v>3</v>
      </c>
      <c r="G182" s="1">
        <v>5</v>
      </c>
      <c r="H182" s="1">
        <v>14</v>
      </c>
      <c r="I182" s="1">
        <v>16</v>
      </c>
      <c r="J182" s="1">
        <v>21</v>
      </c>
      <c r="K182" s="1">
        <v>17</v>
      </c>
      <c r="L182" s="1">
        <v>19</v>
      </c>
      <c r="M182" s="1">
        <v>19</v>
      </c>
      <c r="N182" s="1">
        <v>13</v>
      </c>
      <c r="O182" s="1">
        <v>13</v>
      </c>
      <c r="P182" s="1">
        <v>26</v>
      </c>
      <c r="Q182" s="1">
        <v>26</v>
      </c>
      <c r="R182" s="1">
        <v>30</v>
      </c>
      <c r="S182" s="1">
        <v>20</v>
      </c>
      <c r="T182" s="1">
        <v>26</v>
      </c>
      <c r="U182" s="1">
        <v>19</v>
      </c>
      <c r="V182" s="1">
        <v>11</v>
      </c>
      <c r="W182" s="1">
        <v>14</v>
      </c>
      <c r="X182" s="1">
        <v>11</v>
      </c>
      <c r="Y182" s="1">
        <v>13</v>
      </c>
    </row>
    <row r="183" spans="1:25" x14ac:dyDescent="0.3">
      <c r="A183" s="2">
        <v>43251</v>
      </c>
      <c r="B183" s="1">
        <v>7</v>
      </c>
      <c r="C183" s="1">
        <v>5</v>
      </c>
      <c r="D183" s="1">
        <v>4</v>
      </c>
      <c r="E183" s="1">
        <v>3</v>
      </c>
      <c r="F183" s="1">
        <v>9</v>
      </c>
      <c r="G183" s="1">
        <v>5</v>
      </c>
      <c r="H183" s="1">
        <v>9</v>
      </c>
      <c r="I183" s="1">
        <v>27</v>
      </c>
      <c r="J183" s="1">
        <v>23</v>
      </c>
      <c r="K183" s="1">
        <v>16</v>
      </c>
      <c r="L183" s="1">
        <v>28</v>
      </c>
      <c r="M183" s="1">
        <v>19</v>
      </c>
      <c r="N183" s="1">
        <v>24</v>
      </c>
      <c r="O183" s="1">
        <v>23</v>
      </c>
      <c r="P183" s="1">
        <v>28</v>
      </c>
      <c r="Q183" s="1">
        <v>17</v>
      </c>
      <c r="R183" s="1">
        <v>26</v>
      </c>
      <c r="S183" s="1">
        <v>32</v>
      </c>
      <c r="T183" s="1">
        <v>14</v>
      </c>
      <c r="U183" s="1">
        <v>28</v>
      </c>
      <c r="V183" s="1">
        <v>11</v>
      </c>
      <c r="W183" s="1">
        <v>15</v>
      </c>
      <c r="X183" s="1">
        <v>10</v>
      </c>
      <c r="Y183" s="1">
        <v>15</v>
      </c>
    </row>
    <row r="184" spans="1:25" x14ac:dyDescent="0.3">
      <c r="A184" s="2">
        <v>43252</v>
      </c>
      <c r="B184" s="1">
        <v>12</v>
      </c>
      <c r="C184" s="1">
        <v>2</v>
      </c>
      <c r="D184" s="1">
        <v>7</v>
      </c>
      <c r="E184" s="1">
        <v>7</v>
      </c>
      <c r="F184" s="1">
        <v>5</v>
      </c>
      <c r="G184" s="1">
        <v>8</v>
      </c>
      <c r="H184" s="1">
        <v>18</v>
      </c>
      <c r="I184" s="1">
        <v>19</v>
      </c>
      <c r="J184" s="1">
        <v>19</v>
      </c>
      <c r="K184" s="1">
        <v>20</v>
      </c>
      <c r="L184" s="1">
        <v>37</v>
      </c>
      <c r="M184" s="1">
        <v>20</v>
      </c>
      <c r="N184" s="1">
        <v>25</v>
      </c>
      <c r="O184" s="1">
        <v>17</v>
      </c>
      <c r="P184" s="1">
        <v>29</v>
      </c>
      <c r="Q184" s="1">
        <v>30</v>
      </c>
      <c r="R184" s="1">
        <v>43</v>
      </c>
      <c r="S184" s="1">
        <v>32</v>
      </c>
      <c r="T184" s="1">
        <v>27</v>
      </c>
      <c r="U184" s="1">
        <v>14</v>
      </c>
      <c r="V184" s="1">
        <v>19</v>
      </c>
      <c r="W184" s="1">
        <v>7</v>
      </c>
      <c r="X184" s="1">
        <v>15</v>
      </c>
      <c r="Y184" s="1">
        <v>21</v>
      </c>
    </row>
    <row r="185" spans="1:25" x14ac:dyDescent="0.3">
      <c r="A185" s="2">
        <v>43253</v>
      </c>
      <c r="B185" s="1">
        <v>11</v>
      </c>
      <c r="C185" s="1">
        <v>7</v>
      </c>
      <c r="D185" s="1">
        <v>7</v>
      </c>
      <c r="E185" s="1">
        <v>5</v>
      </c>
      <c r="F185" s="1">
        <v>4</v>
      </c>
      <c r="G185" s="1">
        <v>6</v>
      </c>
      <c r="H185" s="1">
        <v>5</v>
      </c>
      <c r="I185" s="1">
        <v>5</v>
      </c>
      <c r="J185" s="1">
        <v>9</v>
      </c>
      <c r="K185" s="1">
        <v>16</v>
      </c>
      <c r="L185" s="1">
        <v>23</v>
      </c>
      <c r="M185" s="1">
        <v>13</v>
      </c>
      <c r="N185" s="1">
        <v>23</v>
      </c>
      <c r="O185" s="1">
        <v>24</v>
      </c>
      <c r="P185" s="1">
        <v>26</v>
      </c>
      <c r="Q185" s="1">
        <v>14</v>
      </c>
      <c r="R185" s="1">
        <v>23</v>
      </c>
      <c r="S185" s="1">
        <v>22</v>
      </c>
      <c r="T185" s="1">
        <v>18</v>
      </c>
      <c r="U185" s="1">
        <v>14</v>
      </c>
      <c r="V185" s="1">
        <v>11</v>
      </c>
      <c r="W185" s="1">
        <v>11</v>
      </c>
      <c r="X185" s="1">
        <v>10</v>
      </c>
      <c r="Y185" s="1">
        <v>9</v>
      </c>
    </row>
    <row r="186" spans="1:25" x14ac:dyDescent="0.3">
      <c r="A186" s="2">
        <v>43254</v>
      </c>
      <c r="B186" s="1">
        <v>9</v>
      </c>
      <c r="C186" s="1">
        <v>8</v>
      </c>
      <c r="D186" s="1">
        <v>10</v>
      </c>
      <c r="E186" s="1">
        <v>3</v>
      </c>
      <c r="F186" s="1">
        <v>8</v>
      </c>
      <c r="G186" s="1">
        <v>4</v>
      </c>
      <c r="H186" s="1">
        <v>6</v>
      </c>
      <c r="I186" s="1">
        <v>10</v>
      </c>
      <c r="J186" s="1">
        <v>12</v>
      </c>
      <c r="K186" s="1">
        <v>20</v>
      </c>
      <c r="L186" s="1">
        <v>18</v>
      </c>
      <c r="M186" s="1">
        <v>12</v>
      </c>
      <c r="N186" s="1">
        <v>18</v>
      </c>
      <c r="O186" s="1">
        <v>15</v>
      </c>
      <c r="P186" s="1">
        <v>26</v>
      </c>
      <c r="Q186" s="1">
        <v>10</v>
      </c>
      <c r="R186" s="1">
        <v>15</v>
      </c>
      <c r="S186" s="1">
        <v>25</v>
      </c>
      <c r="T186" s="1">
        <v>16</v>
      </c>
      <c r="U186" s="1">
        <v>14</v>
      </c>
      <c r="V186" s="1">
        <v>22</v>
      </c>
      <c r="W186" s="1">
        <v>14</v>
      </c>
      <c r="X186" s="1">
        <v>10</v>
      </c>
      <c r="Y186" s="1">
        <v>7</v>
      </c>
    </row>
    <row r="187" spans="1:25" x14ac:dyDescent="0.3">
      <c r="A187" s="2">
        <v>43255</v>
      </c>
      <c r="B187" s="1">
        <v>6</v>
      </c>
      <c r="C187" s="1">
        <v>8</v>
      </c>
      <c r="D187" s="1">
        <v>6</v>
      </c>
      <c r="E187" s="1">
        <v>6</v>
      </c>
      <c r="F187" s="1">
        <v>10</v>
      </c>
      <c r="G187" s="1">
        <v>3</v>
      </c>
      <c r="H187" s="1">
        <v>10</v>
      </c>
      <c r="I187" s="1">
        <v>24</v>
      </c>
      <c r="J187" s="1">
        <v>27</v>
      </c>
      <c r="K187" s="1">
        <v>29</v>
      </c>
      <c r="L187" s="1">
        <v>27</v>
      </c>
      <c r="M187" s="1">
        <v>19</v>
      </c>
      <c r="N187" s="1">
        <v>37</v>
      </c>
      <c r="O187" s="1">
        <v>29</v>
      </c>
      <c r="P187" s="1">
        <v>31</v>
      </c>
      <c r="Q187" s="1">
        <v>22</v>
      </c>
      <c r="R187" s="1">
        <v>24</v>
      </c>
      <c r="S187" s="1">
        <v>21</v>
      </c>
      <c r="T187" s="1">
        <v>20</v>
      </c>
      <c r="U187" s="1">
        <v>26</v>
      </c>
      <c r="V187" s="1">
        <v>15</v>
      </c>
      <c r="W187" s="1">
        <v>13</v>
      </c>
      <c r="X187" s="1">
        <v>11</v>
      </c>
      <c r="Y187" s="1">
        <v>8</v>
      </c>
    </row>
    <row r="188" spans="1:25" x14ac:dyDescent="0.3">
      <c r="A188" s="2">
        <v>43256</v>
      </c>
      <c r="B188" s="1">
        <v>6</v>
      </c>
      <c r="C188" s="1">
        <v>9</v>
      </c>
      <c r="D188" s="1">
        <v>9</v>
      </c>
      <c r="E188" s="1">
        <v>2</v>
      </c>
      <c r="F188" s="1">
        <v>6</v>
      </c>
      <c r="G188" s="1">
        <v>9</v>
      </c>
      <c r="H188" s="1">
        <v>16</v>
      </c>
      <c r="I188" s="1">
        <v>22</v>
      </c>
      <c r="J188" s="1">
        <v>22</v>
      </c>
      <c r="K188" s="1">
        <v>21</v>
      </c>
      <c r="L188" s="1">
        <v>25</v>
      </c>
      <c r="M188" s="1">
        <v>29</v>
      </c>
      <c r="N188" s="1">
        <v>24</v>
      </c>
      <c r="O188" s="1">
        <v>15</v>
      </c>
      <c r="P188" s="1">
        <v>24</v>
      </c>
      <c r="Q188" s="1">
        <v>23</v>
      </c>
      <c r="R188" s="1">
        <v>28</v>
      </c>
      <c r="S188" s="1">
        <v>24</v>
      </c>
      <c r="T188" s="1">
        <v>26</v>
      </c>
      <c r="U188" s="1">
        <v>27</v>
      </c>
      <c r="V188" s="1">
        <v>20</v>
      </c>
      <c r="W188" s="1">
        <v>18</v>
      </c>
      <c r="X188" s="1">
        <v>12</v>
      </c>
      <c r="Y188" s="1">
        <v>8</v>
      </c>
    </row>
    <row r="189" spans="1:25" x14ac:dyDescent="0.3">
      <c r="A189" s="2">
        <v>43257</v>
      </c>
      <c r="B189" s="1">
        <v>5</v>
      </c>
      <c r="C189" s="1">
        <v>6</v>
      </c>
      <c r="D189" s="1">
        <v>4</v>
      </c>
      <c r="E189" s="1">
        <v>3</v>
      </c>
      <c r="F189" s="1">
        <v>2</v>
      </c>
      <c r="G189" s="1">
        <v>3</v>
      </c>
      <c r="H189" s="1">
        <v>8</v>
      </c>
      <c r="I189" s="1">
        <v>24</v>
      </c>
      <c r="J189" s="1">
        <v>19</v>
      </c>
      <c r="K189" s="1">
        <v>16</v>
      </c>
      <c r="L189" s="1">
        <v>21</v>
      </c>
      <c r="M189" s="1">
        <v>14</v>
      </c>
      <c r="N189" s="1">
        <v>18</v>
      </c>
      <c r="O189" s="1">
        <v>26</v>
      </c>
      <c r="P189" s="1">
        <v>19</v>
      </c>
      <c r="Q189" s="1">
        <v>23</v>
      </c>
      <c r="R189" s="1">
        <v>32</v>
      </c>
      <c r="S189" s="1">
        <v>24</v>
      </c>
      <c r="T189" s="1">
        <v>18</v>
      </c>
      <c r="U189" s="1">
        <v>12</v>
      </c>
      <c r="V189" s="1">
        <v>16</v>
      </c>
      <c r="W189" s="1">
        <v>14</v>
      </c>
      <c r="X189" s="1">
        <v>5</v>
      </c>
      <c r="Y189" s="1">
        <v>7</v>
      </c>
    </row>
    <row r="190" spans="1:25" x14ac:dyDescent="0.3">
      <c r="A190" s="2">
        <v>43258</v>
      </c>
      <c r="B190" s="1">
        <v>6</v>
      </c>
      <c r="C190" s="1">
        <v>9</v>
      </c>
      <c r="D190" s="1">
        <v>10</v>
      </c>
      <c r="E190" s="1">
        <v>6</v>
      </c>
      <c r="F190" s="1">
        <v>4</v>
      </c>
      <c r="G190" s="1">
        <v>9</v>
      </c>
      <c r="H190" s="1">
        <v>11</v>
      </c>
      <c r="I190" s="1">
        <v>23</v>
      </c>
      <c r="J190" s="1">
        <v>15</v>
      </c>
      <c r="K190" s="1">
        <v>25</v>
      </c>
      <c r="L190" s="1">
        <v>21</v>
      </c>
      <c r="M190" s="1">
        <v>26</v>
      </c>
      <c r="N190" s="1">
        <v>23</v>
      </c>
      <c r="O190" s="1">
        <v>25</v>
      </c>
      <c r="P190" s="1">
        <v>24</v>
      </c>
      <c r="Q190" s="1">
        <v>30</v>
      </c>
      <c r="R190" s="1">
        <v>27</v>
      </c>
      <c r="S190" s="1">
        <v>21</v>
      </c>
      <c r="T190" s="1">
        <v>25</v>
      </c>
      <c r="U190" s="1">
        <v>14</v>
      </c>
      <c r="V190" s="1">
        <v>17</v>
      </c>
      <c r="W190" s="1">
        <v>13</v>
      </c>
      <c r="X190" s="1">
        <v>13</v>
      </c>
      <c r="Y190" s="1">
        <v>13</v>
      </c>
    </row>
    <row r="191" spans="1:25" x14ac:dyDescent="0.3">
      <c r="A191" s="2">
        <v>43259</v>
      </c>
      <c r="B191" s="1">
        <v>5</v>
      </c>
      <c r="C191" s="1">
        <v>7</v>
      </c>
      <c r="D191" s="1">
        <v>2</v>
      </c>
      <c r="E191" s="1">
        <v>1</v>
      </c>
      <c r="F191" s="1">
        <v>3</v>
      </c>
      <c r="G191" s="1">
        <v>12</v>
      </c>
      <c r="H191" s="1">
        <v>11</v>
      </c>
      <c r="I191" s="1">
        <v>22</v>
      </c>
      <c r="J191" s="1">
        <v>17</v>
      </c>
      <c r="K191" s="1">
        <v>30</v>
      </c>
      <c r="L191" s="1">
        <v>26</v>
      </c>
      <c r="M191" s="1">
        <v>25</v>
      </c>
      <c r="N191" s="1">
        <v>22</v>
      </c>
      <c r="O191" s="1">
        <v>24</v>
      </c>
      <c r="P191" s="1">
        <v>26</v>
      </c>
      <c r="Q191" s="1">
        <v>22</v>
      </c>
      <c r="R191" s="1">
        <v>29</v>
      </c>
      <c r="S191" s="1">
        <v>21</v>
      </c>
      <c r="T191" s="1">
        <v>25</v>
      </c>
      <c r="U191" s="1">
        <v>23</v>
      </c>
      <c r="V191" s="1">
        <v>18</v>
      </c>
      <c r="W191" s="1">
        <v>15</v>
      </c>
      <c r="X191" s="1">
        <v>9</v>
      </c>
      <c r="Y191" s="1">
        <v>18</v>
      </c>
    </row>
    <row r="192" spans="1:25" x14ac:dyDescent="0.3">
      <c r="A192" s="2">
        <v>43260</v>
      </c>
      <c r="B192" s="1">
        <v>16</v>
      </c>
      <c r="C192" s="1">
        <v>5</v>
      </c>
      <c r="D192" s="1">
        <v>11</v>
      </c>
      <c r="E192" s="1">
        <v>6</v>
      </c>
      <c r="F192" s="1">
        <v>3</v>
      </c>
      <c r="G192" s="1">
        <v>8</v>
      </c>
      <c r="H192" s="1">
        <v>7</v>
      </c>
      <c r="I192" s="1">
        <v>7</v>
      </c>
      <c r="J192" s="1">
        <v>13</v>
      </c>
      <c r="K192" s="1">
        <v>13</v>
      </c>
      <c r="L192" s="1">
        <v>24</v>
      </c>
      <c r="M192" s="1">
        <v>18</v>
      </c>
      <c r="N192" s="1">
        <v>14</v>
      </c>
      <c r="O192" s="1">
        <v>29</v>
      </c>
      <c r="P192" s="1">
        <v>24</v>
      </c>
      <c r="Q192" s="1">
        <v>19</v>
      </c>
      <c r="R192" s="1">
        <v>24</v>
      </c>
      <c r="S192" s="1">
        <v>20</v>
      </c>
      <c r="T192" s="1">
        <v>14</v>
      </c>
      <c r="U192" s="1">
        <v>24</v>
      </c>
      <c r="V192" s="1">
        <v>8</v>
      </c>
      <c r="W192" s="1">
        <v>24</v>
      </c>
      <c r="X192" s="1">
        <v>12</v>
      </c>
      <c r="Y192" s="1">
        <v>13</v>
      </c>
    </row>
    <row r="193" spans="1:25" x14ac:dyDescent="0.3">
      <c r="A193" s="2">
        <v>43261</v>
      </c>
      <c r="B193" s="1">
        <v>11</v>
      </c>
      <c r="C193" s="1">
        <v>7</v>
      </c>
      <c r="D193" s="1">
        <v>9</v>
      </c>
      <c r="E193" s="1">
        <v>4</v>
      </c>
      <c r="F193" s="1">
        <v>3</v>
      </c>
      <c r="G193" s="1">
        <v>4</v>
      </c>
      <c r="H193" s="1">
        <v>6</v>
      </c>
      <c r="I193" s="1">
        <v>8</v>
      </c>
      <c r="J193" s="1">
        <v>14</v>
      </c>
      <c r="K193" s="1">
        <v>9</v>
      </c>
      <c r="L193" s="1">
        <v>13</v>
      </c>
      <c r="M193" s="1">
        <v>22</v>
      </c>
      <c r="N193" s="1">
        <v>23</v>
      </c>
      <c r="O193" s="1">
        <v>22</v>
      </c>
      <c r="P193" s="1">
        <v>22</v>
      </c>
      <c r="Q193" s="1">
        <v>27</v>
      </c>
      <c r="R193" s="1">
        <v>22</v>
      </c>
      <c r="S193" s="1">
        <v>23</v>
      </c>
      <c r="T193" s="1">
        <v>18</v>
      </c>
      <c r="U193" s="1">
        <v>13</v>
      </c>
      <c r="V193" s="1">
        <v>13</v>
      </c>
      <c r="W193" s="1">
        <v>12</v>
      </c>
      <c r="X193" s="1">
        <v>12</v>
      </c>
      <c r="Y193" s="1">
        <v>21</v>
      </c>
    </row>
    <row r="194" spans="1:25" x14ac:dyDescent="0.3">
      <c r="A194" s="2">
        <v>43262</v>
      </c>
      <c r="B194" s="1">
        <v>42</v>
      </c>
      <c r="C194" s="1">
        <v>31</v>
      </c>
      <c r="D194" s="1">
        <v>8</v>
      </c>
      <c r="E194" s="1">
        <v>11</v>
      </c>
      <c r="F194" s="1">
        <v>6</v>
      </c>
      <c r="G194" s="1">
        <v>9</v>
      </c>
      <c r="H194" s="1">
        <v>15</v>
      </c>
      <c r="I194" s="1">
        <v>29</v>
      </c>
      <c r="J194" s="1">
        <v>26</v>
      </c>
      <c r="K194" s="1">
        <v>22</v>
      </c>
      <c r="L194" s="1">
        <v>23</v>
      </c>
      <c r="M194" s="1">
        <v>36</v>
      </c>
      <c r="N194" s="1">
        <v>24</v>
      </c>
      <c r="O194" s="1">
        <v>27</v>
      </c>
      <c r="P194" s="1">
        <v>14</v>
      </c>
      <c r="Q194" s="1">
        <v>36</v>
      </c>
      <c r="R194" s="1">
        <v>25</v>
      </c>
      <c r="S194" s="1">
        <v>19</v>
      </c>
      <c r="T194" s="1">
        <v>19</v>
      </c>
      <c r="U194" s="1">
        <v>17</v>
      </c>
      <c r="V194" s="1">
        <v>18</v>
      </c>
      <c r="W194" s="1">
        <v>22</v>
      </c>
      <c r="X194" s="1">
        <v>3</v>
      </c>
      <c r="Y194" s="1">
        <v>3</v>
      </c>
    </row>
    <row r="195" spans="1:25" x14ac:dyDescent="0.3">
      <c r="A195" s="2">
        <v>43263</v>
      </c>
      <c r="B195" s="1">
        <v>7</v>
      </c>
      <c r="C195" s="1">
        <v>4</v>
      </c>
      <c r="D195" s="1">
        <v>2</v>
      </c>
      <c r="E195" s="1">
        <v>5</v>
      </c>
      <c r="F195" s="1">
        <v>2</v>
      </c>
      <c r="G195" s="1">
        <v>6</v>
      </c>
      <c r="H195" s="1">
        <v>5</v>
      </c>
      <c r="I195" s="1">
        <v>24</v>
      </c>
      <c r="J195" s="1">
        <v>21</v>
      </c>
      <c r="K195" s="1">
        <v>21</v>
      </c>
      <c r="L195" s="1">
        <v>28</v>
      </c>
      <c r="M195" s="1">
        <v>22</v>
      </c>
      <c r="N195" s="1">
        <v>30</v>
      </c>
      <c r="O195" s="1">
        <v>29</v>
      </c>
      <c r="P195" s="1">
        <v>23</v>
      </c>
      <c r="Q195" s="1">
        <v>23</v>
      </c>
      <c r="R195" s="1">
        <v>36</v>
      </c>
      <c r="S195" s="1">
        <v>27</v>
      </c>
      <c r="T195" s="1">
        <v>27</v>
      </c>
      <c r="U195" s="1">
        <v>13</v>
      </c>
      <c r="V195" s="1">
        <v>13</v>
      </c>
      <c r="W195" s="1">
        <v>12</v>
      </c>
      <c r="X195" s="1">
        <v>12</v>
      </c>
      <c r="Y195" s="1">
        <v>10</v>
      </c>
    </row>
    <row r="196" spans="1:25" x14ac:dyDescent="0.3">
      <c r="A196" s="2">
        <v>43264</v>
      </c>
      <c r="B196" s="1">
        <v>5</v>
      </c>
      <c r="C196" s="1">
        <v>5</v>
      </c>
      <c r="D196" s="1">
        <v>3</v>
      </c>
      <c r="E196" s="1">
        <v>5</v>
      </c>
      <c r="F196" s="1">
        <v>3</v>
      </c>
      <c r="G196" s="1">
        <v>2</v>
      </c>
      <c r="H196" s="1">
        <v>5</v>
      </c>
      <c r="I196" s="1">
        <v>21</v>
      </c>
      <c r="J196" s="1">
        <v>13</v>
      </c>
      <c r="K196" s="1">
        <v>20</v>
      </c>
      <c r="L196" s="1">
        <v>25</v>
      </c>
      <c r="M196" s="1">
        <v>30</v>
      </c>
      <c r="N196" s="1">
        <v>28</v>
      </c>
      <c r="O196" s="1">
        <v>30</v>
      </c>
      <c r="P196" s="1">
        <v>13</v>
      </c>
      <c r="Q196" s="1">
        <v>32</v>
      </c>
      <c r="R196" s="1">
        <v>32</v>
      </c>
      <c r="S196" s="1">
        <v>37</v>
      </c>
      <c r="T196" s="1">
        <v>22</v>
      </c>
      <c r="U196" s="1">
        <v>15</v>
      </c>
      <c r="V196" s="1">
        <v>14</v>
      </c>
      <c r="W196" s="1">
        <v>11</v>
      </c>
      <c r="X196" s="1">
        <v>10</v>
      </c>
      <c r="Y196" s="1">
        <v>11</v>
      </c>
    </row>
    <row r="197" spans="1:25" x14ac:dyDescent="0.3">
      <c r="A197" s="2">
        <v>43265</v>
      </c>
      <c r="B197" s="1">
        <v>4</v>
      </c>
      <c r="C197" s="1">
        <v>9</v>
      </c>
      <c r="D197" s="1">
        <v>3</v>
      </c>
      <c r="E197" s="1">
        <v>6</v>
      </c>
      <c r="F197" s="1">
        <v>4</v>
      </c>
      <c r="G197" s="1">
        <v>5</v>
      </c>
      <c r="H197" s="1">
        <v>12</v>
      </c>
      <c r="I197" s="1">
        <v>20</v>
      </c>
      <c r="J197" s="1">
        <v>33</v>
      </c>
      <c r="K197" s="1">
        <v>22</v>
      </c>
      <c r="L197" s="1">
        <v>26</v>
      </c>
      <c r="M197" s="1">
        <v>24</v>
      </c>
      <c r="N197" s="1">
        <v>26</v>
      </c>
      <c r="O197" s="1">
        <v>25</v>
      </c>
      <c r="P197" s="1">
        <v>30</v>
      </c>
      <c r="Q197" s="1">
        <v>29</v>
      </c>
      <c r="R197" s="1">
        <v>39</v>
      </c>
      <c r="S197" s="1">
        <v>40</v>
      </c>
      <c r="T197" s="1">
        <v>29</v>
      </c>
      <c r="U197" s="1">
        <v>24</v>
      </c>
      <c r="V197" s="1">
        <v>14</v>
      </c>
      <c r="W197" s="1">
        <v>22</v>
      </c>
      <c r="X197" s="1">
        <v>16</v>
      </c>
      <c r="Y197" s="1">
        <v>15</v>
      </c>
    </row>
    <row r="198" spans="1:25" x14ac:dyDescent="0.3">
      <c r="A198" s="2">
        <v>43266</v>
      </c>
      <c r="B198" s="1">
        <v>8</v>
      </c>
      <c r="C198" s="1">
        <v>6</v>
      </c>
      <c r="D198" s="1">
        <v>5</v>
      </c>
      <c r="E198" s="1">
        <v>8</v>
      </c>
      <c r="F198" s="1">
        <v>6</v>
      </c>
      <c r="G198" s="1">
        <v>1</v>
      </c>
      <c r="H198" s="1">
        <v>7</v>
      </c>
      <c r="I198" s="1">
        <v>25</v>
      </c>
      <c r="J198" s="1">
        <v>22</v>
      </c>
      <c r="K198" s="1">
        <v>27</v>
      </c>
      <c r="L198" s="1">
        <v>23</v>
      </c>
      <c r="M198" s="1">
        <v>33</v>
      </c>
      <c r="N198" s="1">
        <v>34</v>
      </c>
      <c r="O198" s="1">
        <v>33</v>
      </c>
      <c r="P198" s="1">
        <v>21</v>
      </c>
      <c r="Q198" s="1">
        <v>21</v>
      </c>
      <c r="R198" s="1">
        <v>37</v>
      </c>
      <c r="S198" s="1">
        <v>29</v>
      </c>
      <c r="T198" s="1">
        <v>19</v>
      </c>
      <c r="U198" s="1">
        <v>22</v>
      </c>
      <c r="V198" s="1">
        <v>19</v>
      </c>
      <c r="W198" s="1">
        <v>15</v>
      </c>
      <c r="X198" s="1">
        <v>12</v>
      </c>
      <c r="Y198" s="1">
        <v>12</v>
      </c>
    </row>
    <row r="199" spans="1:25" x14ac:dyDescent="0.3">
      <c r="A199" s="2">
        <v>43267</v>
      </c>
      <c r="B199" s="1">
        <v>10</v>
      </c>
      <c r="C199" s="1">
        <v>14</v>
      </c>
      <c r="D199" s="1">
        <v>4</v>
      </c>
      <c r="E199" s="1">
        <v>5</v>
      </c>
      <c r="F199" s="1">
        <v>7</v>
      </c>
      <c r="G199" s="1">
        <v>1</v>
      </c>
      <c r="H199" s="1">
        <v>8</v>
      </c>
      <c r="I199" s="1">
        <v>8</v>
      </c>
      <c r="J199" s="1">
        <v>12</v>
      </c>
      <c r="K199" s="1">
        <v>17</v>
      </c>
      <c r="L199" s="1">
        <v>18</v>
      </c>
      <c r="M199" s="1">
        <v>32</v>
      </c>
      <c r="N199" s="1">
        <v>19</v>
      </c>
      <c r="O199" s="1">
        <v>26</v>
      </c>
      <c r="P199" s="1">
        <v>27</v>
      </c>
      <c r="Q199" s="1">
        <v>20</v>
      </c>
      <c r="R199" s="1">
        <v>25</v>
      </c>
      <c r="S199" s="1">
        <v>24</v>
      </c>
      <c r="T199" s="1">
        <v>31</v>
      </c>
      <c r="U199" s="1">
        <v>20</v>
      </c>
      <c r="V199" s="1">
        <v>16</v>
      </c>
      <c r="W199" s="1">
        <v>22</v>
      </c>
      <c r="X199" s="1">
        <v>17</v>
      </c>
      <c r="Y199" s="1">
        <v>14</v>
      </c>
    </row>
    <row r="200" spans="1:25" x14ac:dyDescent="0.3">
      <c r="A200" s="2">
        <v>43268</v>
      </c>
      <c r="B200" s="1">
        <v>3</v>
      </c>
      <c r="C200" s="1">
        <v>6</v>
      </c>
      <c r="D200" s="1">
        <v>6</v>
      </c>
      <c r="E200" s="1">
        <v>11</v>
      </c>
      <c r="F200" s="1">
        <v>10</v>
      </c>
      <c r="G200" s="1">
        <v>2</v>
      </c>
      <c r="H200" s="1">
        <v>5</v>
      </c>
      <c r="I200" s="1">
        <v>7</v>
      </c>
      <c r="J200" s="1">
        <v>11</v>
      </c>
      <c r="K200" s="1">
        <v>16</v>
      </c>
      <c r="L200" s="1">
        <v>7</v>
      </c>
      <c r="M200" s="1">
        <v>26</v>
      </c>
      <c r="N200" s="1">
        <v>19</v>
      </c>
      <c r="O200" s="1">
        <v>23</v>
      </c>
      <c r="P200" s="1">
        <v>12</v>
      </c>
      <c r="Q200" s="1">
        <v>25</v>
      </c>
      <c r="R200" s="1">
        <v>26</v>
      </c>
      <c r="S200" s="1">
        <v>19</v>
      </c>
      <c r="T200" s="1">
        <v>18</v>
      </c>
      <c r="U200" s="1">
        <v>28</v>
      </c>
      <c r="V200" s="1">
        <v>29</v>
      </c>
      <c r="W200" s="1">
        <v>13</v>
      </c>
      <c r="X200" s="1">
        <v>15</v>
      </c>
      <c r="Y200" s="1">
        <v>3</v>
      </c>
    </row>
    <row r="201" spans="1:25" x14ac:dyDescent="0.3">
      <c r="A201" s="2">
        <v>43269</v>
      </c>
      <c r="B201" s="1">
        <v>4</v>
      </c>
      <c r="C201" s="1">
        <v>4</v>
      </c>
      <c r="D201" s="1">
        <v>4</v>
      </c>
      <c r="E201" s="1">
        <v>9</v>
      </c>
      <c r="F201" s="1">
        <v>1</v>
      </c>
      <c r="G201" s="1">
        <v>12</v>
      </c>
      <c r="H201" s="1">
        <v>12</v>
      </c>
      <c r="I201" s="1">
        <v>14</v>
      </c>
      <c r="J201" s="1">
        <v>38</v>
      </c>
      <c r="K201" s="1">
        <v>19</v>
      </c>
      <c r="L201" s="1">
        <v>32</v>
      </c>
      <c r="M201" s="1">
        <v>20</v>
      </c>
      <c r="N201" s="1">
        <v>22</v>
      </c>
      <c r="O201" s="1">
        <v>40</v>
      </c>
      <c r="P201" s="1">
        <v>29</v>
      </c>
      <c r="Q201" s="1">
        <v>40</v>
      </c>
      <c r="R201" s="1">
        <v>19</v>
      </c>
      <c r="S201" s="1">
        <v>30</v>
      </c>
      <c r="T201" s="1">
        <v>15</v>
      </c>
      <c r="U201" s="1">
        <v>16</v>
      </c>
      <c r="V201" s="1">
        <v>23</v>
      </c>
      <c r="W201" s="1">
        <v>26</v>
      </c>
      <c r="X201" s="1">
        <v>15</v>
      </c>
      <c r="Y201" s="1">
        <v>9</v>
      </c>
    </row>
    <row r="202" spans="1:25" x14ac:dyDescent="0.3">
      <c r="A202" s="2">
        <v>43270</v>
      </c>
      <c r="B202" s="1">
        <v>8</v>
      </c>
      <c r="C202" s="1">
        <v>6</v>
      </c>
      <c r="D202" s="1">
        <v>7</v>
      </c>
      <c r="E202" s="1">
        <v>8</v>
      </c>
      <c r="F202" s="1">
        <v>8</v>
      </c>
      <c r="G202" s="1">
        <v>1</v>
      </c>
      <c r="H202" s="1">
        <v>13</v>
      </c>
      <c r="I202" s="1">
        <v>19</v>
      </c>
      <c r="J202" s="1">
        <v>27</v>
      </c>
      <c r="K202" s="1">
        <v>24</v>
      </c>
      <c r="L202" s="1">
        <v>17</v>
      </c>
      <c r="M202" s="1">
        <v>26</v>
      </c>
      <c r="N202" s="1">
        <v>20</v>
      </c>
      <c r="O202" s="1">
        <v>30</v>
      </c>
      <c r="P202" s="1">
        <v>26</v>
      </c>
      <c r="Q202" s="1">
        <v>30</v>
      </c>
      <c r="R202" s="1">
        <v>26</v>
      </c>
      <c r="S202" s="1">
        <v>24</v>
      </c>
      <c r="T202" s="1">
        <v>26</v>
      </c>
      <c r="U202" s="1">
        <v>12</v>
      </c>
      <c r="V202" s="1">
        <v>17</v>
      </c>
      <c r="W202" s="1">
        <v>12</v>
      </c>
      <c r="X202" s="1">
        <v>10</v>
      </c>
      <c r="Y202" s="1">
        <v>11</v>
      </c>
    </row>
    <row r="203" spans="1:25" x14ac:dyDescent="0.3">
      <c r="A203" s="2">
        <v>43271</v>
      </c>
      <c r="B203" s="1">
        <v>4</v>
      </c>
      <c r="C203" s="1">
        <v>2</v>
      </c>
      <c r="D203" s="1">
        <v>6</v>
      </c>
      <c r="E203" s="1">
        <v>6</v>
      </c>
      <c r="F203" s="1">
        <v>3</v>
      </c>
      <c r="G203" s="1">
        <v>6</v>
      </c>
      <c r="H203" s="1">
        <v>11</v>
      </c>
      <c r="I203" s="1">
        <v>12</v>
      </c>
      <c r="J203" s="1">
        <v>32</v>
      </c>
      <c r="K203" s="1">
        <v>21</v>
      </c>
      <c r="L203" s="1">
        <v>28</v>
      </c>
      <c r="M203" s="1">
        <v>17</v>
      </c>
      <c r="N203" s="1">
        <v>43</v>
      </c>
      <c r="O203" s="1">
        <v>21</v>
      </c>
      <c r="P203" s="1">
        <v>30</v>
      </c>
      <c r="Q203" s="1">
        <v>26</v>
      </c>
      <c r="R203" s="1">
        <v>22</v>
      </c>
      <c r="S203" s="1">
        <v>15</v>
      </c>
      <c r="T203" s="1">
        <v>11</v>
      </c>
      <c r="U203" s="1">
        <v>19</v>
      </c>
      <c r="V203" s="1">
        <v>7</v>
      </c>
      <c r="W203" s="1">
        <v>16</v>
      </c>
      <c r="X203" s="1">
        <v>16</v>
      </c>
      <c r="Y203" s="1">
        <v>6</v>
      </c>
    </row>
    <row r="204" spans="1:25" x14ac:dyDescent="0.3">
      <c r="A204" s="2">
        <v>43272</v>
      </c>
      <c r="B204" s="1">
        <v>5</v>
      </c>
      <c r="C204" s="1">
        <v>6</v>
      </c>
      <c r="D204" s="1">
        <v>6</v>
      </c>
      <c r="E204" s="1">
        <v>5</v>
      </c>
      <c r="F204" s="1">
        <v>6</v>
      </c>
      <c r="G204" s="1">
        <v>13</v>
      </c>
      <c r="H204" s="1">
        <v>8</v>
      </c>
      <c r="I204" s="1">
        <v>15</v>
      </c>
      <c r="J204" s="1">
        <v>26</v>
      </c>
      <c r="K204" s="1">
        <v>13</v>
      </c>
      <c r="L204" s="1">
        <v>30</v>
      </c>
      <c r="M204" s="1">
        <v>18</v>
      </c>
      <c r="N204" s="1">
        <v>18</v>
      </c>
      <c r="O204" s="1">
        <v>29</v>
      </c>
      <c r="P204" s="1">
        <v>20</v>
      </c>
      <c r="Q204" s="1">
        <v>40</v>
      </c>
      <c r="R204" s="1">
        <v>29</v>
      </c>
      <c r="S204" s="1">
        <v>26</v>
      </c>
      <c r="T204" s="1">
        <v>17</v>
      </c>
      <c r="U204" s="1">
        <v>19</v>
      </c>
      <c r="V204" s="1">
        <v>13</v>
      </c>
      <c r="W204" s="1">
        <v>14</v>
      </c>
      <c r="X204" s="1">
        <v>11</v>
      </c>
      <c r="Y204" s="1">
        <v>9</v>
      </c>
    </row>
    <row r="205" spans="1:25" x14ac:dyDescent="0.3">
      <c r="A205" s="2">
        <v>43273</v>
      </c>
      <c r="B205" s="1">
        <v>9</v>
      </c>
      <c r="C205" s="1">
        <v>6</v>
      </c>
      <c r="D205" s="1">
        <v>12</v>
      </c>
      <c r="E205" s="1">
        <v>8</v>
      </c>
      <c r="F205" s="1">
        <v>4</v>
      </c>
      <c r="G205" s="1">
        <v>6</v>
      </c>
      <c r="H205" s="1">
        <v>13</v>
      </c>
      <c r="I205" s="1">
        <v>14</v>
      </c>
      <c r="J205" s="1">
        <v>13</v>
      </c>
      <c r="K205" s="1">
        <v>15</v>
      </c>
      <c r="L205" s="1">
        <v>28</v>
      </c>
      <c r="M205" s="1">
        <v>21</v>
      </c>
      <c r="N205" s="1">
        <v>19</v>
      </c>
      <c r="O205" s="1">
        <v>18</v>
      </c>
      <c r="P205" s="1">
        <v>20</v>
      </c>
      <c r="Q205" s="1">
        <v>27</v>
      </c>
      <c r="R205" s="1">
        <v>21</v>
      </c>
      <c r="S205" s="1">
        <v>20</v>
      </c>
      <c r="T205" s="1">
        <v>17</v>
      </c>
      <c r="U205" s="1">
        <v>17</v>
      </c>
      <c r="V205" s="1">
        <v>15</v>
      </c>
      <c r="W205" s="1">
        <v>21</v>
      </c>
      <c r="X205" s="1">
        <v>13</v>
      </c>
      <c r="Y205" s="1">
        <v>16</v>
      </c>
    </row>
    <row r="206" spans="1:25" x14ac:dyDescent="0.3">
      <c r="A206" s="2">
        <v>43274</v>
      </c>
      <c r="B206" s="1">
        <v>8</v>
      </c>
      <c r="C206" s="1">
        <v>8</v>
      </c>
      <c r="D206" s="1">
        <v>6</v>
      </c>
      <c r="E206" s="1">
        <v>8</v>
      </c>
      <c r="F206" s="1">
        <v>6</v>
      </c>
      <c r="G206" s="1">
        <v>9</v>
      </c>
      <c r="H206" s="1">
        <v>6</v>
      </c>
      <c r="I206" s="1">
        <v>8</v>
      </c>
      <c r="J206" s="1">
        <v>13</v>
      </c>
      <c r="K206" s="1">
        <v>30</v>
      </c>
      <c r="L206" s="1">
        <v>16</v>
      </c>
      <c r="M206" s="1">
        <v>14</v>
      </c>
      <c r="N206" s="1">
        <v>22</v>
      </c>
      <c r="O206" s="1">
        <v>23</v>
      </c>
      <c r="P206" s="1">
        <v>23</v>
      </c>
      <c r="Q206" s="1">
        <v>13</v>
      </c>
      <c r="R206" s="1">
        <v>21</v>
      </c>
      <c r="S206" s="1">
        <v>16</v>
      </c>
      <c r="T206" s="1">
        <v>19</v>
      </c>
      <c r="U206" s="1">
        <v>12</v>
      </c>
      <c r="V206" s="1">
        <v>11</v>
      </c>
      <c r="W206" s="1">
        <v>17</v>
      </c>
      <c r="X206" s="1">
        <v>15</v>
      </c>
      <c r="Y206" s="1">
        <v>13</v>
      </c>
    </row>
    <row r="207" spans="1:25" x14ac:dyDescent="0.3">
      <c r="A207" s="2">
        <v>43275</v>
      </c>
      <c r="B207" s="1">
        <v>8</v>
      </c>
      <c r="C207" s="1">
        <v>6</v>
      </c>
      <c r="D207" s="1">
        <v>3</v>
      </c>
      <c r="E207" s="1">
        <v>7</v>
      </c>
      <c r="F207" s="1">
        <v>6</v>
      </c>
      <c r="G207" s="1">
        <v>8</v>
      </c>
      <c r="H207" s="1">
        <v>6</v>
      </c>
      <c r="I207" s="1">
        <v>15</v>
      </c>
      <c r="J207" s="1">
        <v>12</v>
      </c>
      <c r="K207" s="1">
        <v>12</v>
      </c>
      <c r="L207" s="1">
        <v>23</v>
      </c>
      <c r="M207" s="1">
        <v>14</v>
      </c>
      <c r="N207" s="1">
        <v>16</v>
      </c>
      <c r="O207" s="1">
        <v>27</v>
      </c>
      <c r="P207" s="1">
        <v>22</v>
      </c>
      <c r="Q207" s="1">
        <v>16</v>
      </c>
      <c r="R207" s="1">
        <v>22</v>
      </c>
      <c r="S207" s="1">
        <v>24</v>
      </c>
      <c r="T207" s="1">
        <v>13</v>
      </c>
      <c r="U207" s="1">
        <v>37</v>
      </c>
      <c r="V207" s="1">
        <v>20</v>
      </c>
      <c r="W207" s="1">
        <v>14</v>
      </c>
      <c r="X207" s="1">
        <v>15</v>
      </c>
      <c r="Y207" s="1">
        <v>4</v>
      </c>
    </row>
    <row r="208" spans="1:25" x14ac:dyDescent="0.3">
      <c r="A208" s="2">
        <v>43276</v>
      </c>
      <c r="B208" s="1">
        <v>13</v>
      </c>
      <c r="C208" s="1">
        <v>8</v>
      </c>
      <c r="D208" s="1">
        <v>5</v>
      </c>
      <c r="E208" s="1">
        <v>3</v>
      </c>
      <c r="F208" s="1">
        <v>3</v>
      </c>
      <c r="G208" s="1">
        <v>8</v>
      </c>
      <c r="H208" s="1">
        <v>11</v>
      </c>
      <c r="I208" s="1">
        <v>18</v>
      </c>
      <c r="J208" s="1">
        <v>24</v>
      </c>
      <c r="K208" s="1">
        <v>28</v>
      </c>
      <c r="L208" s="1">
        <v>23</v>
      </c>
      <c r="M208" s="1">
        <v>18</v>
      </c>
      <c r="N208" s="1">
        <v>35</v>
      </c>
      <c r="O208" s="1">
        <v>25</v>
      </c>
      <c r="P208" s="1">
        <v>27</v>
      </c>
      <c r="Q208" s="1">
        <v>22</v>
      </c>
      <c r="R208" s="1">
        <v>25</v>
      </c>
      <c r="S208" s="1">
        <v>29</v>
      </c>
      <c r="T208" s="1">
        <v>17</v>
      </c>
      <c r="U208" s="1">
        <v>26</v>
      </c>
      <c r="V208" s="1">
        <v>8</v>
      </c>
      <c r="W208" s="1">
        <v>19</v>
      </c>
      <c r="X208" s="1">
        <v>10</v>
      </c>
      <c r="Y208" s="1">
        <v>6</v>
      </c>
    </row>
    <row r="209" spans="1:25" x14ac:dyDescent="0.3">
      <c r="A209" s="2">
        <v>43277</v>
      </c>
      <c r="B209" s="1">
        <v>4</v>
      </c>
      <c r="C209" s="1">
        <v>4</v>
      </c>
      <c r="D209" s="1">
        <v>7</v>
      </c>
      <c r="E209" s="1">
        <v>13</v>
      </c>
      <c r="F209" s="1">
        <v>4</v>
      </c>
      <c r="G209" s="1">
        <v>11</v>
      </c>
      <c r="H209" s="1">
        <v>11</v>
      </c>
      <c r="I209" s="1">
        <v>19</v>
      </c>
      <c r="J209" s="1">
        <v>12</v>
      </c>
      <c r="K209" s="1">
        <v>19</v>
      </c>
      <c r="L209" s="1">
        <v>24</v>
      </c>
      <c r="M209" s="1">
        <v>29</v>
      </c>
      <c r="N209" s="1">
        <v>19</v>
      </c>
      <c r="O209" s="1">
        <v>18</v>
      </c>
      <c r="P209" s="1">
        <v>29</v>
      </c>
      <c r="Q209" s="1">
        <v>21</v>
      </c>
      <c r="R209" s="1">
        <v>32</v>
      </c>
      <c r="S209" s="1">
        <v>33</v>
      </c>
      <c r="T209" s="1">
        <v>30</v>
      </c>
      <c r="U209" s="1">
        <v>17</v>
      </c>
      <c r="V209" s="1">
        <v>16</v>
      </c>
      <c r="W209" s="1">
        <v>12</v>
      </c>
      <c r="X209" s="1">
        <v>13</v>
      </c>
      <c r="Y209" s="1">
        <v>5</v>
      </c>
    </row>
    <row r="210" spans="1:25" x14ac:dyDescent="0.3">
      <c r="A210" s="2">
        <v>43278</v>
      </c>
      <c r="B210" s="1">
        <v>4</v>
      </c>
      <c r="C210" s="1">
        <v>6</v>
      </c>
      <c r="D210" s="1">
        <v>1</v>
      </c>
      <c r="E210" s="1">
        <v>6</v>
      </c>
      <c r="F210" s="1">
        <v>2</v>
      </c>
      <c r="G210" s="1">
        <v>13</v>
      </c>
      <c r="H210" s="1">
        <v>6</v>
      </c>
      <c r="I210" s="1">
        <v>14</v>
      </c>
      <c r="J210" s="1">
        <v>24</v>
      </c>
      <c r="K210" s="1">
        <v>15</v>
      </c>
      <c r="L210" s="1">
        <v>33</v>
      </c>
      <c r="M210" s="1">
        <v>25</v>
      </c>
      <c r="N210" s="1">
        <v>36</v>
      </c>
      <c r="O210" s="1">
        <v>25</v>
      </c>
      <c r="P210" s="1">
        <v>22</v>
      </c>
      <c r="Q210" s="1">
        <v>34</v>
      </c>
      <c r="R210" s="1">
        <v>24</v>
      </c>
      <c r="S210" s="1">
        <v>31</v>
      </c>
      <c r="T210" s="1">
        <v>29</v>
      </c>
      <c r="U210" s="1">
        <v>15</v>
      </c>
      <c r="V210" s="1">
        <v>19</v>
      </c>
      <c r="W210" s="1">
        <v>17</v>
      </c>
      <c r="X210" s="1">
        <v>5</v>
      </c>
      <c r="Y210" s="1">
        <v>11</v>
      </c>
    </row>
    <row r="211" spans="1:25" x14ac:dyDescent="0.3">
      <c r="A211" s="2">
        <v>43279</v>
      </c>
      <c r="B211" s="1">
        <v>10</v>
      </c>
      <c r="C211" s="1">
        <v>5</v>
      </c>
      <c r="D211" s="1">
        <v>12</v>
      </c>
      <c r="E211" s="1">
        <v>2</v>
      </c>
      <c r="F211" s="1">
        <v>13</v>
      </c>
      <c r="G211" s="1">
        <v>41</v>
      </c>
      <c r="H211" s="1">
        <v>45</v>
      </c>
      <c r="I211" s="1">
        <v>32</v>
      </c>
      <c r="J211" s="1">
        <v>35</v>
      </c>
      <c r="K211" s="1">
        <v>25</v>
      </c>
      <c r="L211" s="1">
        <v>41</v>
      </c>
      <c r="M211" s="1">
        <v>35</v>
      </c>
      <c r="N211" s="1">
        <v>39</v>
      </c>
      <c r="O211" s="1">
        <v>38</v>
      </c>
      <c r="P211" s="1">
        <v>29</v>
      </c>
      <c r="Q211" s="1">
        <v>26</v>
      </c>
      <c r="R211" s="1">
        <v>30</v>
      </c>
      <c r="S211" s="1">
        <v>22</v>
      </c>
      <c r="T211" s="1">
        <v>28</v>
      </c>
      <c r="U211" s="1">
        <v>13</v>
      </c>
      <c r="V211" s="1">
        <v>15</v>
      </c>
      <c r="W211" s="1">
        <v>18</v>
      </c>
      <c r="X211" s="1">
        <v>9</v>
      </c>
      <c r="Y211" s="1">
        <v>10</v>
      </c>
    </row>
    <row r="212" spans="1:25" x14ac:dyDescent="0.3">
      <c r="A212" s="2">
        <v>43280</v>
      </c>
      <c r="B212" s="1">
        <v>11</v>
      </c>
      <c r="C212" s="1">
        <v>10</v>
      </c>
      <c r="D212" s="1">
        <v>7</v>
      </c>
      <c r="E212" s="1">
        <v>9</v>
      </c>
      <c r="F212" s="1">
        <v>6</v>
      </c>
      <c r="G212" s="1">
        <v>3</v>
      </c>
      <c r="H212" s="1">
        <v>7</v>
      </c>
      <c r="I212" s="1">
        <v>16</v>
      </c>
      <c r="J212" s="1">
        <v>22</v>
      </c>
      <c r="K212" s="1">
        <v>20</v>
      </c>
      <c r="L212" s="1">
        <v>16</v>
      </c>
      <c r="M212" s="1">
        <v>23</v>
      </c>
      <c r="N212" s="1">
        <v>28</v>
      </c>
      <c r="O212" s="1">
        <v>31</v>
      </c>
      <c r="P212" s="1">
        <v>24</v>
      </c>
      <c r="Q212" s="1">
        <v>35</v>
      </c>
      <c r="R212" s="1">
        <v>30</v>
      </c>
      <c r="S212" s="1">
        <v>31</v>
      </c>
      <c r="T212" s="1">
        <v>22</v>
      </c>
      <c r="U212" s="1">
        <v>25</v>
      </c>
      <c r="V212" s="1">
        <v>18</v>
      </c>
      <c r="W212" s="1">
        <v>16</v>
      </c>
      <c r="X212" s="1">
        <v>13</v>
      </c>
      <c r="Y212" s="1">
        <v>13</v>
      </c>
    </row>
    <row r="213" spans="1:25" x14ac:dyDescent="0.3">
      <c r="A213" s="2">
        <v>43281</v>
      </c>
      <c r="B213" s="1">
        <v>9</v>
      </c>
      <c r="C213" s="1">
        <v>9</v>
      </c>
      <c r="D213" s="1">
        <v>5</v>
      </c>
      <c r="E213" s="1">
        <v>14</v>
      </c>
      <c r="F213" s="1">
        <v>1</v>
      </c>
      <c r="G213" s="1">
        <v>8</v>
      </c>
      <c r="H213" s="1">
        <v>2</v>
      </c>
      <c r="I213" s="1">
        <v>5</v>
      </c>
      <c r="J213" s="1">
        <v>16</v>
      </c>
      <c r="K213" s="1">
        <v>21</v>
      </c>
      <c r="L213" s="1">
        <v>29</v>
      </c>
      <c r="M213" s="1">
        <v>28</v>
      </c>
      <c r="N213" s="1">
        <v>34</v>
      </c>
      <c r="O213" s="1">
        <v>26</v>
      </c>
      <c r="P213" s="1">
        <v>27</v>
      </c>
      <c r="Q213" s="1">
        <v>22</v>
      </c>
      <c r="R213" s="1">
        <v>34</v>
      </c>
      <c r="S213" s="1">
        <v>20</v>
      </c>
      <c r="T213" s="1">
        <v>26</v>
      </c>
      <c r="U213" s="1">
        <v>25</v>
      </c>
      <c r="V213" s="1">
        <v>20</v>
      </c>
      <c r="W213" s="1">
        <v>19</v>
      </c>
      <c r="X213" s="1">
        <v>15</v>
      </c>
      <c r="Y213" s="1">
        <v>23</v>
      </c>
    </row>
    <row r="214" spans="1:25" x14ac:dyDescent="0.3">
      <c r="A214" s="2">
        <v>43282</v>
      </c>
      <c r="B214" s="1">
        <v>5</v>
      </c>
      <c r="C214" s="1">
        <v>9</v>
      </c>
      <c r="D214" s="1">
        <v>19</v>
      </c>
      <c r="E214" s="1">
        <v>5</v>
      </c>
      <c r="F214" s="1">
        <v>2</v>
      </c>
      <c r="G214" s="1">
        <v>4</v>
      </c>
      <c r="H214" s="1">
        <v>7</v>
      </c>
      <c r="I214" s="1">
        <v>13</v>
      </c>
      <c r="J214" s="1">
        <v>13</v>
      </c>
      <c r="K214" s="1">
        <v>9</v>
      </c>
      <c r="L214" s="1">
        <v>17</v>
      </c>
      <c r="M214" s="1">
        <v>19</v>
      </c>
      <c r="N214" s="1">
        <v>20</v>
      </c>
      <c r="O214" s="1">
        <v>26</v>
      </c>
      <c r="P214" s="1">
        <v>22</v>
      </c>
      <c r="Q214" s="1">
        <v>28</v>
      </c>
      <c r="R214" s="1">
        <v>24</v>
      </c>
      <c r="S214" s="1">
        <v>22</v>
      </c>
      <c r="T214" s="1">
        <v>19</v>
      </c>
      <c r="U214" s="1">
        <v>20</v>
      </c>
      <c r="V214" s="1">
        <v>18</v>
      </c>
      <c r="W214" s="1">
        <v>25</v>
      </c>
      <c r="X214" s="1">
        <v>23</v>
      </c>
      <c r="Y214" s="1">
        <v>5</v>
      </c>
    </row>
    <row r="215" spans="1:25" x14ac:dyDescent="0.3">
      <c r="A215" s="2">
        <v>43283</v>
      </c>
      <c r="B215" s="1">
        <v>5</v>
      </c>
      <c r="C215" s="1">
        <v>10</v>
      </c>
      <c r="D215" s="1">
        <v>4</v>
      </c>
      <c r="E215" s="1">
        <v>4</v>
      </c>
      <c r="F215" s="1">
        <v>5</v>
      </c>
      <c r="G215" s="1">
        <v>6</v>
      </c>
      <c r="H215" s="1">
        <v>11</v>
      </c>
      <c r="I215" s="1">
        <v>23</v>
      </c>
      <c r="J215" s="1">
        <v>27</v>
      </c>
      <c r="K215" s="1">
        <v>28</v>
      </c>
      <c r="L215" s="1">
        <v>19</v>
      </c>
      <c r="M215" s="1">
        <v>19</v>
      </c>
      <c r="N215" s="1">
        <v>28</v>
      </c>
      <c r="O215" s="1">
        <v>27</v>
      </c>
      <c r="P215" s="1">
        <v>31</v>
      </c>
      <c r="Q215" s="1">
        <v>38</v>
      </c>
      <c r="R215" s="1">
        <v>31</v>
      </c>
      <c r="S215" s="1">
        <v>39</v>
      </c>
      <c r="T215" s="1">
        <v>37</v>
      </c>
      <c r="U215" s="1">
        <v>17</v>
      </c>
      <c r="V215" s="1">
        <v>22</v>
      </c>
      <c r="W215" s="1">
        <v>23</v>
      </c>
      <c r="X215" s="1">
        <v>9</v>
      </c>
      <c r="Y215" s="1">
        <v>8</v>
      </c>
    </row>
    <row r="216" spans="1:25" x14ac:dyDescent="0.3">
      <c r="A216" s="2">
        <v>43284</v>
      </c>
      <c r="B216" s="1">
        <v>7</v>
      </c>
      <c r="C216" s="1">
        <v>6</v>
      </c>
      <c r="D216" s="1">
        <v>9</v>
      </c>
      <c r="E216" s="1">
        <v>2</v>
      </c>
      <c r="F216" s="1">
        <v>2</v>
      </c>
      <c r="G216" s="1">
        <v>9</v>
      </c>
      <c r="H216" s="1">
        <v>9</v>
      </c>
      <c r="I216" s="1">
        <v>13</v>
      </c>
      <c r="J216" s="1">
        <v>21</v>
      </c>
      <c r="K216" s="1">
        <v>23</v>
      </c>
      <c r="L216" s="1">
        <v>27</v>
      </c>
      <c r="M216" s="1">
        <v>23</v>
      </c>
      <c r="N216" s="1">
        <v>31</v>
      </c>
      <c r="O216" s="1">
        <v>39</v>
      </c>
      <c r="P216" s="1">
        <v>29</v>
      </c>
      <c r="Q216" s="1">
        <v>41</v>
      </c>
      <c r="R216" s="1">
        <v>26</v>
      </c>
      <c r="S216" s="1">
        <v>40</v>
      </c>
      <c r="T216" s="1">
        <v>43</v>
      </c>
      <c r="U216" s="1">
        <v>46</v>
      </c>
      <c r="V216" s="1">
        <v>39</v>
      </c>
      <c r="W216" s="1">
        <v>18</v>
      </c>
      <c r="X216" s="1">
        <v>16</v>
      </c>
      <c r="Y216" s="1">
        <v>11</v>
      </c>
    </row>
    <row r="217" spans="1:25" x14ac:dyDescent="0.3">
      <c r="A217" s="2">
        <v>43285</v>
      </c>
      <c r="B217" s="1">
        <v>5</v>
      </c>
      <c r="C217" s="1">
        <v>5</v>
      </c>
      <c r="D217" s="1">
        <v>5</v>
      </c>
      <c r="E217" s="1">
        <v>2</v>
      </c>
      <c r="F217" s="1">
        <v>4</v>
      </c>
      <c r="G217" s="1">
        <v>7</v>
      </c>
      <c r="H217" s="1">
        <v>10</v>
      </c>
      <c r="I217" s="1">
        <v>3</v>
      </c>
      <c r="J217" s="1">
        <v>16</v>
      </c>
      <c r="K217" s="1">
        <v>22</v>
      </c>
      <c r="L217" s="1">
        <v>17</v>
      </c>
      <c r="M217" s="1">
        <v>24</v>
      </c>
      <c r="N217" s="1">
        <v>18</v>
      </c>
      <c r="O217" s="1">
        <v>21</v>
      </c>
      <c r="P217" s="1">
        <v>17</v>
      </c>
      <c r="Q217" s="1">
        <v>13</v>
      </c>
      <c r="R217" s="1">
        <v>16</v>
      </c>
      <c r="S217" s="1">
        <v>18</v>
      </c>
      <c r="T217" s="1">
        <v>13</v>
      </c>
      <c r="U217" s="1">
        <v>26</v>
      </c>
      <c r="V217" s="1">
        <v>16</v>
      </c>
      <c r="W217" s="1">
        <v>27</v>
      </c>
      <c r="X217" s="1">
        <v>19</v>
      </c>
      <c r="Y217" s="1">
        <v>8</v>
      </c>
    </row>
    <row r="218" spans="1:25" x14ac:dyDescent="0.3">
      <c r="A218" s="2">
        <v>43286</v>
      </c>
      <c r="B218" s="1">
        <v>6</v>
      </c>
      <c r="C218" s="1">
        <v>4</v>
      </c>
      <c r="D218" s="1">
        <v>8</v>
      </c>
      <c r="E218" s="1">
        <v>10</v>
      </c>
      <c r="F218" s="1">
        <v>9</v>
      </c>
      <c r="G218" s="1">
        <v>10</v>
      </c>
      <c r="H218" s="1">
        <v>10</v>
      </c>
      <c r="I218" s="1">
        <v>13</v>
      </c>
      <c r="J218" s="1">
        <v>23</v>
      </c>
      <c r="K218" s="1">
        <v>28</v>
      </c>
      <c r="L218" s="1">
        <v>21</v>
      </c>
      <c r="M218" s="1">
        <v>26</v>
      </c>
      <c r="N218" s="1">
        <v>27</v>
      </c>
      <c r="O218" s="1">
        <v>31</v>
      </c>
      <c r="P218" s="1">
        <v>32</v>
      </c>
      <c r="Q218" s="1">
        <v>26</v>
      </c>
      <c r="R218" s="1">
        <v>21</v>
      </c>
      <c r="S218" s="1">
        <v>25</v>
      </c>
      <c r="T218" s="1">
        <v>27</v>
      </c>
      <c r="U218" s="1">
        <v>20</v>
      </c>
      <c r="V218" s="1">
        <v>20</v>
      </c>
      <c r="W218" s="1">
        <v>23</v>
      </c>
      <c r="X218" s="1">
        <v>14</v>
      </c>
      <c r="Y218" s="1">
        <v>4</v>
      </c>
    </row>
    <row r="219" spans="1:25" x14ac:dyDescent="0.3">
      <c r="A219" s="2">
        <v>43287</v>
      </c>
      <c r="B219" s="1">
        <v>7</v>
      </c>
      <c r="C219" s="1">
        <v>3</v>
      </c>
      <c r="D219" s="1">
        <v>6</v>
      </c>
      <c r="E219" s="1">
        <v>5</v>
      </c>
      <c r="F219" s="1">
        <v>13</v>
      </c>
      <c r="G219" s="1">
        <v>15</v>
      </c>
      <c r="H219" s="1">
        <v>24</v>
      </c>
      <c r="I219" s="1">
        <v>15</v>
      </c>
      <c r="J219" s="1">
        <v>16</v>
      </c>
      <c r="K219" s="1">
        <v>26</v>
      </c>
      <c r="L219" s="1">
        <v>28</v>
      </c>
      <c r="M219" s="1">
        <v>23</v>
      </c>
      <c r="N219" s="1">
        <v>17</v>
      </c>
      <c r="O219" s="1">
        <v>31</v>
      </c>
      <c r="P219" s="1">
        <v>25</v>
      </c>
      <c r="Q219" s="1">
        <v>18</v>
      </c>
      <c r="R219" s="1">
        <v>25</v>
      </c>
      <c r="S219" s="1">
        <v>28</v>
      </c>
      <c r="T219" s="1">
        <v>21</v>
      </c>
      <c r="U219" s="1">
        <v>16</v>
      </c>
      <c r="V219" s="1">
        <v>18</v>
      </c>
      <c r="W219" s="1">
        <v>8</v>
      </c>
      <c r="X219" s="1">
        <v>16</v>
      </c>
      <c r="Y219" s="1">
        <v>9</v>
      </c>
    </row>
    <row r="220" spans="1:25" x14ac:dyDescent="0.3">
      <c r="A220" s="2">
        <v>43288</v>
      </c>
      <c r="B220" s="1">
        <v>10</v>
      </c>
      <c r="C220" s="1">
        <v>6</v>
      </c>
      <c r="D220" s="1">
        <v>8</v>
      </c>
      <c r="E220" s="1">
        <v>12</v>
      </c>
      <c r="F220" s="1">
        <v>6</v>
      </c>
      <c r="G220" s="1">
        <v>6</v>
      </c>
      <c r="H220" s="1">
        <v>7</v>
      </c>
      <c r="I220" s="1">
        <v>13</v>
      </c>
      <c r="J220" s="1">
        <v>9</v>
      </c>
      <c r="K220" s="1">
        <v>19</v>
      </c>
      <c r="L220" s="1">
        <v>18</v>
      </c>
      <c r="M220" s="1">
        <v>16</v>
      </c>
      <c r="N220" s="1">
        <v>25</v>
      </c>
      <c r="O220" s="1">
        <v>18</v>
      </c>
      <c r="P220" s="1">
        <v>25</v>
      </c>
      <c r="Q220" s="1">
        <v>14</v>
      </c>
      <c r="R220" s="1">
        <v>20</v>
      </c>
      <c r="S220" s="1">
        <v>18</v>
      </c>
      <c r="T220" s="1">
        <v>15</v>
      </c>
      <c r="U220" s="1">
        <v>25</v>
      </c>
      <c r="V220" s="1">
        <v>17</v>
      </c>
      <c r="W220" s="1">
        <v>29</v>
      </c>
      <c r="X220" s="1">
        <v>9</v>
      </c>
      <c r="Y220" s="1">
        <v>7</v>
      </c>
    </row>
    <row r="221" spans="1:25" x14ac:dyDescent="0.3">
      <c r="A221" s="2">
        <v>43289</v>
      </c>
      <c r="B221" s="1">
        <v>15</v>
      </c>
      <c r="C221" s="1">
        <v>9</v>
      </c>
      <c r="D221" s="1">
        <v>6</v>
      </c>
      <c r="E221" s="1">
        <v>6</v>
      </c>
      <c r="F221" s="1">
        <v>13</v>
      </c>
      <c r="G221" s="1">
        <v>7</v>
      </c>
      <c r="H221" s="1">
        <v>6</v>
      </c>
      <c r="I221" s="1">
        <v>5</v>
      </c>
      <c r="J221" s="1">
        <v>17</v>
      </c>
      <c r="K221" s="1">
        <v>16</v>
      </c>
      <c r="L221" s="1">
        <v>24</v>
      </c>
      <c r="M221" s="1">
        <v>17</v>
      </c>
      <c r="N221" s="1">
        <v>17</v>
      </c>
      <c r="O221" s="1">
        <v>16</v>
      </c>
      <c r="P221" s="1">
        <v>15</v>
      </c>
      <c r="Q221" s="1">
        <v>13</v>
      </c>
      <c r="R221" s="1">
        <v>20</v>
      </c>
      <c r="S221" s="1">
        <v>17</v>
      </c>
      <c r="T221" s="1">
        <v>20</v>
      </c>
      <c r="U221" s="1">
        <v>11</v>
      </c>
      <c r="V221" s="1">
        <v>12</v>
      </c>
      <c r="W221" s="1">
        <v>10</v>
      </c>
      <c r="X221" s="1">
        <v>4</v>
      </c>
      <c r="Y221" s="1">
        <v>7</v>
      </c>
    </row>
    <row r="222" spans="1:25" x14ac:dyDescent="0.3">
      <c r="A222" s="2">
        <v>43290</v>
      </c>
      <c r="B222" s="1">
        <v>5</v>
      </c>
      <c r="C222" s="1">
        <v>8</v>
      </c>
      <c r="D222" s="1">
        <v>2</v>
      </c>
      <c r="E222" s="1">
        <v>5</v>
      </c>
      <c r="F222" s="1">
        <v>4</v>
      </c>
      <c r="G222" s="1">
        <v>5</v>
      </c>
      <c r="H222" s="1">
        <v>13</v>
      </c>
      <c r="I222" s="1">
        <v>13</v>
      </c>
      <c r="J222" s="1">
        <v>27</v>
      </c>
      <c r="K222" s="1">
        <v>21</v>
      </c>
      <c r="L222" s="1">
        <v>26</v>
      </c>
      <c r="M222" s="1">
        <v>20</v>
      </c>
      <c r="N222" s="1">
        <v>30</v>
      </c>
      <c r="O222" s="1">
        <v>40</v>
      </c>
      <c r="P222" s="1">
        <v>20</v>
      </c>
      <c r="Q222" s="1">
        <v>22</v>
      </c>
      <c r="R222" s="1">
        <v>36</v>
      </c>
      <c r="S222" s="1">
        <v>30</v>
      </c>
      <c r="T222" s="1">
        <v>24</v>
      </c>
      <c r="U222" s="1">
        <v>28</v>
      </c>
      <c r="V222" s="1">
        <v>11</v>
      </c>
      <c r="W222" s="1">
        <v>12</v>
      </c>
      <c r="X222" s="1">
        <v>14</v>
      </c>
      <c r="Y222" s="1">
        <v>5</v>
      </c>
    </row>
    <row r="223" spans="1:25" x14ac:dyDescent="0.3">
      <c r="A223" s="2">
        <v>43291</v>
      </c>
      <c r="B223" s="1">
        <v>6</v>
      </c>
      <c r="C223" s="1">
        <v>7</v>
      </c>
      <c r="D223" s="1">
        <v>6</v>
      </c>
      <c r="E223" s="1">
        <v>3</v>
      </c>
      <c r="F223" s="1">
        <v>9</v>
      </c>
      <c r="G223" s="1">
        <v>5</v>
      </c>
      <c r="H223" s="1">
        <v>8</v>
      </c>
      <c r="I223" s="1">
        <v>18</v>
      </c>
      <c r="J223" s="1">
        <v>26</v>
      </c>
      <c r="K223" s="1">
        <v>31</v>
      </c>
      <c r="L223" s="1">
        <v>24</v>
      </c>
      <c r="M223" s="1">
        <v>31</v>
      </c>
      <c r="N223" s="1">
        <v>31</v>
      </c>
      <c r="O223" s="1">
        <v>22</v>
      </c>
      <c r="P223" s="1">
        <v>32</v>
      </c>
      <c r="Q223" s="1">
        <v>22</v>
      </c>
      <c r="R223" s="1">
        <v>34</v>
      </c>
      <c r="S223" s="1">
        <v>30</v>
      </c>
      <c r="T223" s="1">
        <v>31</v>
      </c>
      <c r="U223" s="1">
        <v>20</v>
      </c>
      <c r="V223" s="1">
        <v>17</v>
      </c>
      <c r="W223" s="1">
        <v>17</v>
      </c>
      <c r="X223" s="1">
        <v>8</v>
      </c>
      <c r="Y223" s="1">
        <v>10</v>
      </c>
    </row>
    <row r="224" spans="1:25" x14ac:dyDescent="0.3">
      <c r="A224" s="2">
        <v>43292</v>
      </c>
      <c r="B224" s="1">
        <v>7</v>
      </c>
      <c r="C224" s="1">
        <v>7</v>
      </c>
      <c r="D224" s="1">
        <v>2</v>
      </c>
      <c r="E224" s="1">
        <v>4</v>
      </c>
      <c r="F224" s="1">
        <v>5</v>
      </c>
      <c r="G224" s="1">
        <v>7</v>
      </c>
      <c r="H224" s="1">
        <v>9</v>
      </c>
      <c r="I224" s="1">
        <v>22</v>
      </c>
      <c r="J224" s="1">
        <v>20</v>
      </c>
      <c r="K224" s="1">
        <v>35</v>
      </c>
      <c r="L224" s="1">
        <v>15</v>
      </c>
      <c r="M224" s="1">
        <v>39</v>
      </c>
      <c r="N224" s="1">
        <v>16</v>
      </c>
      <c r="O224" s="1">
        <v>36</v>
      </c>
      <c r="P224" s="1">
        <v>22</v>
      </c>
      <c r="Q224" s="1">
        <v>26</v>
      </c>
      <c r="R224" s="1">
        <v>22</v>
      </c>
      <c r="S224" s="1">
        <v>30</v>
      </c>
      <c r="T224" s="1">
        <v>40</v>
      </c>
      <c r="U224" s="1">
        <v>18</v>
      </c>
      <c r="V224" s="1">
        <v>11</v>
      </c>
      <c r="W224" s="1">
        <v>24</v>
      </c>
      <c r="X224" s="1">
        <v>9</v>
      </c>
      <c r="Y224" s="1">
        <v>12</v>
      </c>
    </row>
    <row r="225" spans="1:25" x14ac:dyDescent="0.3">
      <c r="A225" s="2">
        <v>43293</v>
      </c>
      <c r="B225" s="1">
        <v>0</v>
      </c>
      <c r="C225" s="1">
        <v>4</v>
      </c>
      <c r="D225" s="1">
        <v>4</v>
      </c>
      <c r="E225" s="1">
        <v>2</v>
      </c>
      <c r="F225" s="1">
        <v>1</v>
      </c>
      <c r="G225" s="1">
        <v>9</v>
      </c>
      <c r="H225" s="1">
        <v>6</v>
      </c>
      <c r="I225" s="1">
        <v>19</v>
      </c>
      <c r="J225" s="1">
        <v>28</v>
      </c>
      <c r="K225" s="1">
        <v>34</v>
      </c>
      <c r="L225" s="1">
        <v>23</v>
      </c>
      <c r="M225" s="1">
        <v>16</v>
      </c>
      <c r="N225" s="1">
        <v>17</v>
      </c>
      <c r="O225" s="1">
        <v>26</v>
      </c>
      <c r="P225" s="1">
        <v>26</v>
      </c>
      <c r="Q225" s="1">
        <v>33</v>
      </c>
      <c r="R225" s="1">
        <v>26</v>
      </c>
      <c r="S225" s="1">
        <v>30</v>
      </c>
      <c r="T225" s="1">
        <v>28</v>
      </c>
      <c r="U225" s="1">
        <v>24</v>
      </c>
      <c r="V225" s="1">
        <v>23</v>
      </c>
      <c r="W225" s="1">
        <v>22</v>
      </c>
      <c r="X225" s="1">
        <v>21</v>
      </c>
      <c r="Y225" s="1">
        <v>16</v>
      </c>
    </row>
    <row r="226" spans="1:25" x14ac:dyDescent="0.3">
      <c r="A226" s="2">
        <v>43294</v>
      </c>
      <c r="B226" s="1">
        <v>7</v>
      </c>
      <c r="C226" s="1">
        <v>7</v>
      </c>
      <c r="D226" s="1">
        <v>12</v>
      </c>
      <c r="E226" s="1">
        <v>7</v>
      </c>
      <c r="F226" s="1">
        <v>6</v>
      </c>
      <c r="G226" s="1">
        <v>9</v>
      </c>
      <c r="H226" s="1">
        <v>11</v>
      </c>
      <c r="I226" s="1">
        <v>8</v>
      </c>
      <c r="J226" s="1">
        <v>19</v>
      </c>
      <c r="K226" s="1">
        <v>27</v>
      </c>
      <c r="L226" s="1">
        <v>21</v>
      </c>
      <c r="M226" s="1">
        <v>28</v>
      </c>
      <c r="N226" s="1">
        <v>29</v>
      </c>
      <c r="O226" s="1">
        <v>16</v>
      </c>
      <c r="P226" s="1">
        <v>32</v>
      </c>
      <c r="Q226" s="1">
        <v>29</v>
      </c>
      <c r="R226" s="1">
        <v>31</v>
      </c>
      <c r="S226" s="1">
        <v>26</v>
      </c>
      <c r="T226" s="1">
        <v>22</v>
      </c>
      <c r="U226" s="1">
        <v>28</v>
      </c>
      <c r="V226" s="1">
        <v>19</v>
      </c>
      <c r="W226" s="1">
        <v>16</v>
      </c>
      <c r="X226" s="1">
        <v>8</v>
      </c>
      <c r="Y226" s="1">
        <v>6</v>
      </c>
    </row>
    <row r="227" spans="1:25" x14ac:dyDescent="0.3">
      <c r="A227" s="2">
        <v>43295</v>
      </c>
      <c r="B227" s="1">
        <v>11</v>
      </c>
      <c r="C227" s="1">
        <v>10</v>
      </c>
      <c r="D227" s="1">
        <v>5</v>
      </c>
      <c r="E227" s="1">
        <v>5</v>
      </c>
      <c r="F227" s="1">
        <v>7</v>
      </c>
      <c r="G227" s="1">
        <v>6</v>
      </c>
      <c r="H227" s="1">
        <v>3</v>
      </c>
      <c r="I227" s="1">
        <v>5</v>
      </c>
      <c r="J227" s="1">
        <v>8</v>
      </c>
      <c r="K227" s="1">
        <v>17</v>
      </c>
      <c r="L227" s="1">
        <v>16</v>
      </c>
      <c r="M227" s="1">
        <v>19</v>
      </c>
      <c r="N227" s="1">
        <v>27</v>
      </c>
      <c r="O227" s="1">
        <v>37</v>
      </c>
      <c r="P227" s="1">
        <v>17</v>
      </c>
      <c r="Q227" s="1">
        <v>17</v>
      </c>
      <c r="R227" s="1">
        <v>24</v>
      </c>
      <c r="S227" s="1">
        <v>25</v>
      </c>
      <c r="T227" s="1">
        <v>20</v>
      </c>
      <c r="U227" s="1">
        <v>20</v>
      </c>
      <c r="V227" s="1">
        <v>18</v>
      </c>
      <c r="W227" s="1">
        <v>13</v>
      </c>
      <c r="X227" s="1">
        <v>11</v>
      </c>
      <c r="Y227" s="1">
        <v>6</v>
      </c>
    </row>
    <row r="228" spans="1:25" x14ac:dyDescent="0.3">
      <c r="A228" s="2">
        <v>43296</v>
      </c>
      <c r="B228" s="1">
        <v>13</v>
      </c>
      <c r="C228" s="1">
        <v>6</v>
      </c>
      <c r="D228" s="1">
        <v>12</v>
      </c>
      <c r="E228" s="1">
        <v>5</v>
      </c>
      <c r="F228" s="1">
        <v>5</v>
      </c>
      <c r="G228" s="1">
        <v>1</v>
      </c>
      <c r="H228" s="1">
        <v>9</v>
      </c>
      <c r="I228" s="1">
        <v>8</v>
      </c>
      <c r="J228" s="1">
        <v>6</v>
      </c>
      <c r="K228" s="1">
        <v>17</v>
      </c>
      <c r="L228" s="1">
        <v>26</v>
      </c>
      <c r="M228" s="1">
        <v>20</v>
      </c>
      <c r="N228" s="1">
        <v>40</v>
      </c>
      <c r="O228" s="1">
        <v>26</v>
      </c>
      <c r="P228" s="1">
        <v>30</v>
      </c>
      <c r="Q228" s="1">
        <v>25</v>
      </c>
      <c r="R228" s="1">
        <v>18</v>
      </c>
      <c r="S228" s="1">
        <v>21</v>
      </c>
      <c r="T228" s="1">
        <v>14</v>
      </c>
      <c r="U228" s="1">
        <v>18</v>
      </c>
      <c r="V228" s="1">
        <v>18</v>
      </c>
      <c r="W228" s="1">
        <v>26</v>
      </c>
      <c r="X228" s="1">
        <v>20</v>
      </c>
      <c r="Y228" s="1">
        <v>13</v>
      </c>
    </row>
    <row r="229" spans="1:25" x14ac:dyDescent="0.3">
      <c r="A229" s="2">
        <v>43297</v>
      </c>
      <c r="B229" s="1">
        <v>7</v>
      </c>
      <c r="C229" s="1">
        <v>7</v>
      </c>
      <c r="D229" s="1">
        <v>5</v>
      </c>
      <c r="E229" s="1">
        <v>11</v>
      </c>
      <c r="F229" s="1">
        <v>6</v>
      </c>
      <c r="G229" s="1">
        <v>7</v>
      </c>
      <c r="H229" s="1">
        <v>17</v>
      </c>
      <c r="I229" s="1">
        <v>15</v>
      </c>
      <c r="J229" s="1">
        <v>17</v>
      </c>
      <c r="K229" s="1">
        <v>24</v>
      </c>
      <c r="L229" s="1">
        <v>27</v>
      </c>
      <c r="M229" s="1">
        <v>19</v>
      </c>
      <c r="N229" s="1">
        <v>23</v>
      </c>
      <c r="O229" s="1">
        <v>19</v>
      </c>
      <c r="P229" s="1">
        <v>26</v>
      </c>
      <c r="Q229" s="1">
        <v>31</v>
      </c>
      <c r="R229" s="1">
        <v>34</v>
      </c>
      <c r="S229" s="1">
        <v>30</v>
      </c>
      <c r="T229" s="1">
        <v>31</v>
      </c>
      <c r="U229" s="1">
        <v>10</v>
      </c>
      <c r="V229" s="1">
        <v>16</v>
      </c>
      <c r="W229" s="1">
        <v>12</v>
      </c>
      <c r="X229" s="1">
        <v>10</v>
      </c>
      <c r="Y229" s="1">
        <v>6</v>
      </c>
    </row>
    <row r="230" spans="1:25" x14ac:dyDescent="0.3">
      <c r="A230" s="2">
        <v>43298</v>
      </c>
      <c r="B230" s="1">
        <v>5</v>
      </c>
      <c r="C230" s="1">
        <v>2</v>
      </c>
      <c r="D230" s="1">
        <v>4</v>
      </c>
      <c r="E230" s="1">
        <v>7</v>
      </c>
      <c r="F230" s="1">
        <v>6</v>
      </c>
      <c r="G230" s="1">
        <v>10</v>
      </c>
      <c r="H230" s="1">
        <v>9</v>
      </c>
      <c r="I230" s="1">
        <v>19</v>
      </c>
      <c r="J230" s="1">
        <v>31</v>
      </c>
      <c r="K230" s="1">
        <v>25</v>
      </c>
      <c r="L230" s="1">
        <v>31</v>
      </c>
      <c r="M230" s="1">
        <v>25</v>
      </c>
      <c r="N230" s="1">
        <v>32</v>
      </c>
      <c r="O230" s="1">
        <v>25</v>
      </c>
      <c r="P230" s="1">
        <v>52</v>
      </c>
      <c r="Q230" s="1">
        <v>33</v>
      </c>
      <c r="R230" s="1">
        <v>32</v>
      </c>
      <c r="S230" s="1">
        <v>45</v>
      </c>
      <c r="T230" s="1">
        <v>27</v>
      </c>
      <c r="U230" s="1">
        <v>18</v>
      </c>
      <c r="V230" s="1">
        <v>12</v>
      </c>
      <c r="W230" s="1">
        <v>16</v>
      </c>
      <c r="X230" s="1">
        <v>9</v>
      </c>
      <c r="Y230" s="1">
        <v>6</v>
      </c>
    </row>
    <row r="231" spans="1:25" x14ac:dyDescent="0.3">
      <c r="A231" s="2">
        <v>43299</v>
      </c>
      <c r="B231" s="1">
        <v>5</v>
      </c>
      <c r="C231" s="1">
        <v>6</v>
      </c>
      <c r="D231" s="1">
        <v>10</v>
      </c>
      <c r="E231" s="1">
        <v>8</v>
      </c>
      <c r="F231" s="1">
        <v>1</v>
      </c>
      <c r="G231" s="1">
        <v>6</v>
      </c>
      <c r="H231" s="1">
        <v>6</v>
      </c>
      <c r="I231" s="1">
        <v>23</v>
      </c>
      <c r="J231" s="1">
        <v>28</v>
      </c>
      <c r="K231" s="1">
        <v>24</v>
      </c>
      <c r="L231" s="1">
        <v>19</v>
      </c>
      <c r="M231" s="1">
        <v>26</v>
      </c>
      <c r="N231" s="1">
        <v>22</v>
      </c>
      <c r="O231" s="1">
        <v>38</v>
      </c>
      <c r="P231" s="1">
        <v>25</v>
      </c>
      <c r="Q231" s="1">
        <v>25</v>
      </c>
      <c r="R231" s="1">
        <v>28</v>
      </c>
      <c r="S231" s="1">
        <v>32</v>
      </c>
      <c r="T231" s="1">
        <v>16</v>
      </c>
      <c r="U231" s="1">
        <v>9</v>
      </c>
      <c r="V231" s="1">
        <v>25</v>
      </c>
      <c r="W231" s="1">
        <v>14</v>
      </c>
      <c r="X231" s="1">
        <v>9</v>
      </c>
      <c r="Y231" s="1">
        <v>8</v>
      </c>
    </row>
    <row r="232" spans="1:25" x14ac:dyDescent="0.3">
      <c r="A232" s="2">
        <v>43300</v>
      </c>
      <c r="B232" s="1">
        <v>9</v>
      </c>
      <c r="C232" s="1">
        <v>7</v>
      </c>
      <c r="D232" s="1">
        <v>7</v>
      </c>
      <c r="E232" s="1">
        <v>5</v>
      </c>
      <c r="F232" s="1">
        <v>7</v>
      </c>
      <c r="G232" s="1">
        <v>4</v>
      </c>
      <c r="H232" s="1">
        <v>12</v>
      </c>
      <c r="I232" s="1">
        <v>16</v>
      </c>
      <c r="J232" s="1">
        <v>27</v>
      </c>
      <c r="K232" s="1">
        <v>15</v>
      </c>
      <c r="L232" s="1">
        <v>23</v>
      </c>
      <c r="M232" s="1">
        <v>33</v>
      </c>
      <c r="N232" s="1">
        <v>29</v>
      </c>
      <c r="O232" s="1">
        <v>25</v>
      </c>
      <c r="P232" s="1">
        <v>22</v>
      </c>
      <c r="Q232" s="1">
        <v>22</v>
      </c>
      <c r="R232" s="1">
        <v>19</v>
      </c>
      <c r="S232" s="1">
        <v>33</v>
      </c>
      <c r="T232" s="1">
        <v>25</v>
      </c>
      <c r="U232" s="1">
        <v>17</v>
      </c>
      <c r="V232" s="1">
        <v>20</v>
      </c>
      <c r="W232" s="1">
        <v>16</v>
      </c>
      <c r="X232" s="1">
        <v>14</v>
      </c>
      <c r="Y232" s="1">
        <v>9</v>
      </c>
    </row>
    <row r="233" spans="1:25" x14ac:dyDescent="0.3">
      <c r="A233" s="2">
        <v>43301</v>
      </c>
      <c r="B233" s="1">
        <v>9</v>
      </c>
      <c r="C233" s="1">
        <v>6</v>
      </c>
      <c r="D233" s="1">
        <v>0</v>
      </c>
      <c r="E233" s="1">
        <v>1</v>
      </c>
      <c r="F233" s="1">
        <v>2</v>
      </c>
      <c r="G233" s="1">
        <v>13</v>
      </c>
      <c r="H233" s="1">
        <v>15</v>
      </c>
      <c r="I233" s="1">
        <v>17</v>
      </c>
      <c r="J233" s="1">
        <v>22</v>
      </c>
      <c r="K233" s="1">
        <v>20</v>
      </c>
      <c r="L233" s="1">
        <v>18</v>
      </c>
      <c r="M233" s="1">
        <v>27</v>
      </c>
      <c r="N233" s="1">
        <v>27</v>
      </c>
      <c r="O233" s="1">
        <v>15</v>
      </c>
      <c r="P233" s="1">
        <v>19</v>
      </c>
      <c r="Q233" s="1">
        <v>15</v>
      </c>
      <c r="R233" s="1">
        <v>26</v>
      </c>
      <c r="S233" s="1">
        <v>34</v>
      </c>
      <c r="T233" s="1">
        <v>18</v>
      </c>
      <c r="U233" s="1">
        <v>14</v>
      </c>
      <c r="V233" s="1">
        <v>16</v>
      </c>
      <c r="W233" s="1">
        <v>27</v>
      </c>
      <c r="X233" s="1">
        <v>27</v>
      </c>
      <c r="Y233" s="1">
        <v>9</v>
      </c>
    </row>
    <row r="234" spans="1:25" x14ac:dyDescent="0.3">
      <c r="A234" s="2">
        <v>43302</v>
      </c>
      <c r="B234" s="1">
        <v>6</v>
      </c>
      <c r="C234" s="1">
        <v>9</v>
      </c>
      <c r="D234" s="1">
        <v>6</v>
      </c>
      <c r="E234" s="1">
        <v>6</v>
      </c>
      <c r="F234" s="1">
        <v>7</v>
      </c>
      <c r="G234" s="1">
        <v>5</v>
      </c>
      <c r="H234" s="1">
        <v>8</v>
      </c>
      <c r="I234" s="1">
        <v>5</v>
      </c>
      <c r="J234" s="1">
        <v>10</v>
      </c>
      <c r="K234" s="1">
        <v>10</v>
      </c>
      <c r="L234" s="1">
        <v>11</v>
      </c>
      <c r="M234" s="1">
        <v>22</v>
      </c>
      <c r="N234" s="1">
        <v>13</v>
      </c>
      <c r="O234" s="1">
        <v>21</v>
      </c>
      <c r="P234" s="1">
        <v>10</v>
      </c>
      <c r="Q234" s="1">
        <v>11</v>
      </c>
      <c r="R234" s="1">
        <v>26</v>
      </c>
      <c r="S234" s="1">
        <v>19</v>
      </c>
      <c r="T234" s="1">
        <v>19</v>
      </c>
      <c r="U234" s="1">
        <v>17</v>
      </c>
      <c r="V234" s="1">
        <v>11</v>
      </c>
      <c r="W234" s="1">
        <v>20</v>
      </c>
      <c r="X234" s="1">
        <v>18</v>
      </c>
      <c r="Y234" s="1">
        <v>24</v>
      </c>
    </row>
    <row r="235" spans="1:25" x14ac:dyDescent="0.3">
      <c r="A235" s="2">
        <v>43303</v>
      </c>
      <c r="B235" s="1">
        <v>21</v>
      </c>
      <c r="C235" s="1">
        <v>35</v>
      </c>
      <c r="D235" s="1">
        <v>17</v>
      </c>
      <c r="E235" s="1">
        <v>14</v>
      </c>
      <c r="F235" s="1">
        <v>8</v>
      </c>
      <c r="G235" s="1">
        <v>16</v>
      </c>
      <c r="H235" s="1">
        <v>13</v>
      </c>
      <c r="I235" s="1">
        <v>14</v>
      </c>
      <c r="J235" s="1">
        <v>20</v>
      </c>
      <c r="K235" s="1">
        <v>24</v>
      </c>
      <c r="L235" s="1">
        <v>32</v>
      </c>
      <c r="M235" s="1">
        <v>16</v>
      </c>
      <c r="N235" s="1">
        <v>26</v>
      </c>
      <c r="O235" s="1">
        <v>17</v>
      </c>
      <c r="P235" s="1">
        <v>31</v>
      </c>
      <c r="Q235" s="1">
        <v>22</v>
      </c>
      <c r="R235" s="1">
        <v>15</v>
      </c>
      <c r="S235" s="1">
        <v>24</v>
      </c>
      <c r="T235" s="1">
        <v>25</v>
      </c>
      <c r="U235" s="1">
        <v>18</v>
      </c>
      <c r="V235" s="1">
        <v>27</v>
      </c>
      <c r="W235" s="1">
        <v>17</v>
      </c>
      <c r="X235" s="1">
        <v>9</v>
      </c>
      <c r="Y235" s="1">
        <v>7</v>
      </c>
    </row>
    <row r="236" spans="1:25" x14ac:dyDescent="0.3">
      <c r="A236" s="2">
        <v>43304</v>
      </c>
      <c r="B236" s="1">
        <v>5</v>
      </c>
      <c r="C236" s="1">
        <v>6</v>
      </c>
      <c r="D236" s="1">
        <v>4</v>
      </c>
      <c r="E236" s="1">
        <v>2</v>
      </c>
      <c r="F236" s="1">
        <v>5</v>
      </c>
      <c r="G236" s="1">
        <v>12</v>
      </c>
      <c r="H236" s="1">
        <v>11</v>
      </c>
      <c r="I236" s="1">
        <v>10</v>
      </c>
      <c r="J236" s="1">
        <v>20</v>
      </c>
      <c r="K236" s="1">
        <v>20</v>
      </c>
      <c r="L236" s="1">
        <v>23</v>
      </c>
      <c r="M236" s="1">
        <v>23</v>
      </c>
      <c r="N236" s="1">
        <v>33</v>
      </c>
      <c r="O236" s="1">
        <v>19</v>
      </c>
      <c r="P236" s="1">
        <v>37</v>
      </c>
      <c r="Q236" s="1">
        <v>33</v>
      </c>
      <c r="R236" s="1">
        <v>30</v>
      </c>
      <c r="S236" s="1">
        <v>26</v>
      </c>
      <c r="T236" s="1">
        <v>21</v>
      </c>
      <c r="U236" s="1">
        <v>25</v>
      </c>
      <c r="V236" s="1">
        <v>3</v>
      </c>
      <c r="W236" s="1">
        <v>18</v>
      </c>
      <c r="X236" s="1">
        <v>12</v>
      </c>
      <c r="Y236" s="1">
        <v>10</v>
      </c>
    </row>
    <row r="237" spans="1:25" x14ac:dyDescent="0.3">
      <c r="A237" s="2">
        <v>43305</v>
      </c>
      <c r="B237" s="1">
        <v>13</v>
      </c>
      <c r="C237" s="1">
        <v>11</v>
      </c>
      <c r="D237" s="1">
        <v>9</v>
      </c>
      <c r="E237" s="1">
        <v>16</v>
      </c>
      <c r="F237" s="1">
        <v>8</v>
      </c>
      <c r="G237" s="1">
        <v>7</v>
      </c>
      <c r="H237" s="1">
        <v>15</v>
      </c>
      <c r="I237" s="1">
        <v>21</v>
      </c>
      <c r="J237" s="1">
        <v>25</v>
      </c>
      <c r="K237" s="1">
        <v>31</v>
      </c>
      <c r="L237" s="1">
        <v>17</v>
      </c>
      <c r="M237" s="1">
        <v>33</v>
      </c>
      <c r="N237" s="1">
        <v>38</v>
      </c>
      <c r="O237" s="1">
        <v>28</v>
      </c>
      <c r="P237" s="1">
        <v>27</v>
      </c>
      <c r="Q237" s="1">
        <v>12</v>
      </c>
      <c r="R237" s="1">
        <v>24</v>
      </c>
      <c r="S237" s="1">
        <v>18</v>
      </c>
      <c r="T237" s="1">
        <v>21</v>
      </c>
      <c r="U237" s="1">
        <v>15</v>
      </c>
      <c r="V237" s="1">
        <v>6</v>
      </c>
      <c r="W237" s="1">
        <v>8</v>
      </c>
      <c r="X237" s="1">
        <v>15</v>
      </c>
      <c r="Y237" s="1">
        <v>11</v>
      </c>
    </row>
    <row r="238" spans="1:25" x14ac:dyDescent="0.3">
      <c r="A238" s="2">
        <v>43306</v>
      </c>
      <c r="B238" s="1">
        <v>4</v>
      </c>
      <c r="C238" s="1">
        <v>7</v>
      </c>
      <c r="D238" s="1">
        <v>8</v>
      </c>
      <c r="E238" s="1">
        <v>10</v>
      </c>
      <c r="F238" s="1">
        <v>4</v>
      </c>
      <c r="G238" s="1">
        <v>12</v>
      </c>
      <c r="H238" s="1">
        <v>10</v>
      </c>
      <c r="I238" s="1">
        <v>23</v>
      </c>
      <c r="J238" s="1">
        <v>28</v>
      </c>
      <c r="K238" s="1">
        <v>23</v>
      </c>
      <c r="L238" s="1">
        <v>21</v>
      </c>
      <c r="M238" s="1">
        <v>19</v>
      </c>
      <c r="N238" s="1">
        <v>28</v>
      </c>
      <c r="O238" s="1">
        <v>25</v>
      </c>
      <c r="P238" s="1">
        <v>13</v>
      </c>
      <c r="Q238" s="1">
        <v>23</v>
      </c>
      <c r="R238" s="1">
        <v>24</v>
      </c>
      <c r="S238" s="1">
        <v>28</v>
      </c>
      <c r="T238" s="1">
        <v>24</v>
      </c>
      <c r="U238" s="1">
        <v>27</v>
      </c>
      <c r="V238" s="1">
        <v>12</v>
      </c>
      <c r="W238" s="1">
        <v>16</v>
      </c>
      <c r="X238" s="1">
        <v>15</v>
      </c>
      <c r="Y238" s="1">
        <v>9</v>
      </c>
    </row>
    <row r="239" spans="1:25" x14ac:dyDescent="0.3">
      <c r="A239" s="2">
        <v>43307</v>
      </c>
      <c r="B239" s="1">
        <v>14</v>
      </c>
      <c r="C239" s="1">
        <v>6</v>
      </c>
      <c r="D239" s="1">
        <v>10</v>
      </c>
      <c r="E239" s="1">
        <v>6</v>
      </c>
      <c r="F239" s="1">
        <v>9</v>
      </c>
      <c r="G239" s="1">
        <v>3</v>
      </c>
      <c r="H239" s="1">
        <v>14</v>
      </c>
      <c r="I239" s="1">
        <v>15</v>
      </c>
      <c r="J239" s="1">
        <v>17</v>
      </c>
      <c r="K239" s="1">
        <v>21</v>
      </c>
      <c r="L239" s="1">
        <v>33</v>
      </c>
      <c r="M239" s="1">
        <v>18</v>
      </c>
      <c r="N239" s="1">
        <v>20</v>
      </c>
      <c r="O239" s="1">
        <v>21</v>
      </c>
      <c r="P239" s="1">
        <v>35</v>
      </c>
      <c r="Q239" s="1">
        <v>23</v>
      </c>
      <c r="R239" s="1">
        <v>37</v>
      </c>
      <c r="S239" s="1">
        <v>23</v>
      </c>
      <c r="T239" s="1">
        <v>22</v>
      </c>
      <c r="U239" s="1">
        <v>18</v>
      </c>
      <c r="V239" s="1">
        <v>14</v>
      </c>
      <c r="W239" s="1">
        <v>15</v>
      </c>
      <c r="X239" s="1">
        <v>12</v>
      </c>
      <c r="Y239" s="1">
        <v>8</v>
      </c>
    </row>
    <row r="240" spans="1:25" x14ac:dyDescent="0.3">
      <c r="A240" s="2">
        <v>43308</v>
      </c>
      <c r="B240" s="1">
        <v>13</v>
      </c>
      <c r="C240" s="1">
        <v>7</v>
      </c>
      <c r="D240" s="1">
        <v>7</v>
      </c>
      <c r="E240" s="1">
        <v>5</v>
      </c>
      <c r="F240" s="1">
        <v>3</v>
      </c>
      <c r="G240" s="1">
        <v>6</v>
      </c>
      <c r="H240" s="1">
        <v>9</v>
      </c>
      <c r="I240" s="1">
        <v>14</v>
      </c>
      <c r="J240" s="1">
        <v>26</v>
      </c>
      <c r="K240" s="1">
        <v>28</v>
      </c>
      <c r="L240" s="1">
        <v>22</v>
      </c>
      <c r="M240" s="1">
        <v>19</v>
      </c>
      <c r="N240" s="1">
        <v>36</v>
      </c>
      <c r="O240" s="1">
        <v>20</v>
      </c>
      <c r="P240" s="1">
        <v>17</v>
      </c>
      <c r="Q240" s="1">
        <v>24</v>
      </c>
      <c r="R240" s="1">
        <v>26</v>
      </c>
      <c r="S240" s="1">
        <v>18</v>
      </c>
      <c r="T240" s="1">
        <v>20</v>
      </c>
      <c r="U240" s="1">
        <v>26</v>
      </c>
      <c r="V240" s="1">
        <v>22</v>
      </c>
      <c r="W240" s="1">
        <v>21</v>
      </c>
      <c r="X240" s="1">
        <v>10</v>
      </c>
      <c r="Y240" s="1">
        <v>11</v>
      </c>
    </row>
    <row r="241" spans="1:25" x14ac:dyDescent="0.3">
      <c r="A241" s="2">
        <v>43309</v>
      </c>
      <c r="B241" s="1">
        <v>17</v>
      </c>
      <c r="C241" s="1">
        <v>4</v>
      </c>
      <c r="D241" s="1">
        <v>12</v>
      </c>
      <c r="E241" s="1">
        <v>10</v>
      </c>
      <c r="F241" s="1">
        <v>3</v>
      </c>
      <c r="G241" s="1">
        <v>3</v>
      </c>
      <c r="H241" s="1">
        <v>11</v>
      </c>
      <c r="I241" s="1">
        <v>7</v>
      </c>
      <c r="J241" s="1">
        <v>16</v>
      </c>
      <c r="K241" s="1">
        <v>24</v>
      </c>
      <c r="L241" s="1">
        <v>18</v>
      </c>
      <c r="M241" s="1">
        <v>29</v>
      </c>
      <c r="N241" s="1">
        <v>14</v>
      </c>
      <c r="O241" s="1">
        <v>14</v>
      </c>
      <c r="P241" s="1">
        <v>18</v>
      </c>
      <c r="Q241" s="1">
        <v>19</v>
      </c>
      <c r="R241" s="1">
        <v>26</v>
      </c>
      <c r="S241" s="1">
        <v>19</v>
      </c>
      <c r="T241" s="1">
        <v>19</v>
      </c>
      <c r="U241" s="1">
        <v>21</v>
      </c>
      <c r="V241" s="1">
        <v>17</v>
      </c>
      <c r="W241" s="1">
        <v>11</v>
      </c>
      <c r="X241" s="1">
        <v>10</v>
      </c>
      <c r="Y241" s="1">
        <v>13</v>
      </c>
    </row>
    <row r="242" spans="1:25" x14ac:dyDescent="0.3">
      <c r="A242" s="2">
        <v>43310</v>
      </c>
      <c r="B242" s="1">
        <v>6</v>
      </c>
      <c r="C242" s="1">
        <v>13</v>
      </c>
      <c r="D242" s="1">
        <v>4</v>
      </c>
      <c r="E242" s="1">
        <v>11</v>
      </c>
      <c r="F242" s="1">
        <v>7</v>
      </c>
      <c r="G242" s="1">
        <v>3</v>
      </c>
      <c r="H242" s="1">
        <v>6</v>
      </c>
      <c r="I242" s="1">
        <v>13</v>
      </c>
      <c r="J242" s="1">
        <v>8</v>
      </c>
      <c r="K242" s="1">
        <v>10</v>
      </c>
      <c r="L242" s="1">
        <v>19</v>
      </c>
      <c r="M242" s="1">
        <v>11</v>
      </c>
      <c r="N242" s="1">
        <v>18</v>
      </c>
      <c r="O242" s="1">
        <v>13</v>
      </c>
      <c r="P242" s="1">
        <v>17</v>
      </c>
      <c r="Q242" s="1">
        <v>14</v>
      </c>
      <c r="R242" s="1">
        <v>15</v>
      </c>
      <c r="S242" s="1">
        <v>20</v>
      </c>
      <c r="T242" s="1">
        <v>30</v>
      </c>
      <c r="U242" s="1">
        <v>23</v>
      </c>
      <c r="V242" s="1">
        <v>19</v>
      </c>
      <c r="W242" s="1">
        <v>14</v>
      </c>
      <c r="X242" s="1">
        <v>9</v>
      </c>
      <c r="Y242" s="1">
        <v>10</v>
      </c>
    </row>
    <row r="243" spans="1:25" x14ac:dyDescent="0.3">
      <c r="A243" s="2">
        <v>43311</v>
      </c>
      <c r="B243" s="1">
        <v>5</v>
      </c>
      <c r="C243" s="1">
        <v>7</v>
      </c>
      <c r="D243" s="1">
        <v>5</v>
      </c>
      <c r="E243" s="1">
        <v>3</v>
      </c>
      <c r="F243" s="1">
        <v>9</v>
      </c>
      <c r="G243" s="1">
        <v>9</v>
      </c>
      <c r="H243" s="1">
        <v>14</v>
      </c>
      <c r="I243" s="1">
        <v>19</v>
      </c>
      <c r="J243" s="1">
        <v>25</v>
      </c>
      <c r="K243" s="1">
        <v>20</v>
      </c>
      <c r="L243" s="1">
        <v>17</v>
      </c>
      <c r="M243" s="1">
        <v>13</v>
      </c>
      <c r="N243" s="1">
        <v>27</v>
      </c>
      <c r="O243" s="1">
        <v>28</v>
      </c>
      <c r="P243" s="1">
        <v>31</v>
      </c>
      <c r="Q243" s="1">
        <v>30</v>
      </c>
      <c r="R243" s="1">
        <v>22</v>
      </c>
      <c r="S243" s="1">
        <v>24</v>
      </c>
      <c r="T243" s="1">
        <v>23</v>
      </c>
      <c r="U243" s="1">
        <v>23</v>
      </c>
      <c r="V243" s="1">
        <v>13</v>
      </c>
      <c r="W243" s="1">
        <v>11</v>
      </c>
      <c r="X243" s="1">
        <v>10</v>
      </c>
      <c r="Y243" s="1">
        <v>7</v>
      </c>
    </row>
    <row r="244" spans="1:25" x14ac:dyDescent="0.3">
      <c r="A244" s="2">
        <v>43312</v>
      </c>
      <c r="B244" s="1">
        <v>8</v>
      </c>
      <c r="C244" s="1">
        <v>11</v>
      </c>
      <c r="D244" s="1">
        <v>6</v>
      </c>
      <c r="E244" s="1">
        <v>7</v>
      </c>
      <c r="F244" s="1">
        <v>7</v>
      </c>
      <c r="G244" s="1">
        <v>5</v>
      </c>
      <c r="H244" s="1">
        <v>6</v>
      </c>
      <c r="I244" s="1">
        <v>12</v>
      </c>
      <c r="J244" s="1">
        <v>15</v>
      </c>
      <c r="K244" s="1">
        <v>23</v>
      </c>
      <c r="L244" s="1">
        <v>16</v>
      </c>
      <c r="M244" s="1">
        <v>23</v>
      </c>
      <c r="N244" s="1">
        <v>21</v>
      </c>
      <c r="O244" s="1">
        <v>26</v>
      </c>
      <c r="P244" s="1">
        <v>33</v>
      </c>
      <c r="Q244" s="1">
        <v>25</v>
      </c>
      <c r="R244" s="1">
        <v>31</v>
      </c>
      <c r="S244" s="1">
        <v>22</v>
      </c>
      <c r="T244" s="1">
        <v>15</v>
      </c>
      <c r="U244" s="1">
        <v>27</v>
      </c>
      <c r="V244" s="1">
        <v>18</v>
      </c>
      <c r="W244" s="1">
        <v>16</v>
      </c>
      <c r="X244" s="1">
        <v>8</v>
      </c>
      <c r="Y244" s="1">
        <v>6</v>
      </c>
    </row>
    <row r="245" spans="1:25" x14ac:dyDescent="0.3">
      <c r="A245" s="2">
        <v>43313</v>
      </c>
      <c r="B245" s="1">
        <v>8</v>
      </c>
      <c r="C245" s="1">
        <v>7</v>
      </c>
      <c r="D245" s="1">
        <v>5</v>
      </c>
      <c r="E245" s="1">
        <v>3</v>
      </c>
      <c r="F245" s="1">
        <v>8</v>
      </c>
      <c r="G245" s="1">
        <v>6</v>
      </c>
      <c r="H245" s="1">
        <v>13</v>
      </c>
      <c r="I245" s="1">
        <v>19</v>
      </c>
      <c r="J245" s="1">
        <v>14</v>
      </c>
      <c r="K245" s="1">
        <v>23</v>
      </c>
      <c r="L245" s="1">
        <v>29</v>
      </c>
      <c r="M245" s="1">
        <v>30</v>
      </c>
      <c r="N245" s="1">
        <v>21</v>
      </c>
      <c r="O245" s="1">
        <v>34</v>
      </c>
      <c r="P245" s="1">
        <v>20</v>
      </c>
      <c r="Q245" s="1">
        <v>22</v>
      </c>
      <c r="R245" s="1">
        <v>35</v>
      </c>
      <c r="S245" s="1">
        <v>28</v>
      </c>
      <c r="T245" s="1">
        <v>23</v>
      </c>
      <c r="U245" s="1">
        <v>10</v>
      </c>
      <c r="V245" s="1">
        <v>15</v>
      </c>
      <c r="W245" s="1">
        <v>11</v>
      </c>
      <c r="X245" s="1">
        <v>20</v>
      </c>
      <c r="Y245" s="1">
        <v>6</v>
      </c>
    </row>
    <row r="246" spans="1:25" x14ac:dyDescent="0.3">
      <c r="A246" s="2">
        <v>43314</v>
      </c>
      <c r="B246" s="1">
        <v>12</v>
      </c>
      <c r="C246" s="1">
        <v>6</v>
      </c>
      <c r="D246" s="1">
        <v>8</v>
      </c>
      <c r="E246" s="1">
        <v>6</v>
      </c>
      <c r="F246" s="1">
        <v>8</v>
      </c>
      <c r="G246" s="1">
        <v>4</v>
      </c>
      <c r="H246" s="1">
        <v>11</v>
      </c>
      <c r="I246" s="1">
        <v>13</v>
      </c>
      <c r="J246" s="1">
        <v>26</v>
      </c>
      <c r="K246" s="1">
        <v>25</v>
      </c>
      <c r="L246" s="1">
        <v>26</v>
      </c>
      <c r="M246" s="1">
        <v>17</v>
      </c>
      <c r="N246" s="1">
        <v>20</v>
      </c>
      <c r="O246" s="1">
        <v>22</v>
      </c>
      <c r="P246" s="1">
        <v>27</v>
      </c>
      <c r="Q246" s="1">
        <v>13</v>
      </c>
      <c r="R246" s="1">
        <v>20</v>
      </c>
      <c r="S246" s="1">
        <v>22</v>
      </c>
      <c r="T246" s="1">
        <v>25</v>
      </c>
      <c r="U246" s="1">
        <v>14</v>
      </c>
      <c r="V246" s="1">
        <v>13</v>
      </c>
      <c r="W246" s="1">
        <v>13</v>
      </c>
      <c r="X246" s="1">
        <v>2</v>
      </c>
      <c r="Y246" s="1">
        <v>6</v>
      </c>
    </row>
    <row r="247" spans="1:25" x14ac:dyDescent="0.3">
      <c r="A247" s="2">
        <v>43315</v>
      </c>
      <c r="B247" s="1">
        <v>3</v>
      </c>
      <c r="C247" s="1">
        <v>3</v>
      </c>
      <c r="D247" s="1">
        <v>9</v>
      </c>
      <c r="E247" s="1">
        <v>9</v>
      </c>
      <c r="F247" s="1">
        <v>5</v>
      </c>
      <c r="G247" s="1">
        <v>10</v>
      </c>
      <c r="H247" s="1">
        <v>9</v>
      </c>
      <c r="I247" s="1">
        <v>18</v>
      </c>
      <c r="J247" s="1">
        <v>27</v>
      </c>
      <c r="K247" s="1">
        <v>15</v>
      </c>
      <c r="L247" s="1">
        <v>14</v>
      </c>
      <c r="M247" s="1">
        <v>8</v>
      </c>
      <c r="N247" s="1">
        <v>25</v>
      </c>
      <c r="O247" s="1">
        <v>27</v>
      </c>
      <c r="P247" s="1">
        <v>21</v>
      </c>
      <c r="Q247" s="1">
        <v>22</v>
      </c>
      <c r="R247" s="1">
        <v>23</v>
      </c>
      <c r="S247" s="1">
        <v>22</v>
      </c>
      <c r="T247" s="1">
        <v>25</v>
      </c>
      <c r="U247" s="1">
        <v>12</v>
      </c>
      <c r="V247" s="1">
        <v>18</v>
      </c>
      <c r="W247" s="1">
        <v>11</v>
      </c>
      <c r="X247" s="1">
        <v>18</v>
      </c>
      <c r="Y247" s="1">
        <v>18</v>
      </c>
    </row>
    <row r="248" spans="1:25" x14ac:dyDescent="0.3">
      <c r="A248" s="2">
        <v>43316</v>
      </c>
      <c r="B248" s="1">
        <v>12</v>
      </c>
      <c r="C248" s="1">
        <v>10</v>
      </c>
      <c r="D248" s="1">
        <v>6</v>
      </c>
      <c r="E248" s="1">
        <v>2</v>
      </c>
      <c r="F248" s="1">
        <v>3</v>
      </c>
      <c r="G248" s="1">
        <v>12</v>
      </c>
      <c r="H248" s="1">
        <v>17</v>
      </c>
      <c r="I248" s="1">
        <v>26</v>
      </c>
      <c r="J248" s="1">
        <v>24</v>
      </c>
      <c r="K248" s="1">
        <v>14</v>
      </c>
      <c r="L248" s="1">
        <v>20</v>
      </c>
      <c r="M248" s="1">
        <v>25</v>
      </c>
      <c r="N248" s="1">
        <v>22</v>
      </c>
      <c r="O248" s="1">
        <v>18</v>
      </c>
      <c r="P248" s="1">
        <v>21</v>
      </c>
      <c r="Q248" s="1">
        <v>21</v>
      </c>
      <c r="R248" s="1">
        <v>24</v>
      </c>
      <c r="S248" s="1">
        <v>13</v>
      </c>
      <c r="T248" s="1">
        <v>15</v>
      </c>
      <c r="U248" s="1">
        <v>24</v>
      </c>
      <c r="V248" s="1">
        <v>20</v>
      </c>
      <c r="W248" s="1">
        <v>23</v>
      </c>
      <c r="X248" s="1">
        <v>7</v>
      </c>
      <c r="Y248" s="1">
        <v>12</v>
      </c>
    </row>
    <row r="249" spans="1:25" x14ac:dyDescent="0.3">
      <c r="A249" s="2">
        <v>43317</v>
      </c>
      <c r="B249" s="1">
        <v>9</v>
      </c>
      <c r="C249" s="1">
        <v>10</v>
      </c>
      <c r="D249" s="1">
        <v>15</v>
      </c>
      <c r="E249" s="1">
        <v>7</v>
      </c>
      <c r="F249" s="1">
        <v>2</v>
      </c>
      <c r="G249" s="1">
        <v>6</v>
      </c>
      <c r="H249" s="1">
        <v>6</v>
      </c>
      <c r="I249" s="1">
        <v>16</v>
      </c>
      <c r="J249" s="1">
        <v>17</v>
      </c>
      <c r="K249" s="1">
        <v>14</v>
      </c>
      <c r="L249" s="1">
        <v>17</v>
      </c>
      <c r="M249" s="1">
        <v>26</v>
      </c>
      <c r="N249" s="1">
        <v>29</v>
      </c>
      <c r="O249" s="1">
        <v>29</v>
      </c>
      <c r="P249" s="1">
        <v>13</v>
      </c>
      <c r="Q249" s="1">
        <v>16</v>
      </c>
      <c r="R249" s="1">
        <v>20</v>
      </c>
      <c r="S249" s="1">
        <v>24</v>
      </c>
      <c r="T249" s="1">
        <v>18</v>
      </c>
      <c r="U249" s="1">
        <v>17</v>
      </c>
      <c r="V249" s="1">
        <v>12</v>
      </c>
      <c r="W249" s="1">
        <v>16</v>
      </c>
      <c r="X249" s="1">
        <v>13</v>
      </c>
      <c r="Y249" s="1">
        <v>13</v>
      </c>
    </row>
    <row r="250" spans="1:25" x14ac:dyDescent="0.3">
      <c r="A250" s="2">
        <v>43318</v>
      </c>
      <c r="B250" s="1">
        <v>6</v>
      </c>
      <c r="C250" s="1">
        <v>7</v>
      </c>
      <c r="D250" s="1">
        <v>11</v>
      </c>
      <c r="E250" s="1">
        <v>4</v>
      </c>
      <c r="F250" s="1">
        <v>3</v>
      </c>
      <c r="G250" s="1">
        <v>3</v>
      </c>
      <c r="H250" s="1">
        <v>9</v>
      </c>
      <c r="I250" s="1">
        <v>11</v>
      </c>
      <c r="J250" s="1">
        <v>27</v>
      </c>
      <c r="K250" s="1">
        <v>26</v>
      </c>
      <c r="L250" s="1">
        <v>29</v>
      </c>
      <c r="M250" s="1">
        <v>26</v>
      </c>
      <c r="N250" s="1">
        <v>28</v>
      </c>
      <c r="O250" s="1">
        <v>28</v>
      </c>
      <c r="P250" s="1">
        <v>15</v>
      </c>
      <c r="Q250" s="1">
        <v>31</v>
      </c>
      <c r="R250" s="1">
        <v>30</v>
      </c>
      <c r="S250" s="1">
        <v>22</v>
      </c>
      <c r="T250" s="1">
        <v>23</v>
      </c>
      <c r="U250" s="1">
        <v>20</v>
      </c>
      <c r="V250" s="1">
        <v>13</v>
      </c>
      <c r="W250" s="1">
        <v>14</v>
      </c>
      <c r="X250" s="1">
        <v>14</v>
      </c>
      <c r="Y250" s="1">
        <v>10</v>
      </c>
    </row>
    <row r="251" spans="1:25" x14ac:dyDescent="0.3">
      <c r="A251" s="2">
        <v>43319</v>
      </c>
      <c r="B251" s="1">
        <v>9</v>
      </c>
      <c r="C251" s="1">
        <v>5</v>
      </c>
      <c r="D251" s="1">
        <v>4</v>
      </c>
      <c r="E251" s="1">
        <v>2</v>
      </c>
      <c r="F251" s="1">
        <v>3</v>
      </c>
      <c r="G251" s="1">
        <v>9</v>
      </c>
      <c r="H251" s="1">
        <v>11</v>
      </c>
      <c r="I251" s="1">
        <v>13</v>
      </c>
      <c r="J251" s="1">
        <v>26</v>
      </c>
      <c r="K251" s="1">
        <v>18</v>
      </c>
      <c r="L251" s="1">
        <v>24</v>
      </c>
      <c r="M251" s="1">
        <v>21</v>
      </c>
      <c r="N251" s="1">
        <v>31</v>
      </c>
      <c r="O251" s="1">
        <v>30</v>
      </c>
      <c r="P251" s="1">
        <v>16</v>
      </c>
      <c r="Q251" s="1">
        <v>24</v>
      </c>
      <c r="R251" s="1">
        <v>20</v>
      </c>
      <c r="S251" s="1">
        <v>36</v>
      </c>
      <c r="T251" s="1">
        <v>26</v>
      </c>
      <c r="U251" s="1">
        <v>34</v>
      </c>
      <c r="V251" s="1">
        <v>29</v>
      </c>
      <c r="W251" s="1">
        <v>25</v>
      </c>
      <c r="X251" s="1">
        <v>14</v>
      </c>
      <c r="Y251" s="1">
        <v>9</v>
      </c>
    </row>
    <row r="252" spans="1:25" x14ac:dyDescent="0.3">
      <c r="A252" s="2">
        <v>43320</v>
      </c>
      <c r="B252" s="1">
        <v>7</v>
      </c>
      <c r="C252" s="1">
        <v>6</v>
      </c>
      <c r="D252" s="1">
        <v>4</v>
      </c>
      <c r="E252" s="1">
        <v>3</v>
      </c>
      <c r="F252" s="1">
        <v>10</v>
      </c>
      <c r="G252" s="1">
        <v>8</v>
      </c>
      <c r="H252" s="1">
        <v>5</v>
      </c>
      <c r="I252" s="1">
        <v>16</v>
      </c>
      <c r="J252" s="1">
        <v>19</v>
      </c>
      <c r="K252" s="1">
        <v>24</v>
      </c>
      <c r="L252" s="1">
        <v>23</v>
      </c>
      <c r="M252" s="1">
        <v>36</v>
      </c>
      <c r="N252" s="1">
        <v>21</v>
      </c>
      <c r="O252" s="1">
        <v>24</v>
      </c>
      <c r="P252" s="1">
        <v>29</v>
      </c>
      <c r="Q252" s="1">
        <v>31</v>
      </c>
      <c r="R252" s="1">
        <v>29</v>
      </c>
      <c r="S252" s="1">
        <v>22</v>
      </c>
      <c r="T252" s="1">
        <v>28</v>
      </c>
      <c r="U252" s="1">
        <v>24</v>
      </c>
      <c r="V252" s="1">
        <v>16</v>
      </c>
      <c r="W252" s="1">
        <v>15</v>
      </c>
      <c r="X252" s="1">
        <v>9</v>
      </c>
      <c r="Y252" s="1">
        <v>6</v>
      </c>
    </row>
    <row r="253" spans="1:25" x14ac:dyDescent="0.3">
      <c r="A253" s="2">
        <v>43321</v>
      </c>
      <c r="B253" s="1">
        <v>5</v>
      </c>
      <c r="C253" s="1">
        <v>5</v>
      </c>
      <c r="D253" s="1">
        <v>1</v>
      </c>
      <c r="E253" s="1">
        <v>7</v>
      </c>
      <c r="F253" s="1">
        <v>4</v>
      </c>
      <c r="G253" s="1">
        <v>7</v>
      </c>
      <c r="H253" s="1">
        <v>5</v>
      </c>
      <c r="I253" s="1">
        <v>20</v>
      </c>
      <c r="J253" s="1">
        <v>19</v>
      </c>
      <c r="K253" s="1">
        <v>23</v>
      </c>
      <c r="L253" s="1">
        <v>16</v>
      </c>
      <c r="M253" s="1">
        <v>24</v>
      </c>
      <c r="N253" s="1">
        <v>15</v>
      </c>
      <c r="O253" s="1">
        <v>19</v>
      </c>
      <c r="P253" s="1">
        <v>24</v>
      </c>
      <c r="Q253" s="1">
        <v>32</v>
      </c>
      <c r="R253" s="1">
        <v>16</v>
      </c>
      <c r="S253" s="1">
        <v>24</v>
      </c>
      <c r="T253" s="1">
        <v>26</v>
      </c>
      <c r="U253" s="1">
        <v>19</v>
      </c>
      <c r="V253" s="1">
        <v>17</v>
      </c>
      <c r="W253" s="1">
        <v>15</v>
      </c>
      <c r="X253" s="1">
        <v>10</v>
      </c>
      <c r="Y253" s="1">
        <v>12</v>
      </c>
    </row>
    <row r="254" spans="1:25" x14ac:dyDescent="0.3">
      <c r="A254" s="2">
        <v>43322</v>
      </c>
      <c r="B254" s="1">
        <v>11</v>
      </c>
      <c r="C254" s="1">
        <v>9</v>
      </c>
      <c r="D254" s="1">
        <v>4</v>
      </c>
      <c r="E254" s="1">
        <v>11</v>
      </c>
      <c r="F254" s="1">
        <v>7</v>
      </c>
      <c r="G254" s="1">
        <v>6</v>
      </c>
      <c r="H254" s="1">
        <v>2</v>
      </c>
      <c r="I254" s="1">
        <v>11</v>
      </c>
      <c r="J254" s="1">
        <v>21</v>
      </c>
      <c r="K254" s="1">
        <v>21</v>
      </c>
      <c r="L254" s="1">
        <v>19</v>
      </c>
      <c r="M254" s="1">
        <v>21</v>
      </c>
      <c r="N254" s="1">
        <v>33</v>
      </c>
      <c r="O254" s="1">
        <v>27</v>
      </c>
      <c r="P254" s="1">
        <v>44</v>
      </c>
      <c r="Q254" s="1">
        <v>38</v>
      </c>
      <c r="R254" s="1">
        <v>30</v>
      </c>
      <c r="S254" s="1">
        <v>40</v>
      </c>
      <c r="T254" s="1">
        <v>20</v>
      </c>
      <c r="U254" s="1">
        <v>23</v>
      </c>
      <c r="V254" s="1">
        <v>15</v>
      </c>
      <c r="W254" s="1">
        <v>12</v>
      </c>
      <c r="X254" s="1">
        <v>13</v>
      </c>
      <c r="Y254" s="1">
        <v>7</v>
      </c>
    </row>
    <row r="255" spans="1:25" x14ac:dyDescent="0.3">
      <c r="A255" s="2">
        <v>43323</v>
      </c>
      <c r="B255" s="1">
        <v>9</v>
      </c>
      <c r="C255" s="1">
        <v>8</v>
      </c>
      <c r="D255" s="1">
        <v>8</v>
      </c>
      <c r="E255" s="1">
        <v>3</v>
      </c>
      <c r="F255" s="1">
        <v>6</v>
      </c>
      <c r="G255" s="1">
        <v>6</v>
      </c>
      <c r="H255" s="1">
        <v>8</v>
      </c>
      <c r="I255" s="1">
        <v>11</v>
      </c>
      <c r="J255" s="1">
        <v>13</v>
      </c>
      <c r="K255" s="1">
        <v>14</v>
      </c>
      <c r="L255" s="1">
        <v>30</v>
      </c>
      <c r="M255" s="1">
        <v>38</v>
      </c>
      <c r="N255" s="1">
        <v>19</v>
      </c>
      <c r="O255" s="1">
        <v>47</v>
      </c>
      <c r="P255" s="1">
        <v>77</v>
      </c>
      <c r="Q255" s="1">
        <v>38</v>
      </c>
      <c r="R255" s="1">
        <v>22</v>
      </c>
      <c r="S255" s="1">
        <v>30</v>
      </c>
      <c r="T255" s="1">
        <v>24</v>
      </c>
      <c r="U255" s="1">
        <v>14</v>
      </c>
      <c r="V255" s="1">
        <v>15</v>
      </c>
      <c r="W255" s="1">
        <v>16</v>
      </c>
      <c r="X255" s="1">
        <v>10</v>
      </c>
      <c r="Y255" s="1">
        <v>8</v>
      </c>
    </row>
    <row r="256" spans="1:25" x14ac:dyDescent="0.3">
      <c r="A256" s="2">
        <v>43324</v>
      </c>
      <c r="B256" s="1">
        <v>6</v>
      </c>
      <c r="C256" s="1">
        <v>5</v>
      </c>
      <c r="D256" s="1">
        <v>13</v>
      </c>
      <c r="E256" s="1">
        <v>1</v>
      </c>
      <c r="F256" s="1">
        <v>10</v>
      </c>
      <c r="G256" s="1">
        <v>7</v>
      </c>
      <c r="H256" s="1">
        <v>6</v>
      </c>
      <c r="I256" s="1">
        <v>9</v>
      </c>
      <c r="J256" s="1">
        <v>10</v>
      </c>
      <c r="K256" s="1">
        <v>13</v>
      </c>
      <c r="L256" s="1">
        <v>16</v>
      </c>
      <c r="M256" s="1">
        <v>18</v>
      </c>
      <c r="N256" s="1">
        <v>24</v>
      </c>
      <c r="O256" s="1">
        <v>16</v>
      </c>
      <c r="P256" s="1">
        <v>21</v>
      </c>
      <c r="Q256" s="1">
        <v>19</v>
      </c>
      <c r="R256" s="1">
        <v>15</v>
      </c>
      <c r="S256" s="1">
        <v>11</v>
      </c>
      <c r="T256" s="1">
        <v>10</v>
      </c>
      <c r="U256" s="1">
        <v>24</v>
      </c>
      <c r="V256" s="1">
        <v>9</v>
      </c>
      <c r="W256" s="1">
        <v>14</v>
      </c>
      <c r="X256" s="1">
        <v>11</v>
      </c>
      <c r="Y256" s="1">
        <v>2</v>
      </c>
    </row>
    <row r="257" spans="1:25" x14ac:dyDescent="0.3">
      <c r="A257" s="2">
        <v>43325</v>
      </c>
      <c r="B257" s="1">
        <v>7</v>
      </c>
      <c r="C257" s="1">
        <v>11</v>
      </c>
      <c r="D257" s="1">
        <v>9</v>
      </c>
      <c r="E257" s="1">
        <v>4</v>
      </c>
      <c r="F257" s="1">
        <v>5</v>
      </c>
      <c r="G257" s="1">
        <v>7</v>
      </c>
      <c r="H257" s="1">
        <v>12</v>
      </c>
      <c r="I257" s="1">
        <v>19</v>
      </c>
      <c r="J257" s="1">
        <v>38</v>
      </c>
      <c r="K257" s="1">
        <v>124</v>
      </c>
      <c r="L257" s="1">
        <v>75</v>
      </c>
      <c r="M257" s="1">
        <v>69</v>
      </c>
      <c r="N257" s="1">
        <v>50</v>
      </c>
      <c r="O257" s="1">
        <v>32</v>
      </c>
      <c r="P257" s="1">
        <v>19</v>
      </c>
      <c r="Q257" s="1">
        <v>31</v>
      </c>
      <c r="R257" s="1">
        <v>31</v>
      </c>
      <c r="S257" s="1">
        <v>19</v>
      </c>
      <c r="T257" s="1">
        <v>14</v>
      </c>
      <c r="U257" s="1">
        <v>23</v>
      </c>
      <c r="V257" s="1">
        <v>19</v>
      </c>
      <c r="W257" s="1">
        <v>27</v>
      </c>
      <c r="X257" s="1">
        <v>24</v>
      </c>
      <c r="Y257" s="1">
        <v>5</v>
      </c>
    </row>
    <row r="258" spans="1:25" x14ac:dyDescent="0.3">
      <c r="A258" s="2">
        <v>43326</v>
      </c>
      <c r="B258" s="1">
        <v>9</v>
      </c>
      <c r="C258" s="1">
        <v>6</v>
      </c>
      <c r="D258" s="1">
        <v>6</v>
      </c>
      <c r="E258" s="1">
        <v>3</v>
      </c>
      <c r="F258" s="1">
        <v>6</v>
      </c>
      <c r="G258" s="1">
        <v>5</v>
      </c>
      <c r="H258" s="1">
        <v>14</v>
      </c>
      <c r="I258" s="1">
        <v>13</v>
      </c>
      <c r="J258" s="1">
        <v>15</v>
      </c>
      <c r="K258" s="1">
        <v>31</v>
      </c>
      <c r="L258" s="1">
        <v>20</v>
      </c>
      <c r="M258" s="1">
        <v>19</v>
      </c>
      <c r="N258" s="1">
        <v>26</v>
      </c>
      <c r="O258" s="1">
        <v>32</v>
      </c>
      <c r="P258" s="1">
        <v>18</v>
      </c>
      <c r="Q258" s="1">
        <v>19</v>
      </c>
      <c r="R258" s="1">
        <v>39</v>
      </c>
      <c r="S258" s="1">
        <v>38</v>
      </c>
      <c r="T258" s="1">
        <v>22</v>
      </c>
      <c r="U258" s="1">
        <v>20</v>
      </c>
      <c r="V258" s="1">
        <v>15</v>
      </c>
      <c r="W258" s="1">
        <v>16</v>
      </c>
      <c r="X258" s="1">
        <v>14</v>
      </c>
      <c r="Y258" s="1">
        <v>7</v>
      </c>
    </row>
    <row r="259" spans="1:25" x14ac:dyDescent="0.3">
      <c r="A259" s="2">
        <v>43327</v>
      </c>
      <c r="B259" s="1">
        <v>7</v>
      </c>
      <c r="C259" s="1">
        <v>5</v>
      </c>
      <c r="D259" s="1">
        <v>4</v>
      </c>
      <c r="E259" s="1">
        <v>7</v>
      </c>
      <c r="F259" s="1">
        <v>3</v>
      </c>
      <c r="G259" s="1">
        <v>5</v>
      </c>
      <c r="H259" s="1">
        <v>8</v>
      </c>
      <c r="I259" s="1">
        <v>18</v>
      </c>
      <c r="J259" s="1">
        <v>25</v>
      </c>
      <c r="K259" s="1">
        <v>13</v>
      </c>
      <c r="L259" s="1">
        <v>21</v>
      </c>
      <c r="M259" s="1">
        <v>36</v>
      </c>
      <c r="N259" s="1">
        <v>39</v>
      </c>
      <c r="O259" s="1">
        <v>30</v>
      </c>
      <c r="P259" s="1">
        <v>23</v>
      </c>
      <c r="Q259" s="1">
        <v>35</v>
      </c>
      <c r="R259" s="1">
        <v>26</v>
      </c>
      <c r="S259" s="1">
        <v>29</v>
      </c>
      <c r="T259" s="1">
        <v>20</v>
      </c>
      <c r="U259" s="1">
        <v>10</v>
      </c>
      <c r="V259" s="1">
        <v>17</v>
      </c>
      <c r="W259" s="1">
        <v>13</v>
      </c>
      <c r="X259" s="1">
        <v>15</v>
      </c>
      <c r="Y259" s="1">
        <v>11</v>
      </c>
    </row>
    <row r="260" spans="1:25" x14ac:dyDescent="0.3">
      <c r="A260" s="2">
        <v>43328</v>
      </c>
      <c r="B260" s="1">
        <v>11</v>
      </c>
      <c r="C260" s="1">
        <v>6</v>
      </c>
      <c r="D260" s="1">
        <v>5</v>
      </c>
      <c r="E260" s="1">
        <v>6</v>
      </c>
      <c r="F260" s="1">
        <v>3</v>
      </c>
      <c r="G260" s="1">
        <v>0</v>
      </c>
      <c r="H260" s="1">
        <v>6</v>
      </c>
      <c r="I260" s="1">
        <v>13</v>
      </c>
      <c r="J260" s="1">
        <v>16</v>
      </c>
      <c r="K260" s="1">
        <v>14</v>
      </c>
      <c r="L260" s="1">
        <v>23</v>
      </c>
      <c r="M260" s="1">
        <v>25</v>
      </c>
      <c r="N260" s="1">
        <v>29</v>
      </c>
      <c r="O260" s="1">
        <v>20</v>
      </c>
      <c r="P260" s="1">
        <v>19</v>
      </c>
      <c r="Q260" s="1">
        <v>34</v>
      </c>
      <c r="R260" s="1">
        <v>25</v>
      </c>
      <c r="S260" s="1">
        <v>28</v>
      </c>
      <c r="T260" s="1">
        <v>24</v>
      </c>
      <c r="U260" s="1">
        <v>22</v>
      </c>
      <c r="V260" s="1">
        <v>25</v>
      </c>
      <c r="W260" s="1">
        <v>8</v>
      </c>
      <c r="X260" s="1">
        <v>13</v>
      </c>
      <c r="Y260" s="1">
        <v>7</v>
      </c>
    </row>
    <row r="261" spans="1:25" x14ac:dyDescent="0.3">
      <c r="A261" s="2">
        <v>43329</v>
      </c>
      <c r="B261" s="1">
        <v>11</v>
      </c>
      <c r="C261" s="1">
        <v>4</v>
      </c>
      <c r="D261" s="1">
        <v>7</v>
      </c>
      <c r="E261" s="1">
        <v>7</v>
      </c>
      <c r="F261" s="1">
        <v>3</v>
      </c>
      <c r="G261" s="1">
        <v>4</v>
      </c>
      <c r="H261" s="1">
        <v>3</v>
      </c>
      <c r="I261" s="1">
        <v>11</v>
      </c>
      <c r="J261" s="1">
        <v>24</v>
      </c>
      <c r="K261" s="1">
        <v>18</v>
      </c>
      <c r="L261" s="1">
        <v>21</v>
      </c>
      <c r="M261" s="1">
        <v>31</v>
      </c>
      <c r="N261" s="1">
        <v>28</v>
      </c>
      <c r="O261" s="1">
        <v>25</v>
      </c>
      <c r="P261" s="1">
        <v>25</v>
      </c>
      <c r="Q261" s="1">
        <v>21</v>
      </c>
      <c r="R261" s="1">
        <v>27</v>
      </c>
      <c r="S261" s="1">
        <v>22</v>
      </c>
      <c r="T261" s="1">
        <v>23</v>
      </c>
      <c r="U261" s="1">
        <v>27</v>
      </c>
      <c r="V261" s="1">
        <v>21</v>
      </c>
      <c r="W261" s="1">
        <v>18</v>
      </c>
      <c r="X261" s="1">
        <v>12</v>
      </c>
      <c r="Y261" s="1">
        <v>6</v>
      </c>
    </row>
    <row r="262" spans="1:25" x14ac:dyDescent="0.3">
      <c r="A262" s="2">
        <v>43330</v>
      </c>
      <c r="B262" s="1">
        <v>6</v>
      </c>
      <c r="C262" s="1">
        <v>18</v>
      </c>
      <c r="D262" s="1">
        <v>11</v>
      </c>
      <c r="E262" s="1">
        <v>4</v>
      </c>
      <c r="F262" s="1">
        <v>8</v>
      </c>
      <c r="G262" s="1">
        <v>10</v>
      </c>
      <c r="H262" s="1">
        <v>12</v>
      </c>
      <c r="I262" s="1">
        <v>11</v>
      </c>
      <c r="J262" s="1">
        <v>20</v>
      </c>
      <c r="K262" s="1">
        <v>10</v>
      </c>
      <c r="L262" s="1">
        <v>21</v>
      </c>
      <c r="M262" s="1">
        <v>21</v>
      </c>
      <c r="N262" s="1">
        <v>20</v>
      </c>
      <c r="O262" s="1">
        <v>25</v>
      </c>
      <c r="P262" s="1">
        <v>15</v>
      </c>
      <c r="Q262" s="1">
        <v>25</v>
      </c>
      <c r="R262" s="1">
        <v>29</v>
      </c>
      <c r="S262" s="1">
        <v>20</v>
      </c>
      <c r="T262" s="1">
        <v>16</v>
      </c>
      <c r="U262" s="1">
        <v>16</v>
      </c>
      <c r="V262" s="1">
        <v>10</v>
      </c>
      <c r="W262" s="1">
        <v>15</v>
      </c>
      <c r="X262" s="1">
        <v>10</v>
      </c>
      <c r="Y262" s="1">
        <v>9</v>
      </c>
    </row>
    <row r="263" spans="1:25" x14ac:dyDescent="0.3">
      <c r="A263" s="2">
        <v>43331</v>
      </c>
      <c r="B263" s="1">
        <v>7</v>
      </c>
      <c r="C263" s="1">
        <v>5</v>
      </c>
      <c r="D263" s="1">
        <v>7</v>
      </c>
      <c r="E263" s="1">
        <v>5</v>
      </c>
      <c r="F263" s="1">
        <v>4</v>
      </c>
      <c r="G263" s="1">
        <v>7</v>
      </c>
      <c r="H263" s="1">
        <v>10</v>
      </c>
      <c r="I263" s="1">
        <v>24</v>
      </c>
      <c r="J263" s="1">
        <v>5</v>
      </c>
      <c r="K263" s="1">
        <v>21</v>
      </c>
      <c r="L263" s="1">
        <v>19</v>
      </c>
      <c r="M263" s="1">
        <v>17</v>
      </c>
      <c r="N263" s="1">
        <v>24</v>
      </c>
      <c r="O263" s="1">
        <v>22</v>
      </c>
      <c r="P263" s="1">
        <v>17</v>
      </c>
      <c r="Q263" s="1">
        <v>13</v>
      </c>
      <c r="R263" s="1">
        <v>20</v>
      </c>
      <c r="S263" s="1">
        <v>27</v>
      </c>
      <c r="T263" s="1">
        <v>25</v>
      </c>
      <c r="U263" s="1">
        <v>23</v>
      </c>
      <c r="V263" s="1">
        <v>13</v>
      </c>
      <c r="W263" s="1">
        <v>9</v>
      </c>
      <c r="X263" s="1">
        <v>12</v>
      </c>
      <c r="Y263" s="1">
        <v>7</v>
      </c>
    </row>
    <row r="264" spans="1:25" x14ac:dyDescent="0.3">
      <c r="A264" s="2">
        <v>43332</v>
      </c>
      <c r="B264" s="1">
        <v>9</v>
      </c>
      <c r="C264" s="1">
        <v>11</v>
      </c>
      <c r="D264" s="1">
        <v>7</v>
      </c>
      <c r="E264" s="1">
        <v>4</v>
      </c>
      <c r="F264" s="1">
        <v>3</v>
      </c>
      <c r="G264" s="1">
        <v>8</v>
      </c>
      <c r="H264" s="1">
        <v>14</v>
      </c>
      <c r="I264" s="1">
        <v>10</v>
      </c>
      <c r="J264" s="1">
        <v>22</v>
      </c>
      <c r="K264" s="1">
        <v>21</v>
      </c>
      <c r="L264" s="1">
        <v>16</v>
      </c>
      <c r="M264" s="1">
        <v>15</v>
      </c>
      <c r="N264" s="1">
        <v>37</v>
      </c>
      <c r="O264" s="1">
        <v>20</v>
      </c>
      <c r="P264" s="1">
        <v>13</v>
      </c>
      <c r="Q264" s="1">
        <v>20</v>
      </c>
      <c r="R264" s="1">
        <v>26</v>
      </c>
      <c r="S264" s="1">
        <v>31</v>
      </c>
      <c r="T264" s="1">
        <v>31</v>
      </c>
      <c r="U264" s="1">
        <v>13</v>
      </c>
      <c r="V264" s="1">
        <v>9</v>
      </c>
      <c r="W264" s="1">
        <v>14</v>
      </c>
      <c r="X264" s="1">
        <v>17</v>
      </c>
      <c r="Y264" s="1">
        <v>14</v>
      </c>
    </row>
    <row r="265" spans="1:25" x14ac:dyDescent="0.3">
      <c r="A265" s="2">
        <v>43333</v>
      </c>
      <c r="B265" s="1">
        <v>9</v>
      </c>
      <c r="C265" s="1">
        <v>4</v>
      </c>
      <c r="D265" s="1">
        <v>2</v>
      </c>
      <c r="E265" s="1">
        <v>8</v>
      </c>
      <c r="F265" s="1">
        <v>8</v>
      </c>
      <c r="G265" s="1">
        <v>5</v>
      </c>
      <c r="H265" s="1">
        <v>11</v>
      </c>
      <c r="I265" s="1">
        <v>15</v>
      </c>
      <c r="J265" s="1">
        <v>18</v>
      </c>
      <c r="K265" s="1">
        <v>15</v>
      </c>
      <c r="L265" s="1">
        <v>25</v>
      </c>
      <c r="M265" s="1">
        <v>22</v>
      </c>
      <c r="N265" s="1">
        <v>26</v>
      </c>
      <c r="O265" s="1">
        <v>25</v>
      </c>
      <c r="P265" s="1">
        <v>20</v>
      </c>
      <c r="Q265" s="1">
        <v>18</v>
      </c>
      <c r="R265" s="1">
        <v>26</v>
      </c>
      <c r="S265" s="1">
        <v>23</v>
      </c>
      <c r="T265" s="1">
        <v>12</v>
      </c>
      <c r="U265" s="1">
        <v>13</v>
      </c>
      <c r="V265" s="1">
        <v>10</v>
      </c>
      <c r="W265" s="1">
        <v>17</v>
      </c>
      <c r="X265" s="1">
        <v>17</v>
      </c>
      <c r="Y265" s="1">
        <v>37</v>
      </c>
    </row>
    <row r="266" spans="1:25" x14ac:dyDescent="0.3">
      <c r="A266" s="2">
        <v>43334</v>
      </c>
      <c r="B266" s="1">
        <v>18</v>
      </c>
      <c r="C266" s="1">
        <v>15</v>
      </c>
      <c r="D266" s="1">
        <v>7</v>
      </c>
      <c r="E266" s="1">
        <v>11</v>
      </c>
      <c r="F266" s="1">
        <v>9</v>
      </c>
      <c r="G266" s="1">
        <v>4</v>
      </c>
      <c r="H266" s="1">
        <v>18</v>
      </c>
      <c r="I266" s="1">
        <v>22</v>
      </c>
      <c r="J266" s="1">
        <v>34</v>
      </c>
      <c r="K266" s="1">
        <v>23</v>
      </c>
      <c r="L266" s="1">
        <v>20</v>
      </c>
      <c r="M266" s="1">
        <v>22</v>
      </c>
      <c r="N266" s="1">
        <v>21</v>
      </c>
      <c r="O266" s="1">
        <v>21</v>
      </c>
      <c r="P266" s="1">
        <v>22</v>
      </c>
      <c r="Q266" s="1">
        <v>17</v>
      </c>
      <c r="R266" s="1">
        <v>29</v>
      </c>
      <c r="S266" s="1">
        <v>40</v>
      </c>
      <c r="T266" s="1">
        <v>25</v>
      </c>
      <c r="U266" s="1">
        <v>11</v>
      </c>
      <c r="V266" s="1">
        <v>12</v>
      </c>
      <c r="W266" s="1">
        <v>10</v>
      </c>
      <c r="X266" s="1">
        <v>6</v>
      </c>
      <c r="Y266" s="1">
        <v>6</v>
      </c>
    </row>
    <row r="267" spans="1:25" x14ac:dyDescent="0.3">
      <c r="A267" s="2">
        <v>43335</v>
      </c>
      <c r="B267" s="1">
        <v>10</v>
      </c>
      <c r="C267" s="1">
        <v>3</v>
      </c>
      <c r="D267" s="1">
        <v>1</v>
      </c>
      <c r="E267" s="1">
        <v>4</v>
      </c>
      <c r="F267" s="1">
        <v>2</v>
      </c>
      <c r="G267" s="1">
        <v>6</v>
      </c>
      <c r="H267" s="1">
        <v>12</v>
      </c>
      <c r="I267" s="1">
        <v>19</v>
      </c>
      <c r="J267" s="1">
        <v>18</v>
      </c>
      <c r="K267" s="1">
        <v>23</v>
      </c>
      <c r="L267" s="1">
        <v>33</v>
      </c>
      <c r="M267" s="1">
        <v>22</v>
      </c>
      <c r="N267" s="1">
        <v>18</v>
      </c>
      <c r="O267" s="1">
        <v>32</v>
      </c>
      <c r="P267" s="1">
        <v>30</v>
      </c>
      <c r="Q267" s="1">
        <v>23</v>
      </c>
      <c r="R267" s="1">
        <v>35</v>
      </c>
      <c r="S267" s="1">
        <v>39</v>
      </c>
      <c r="T267" s="1">
        <v>16</v>
      </c>
      <c r="U267" s="1">
        <v>14</v>
      </c>
      <c r="V267" s="1">
        <v>6</v>
      </c>
      <c r="W267" s="1">
        <v>14</v>
      </c>
      <c r="X267" s="1">
        <v>15</v>
      </c>
      <c r="Y267" s="1">
        <v>10</v>
      </c>
    </row>
    <row r="268" spans="1:25" x14ac:dyDescent="0.3">
      <c r="A268" s="2">
        <v>43336</v>
      </c>
      <c r="B268" s="1">
        <v>6</v>
      </c>
      <c r="C268" s="1">
        <v>3</v>
      </c>
      <c r="D268" s="1">
        <v>8</v>
      </c>
      <c r="E268" s="1">
        <v>3</v>
      </c>
      <c r="F268" s="1">
        <v>7</v>
      </c>
      <c r="G268" s="1">
        <v>10</v>
      </c>
      <c r="H268" s="1">
        <v>8</v>
      </c>
      <c r="I268" s="1">
        <v>15</v>
      </c>
      <c r="J268" s="1">
        <v>31</v>
      </c>
      <c r="K268" s="1">
        <v>16</v>
      </c>
      <c r="L268" s="1">
        <v>22</v>
      </c>
      <c r="M268" s="1">
        <v>20</v>
      </c>
      <c r="N268" s="1">
        <v>18</v>
      </c>
      <c r="O268" s="1">
        <v>26</v>
      </c>
      <c r="P268" s="1">
        <v>26</v>
      </c>
      <c r="Q268" s="1">
        <v>26</v>
      </c>
      <c r="R268" s="1">
        <v>21</v>
      </c>
      <c r="S268" s="1">
        <v>12</v>
      </c>
      <c r="T268" s="1">
        <v>28</v>
      </c>
      <c r="U268" s="1">
        <v>17</v>
      </c>
      <c r="V268" s="1">
        <v>11</v>
      </c>
      <c r="W268" s="1">
        <v>13</v>
      </c>
      <c r="X268" s="1">
        <v>11</v>
      </c>
      <c r="Y268" s="1">
        <v>8</v>
      </c>
    </row>
    <row r="269" spans="1:25" x14ac:dyDescent="0.3">
      <c r="A269" s="2">
        <v>43337</v>
      </c>
      <c r="B269" s="1">
        <v>15</v>
      </c>
      <c r="C269" s="1">
        <v>11</v>
      </c>
      <c r="D269" s="1">
        <v>7</v>
      </c>
      <c r="E269" s="1">
        <v>5</v>
      </c>
      <c r="F269" s="1">
        <v>6</v>
      </c>
      <c r="G269" s="1">
        <v>5</v>
      </c>
      <c r="H269" s="1">
        <v>5</v>
      </c>
      <c r="I269" s="1">
        <v>6</v>
      </c>
      <c r="J269" s="1">
        <v>15</v>
      </c>
      <c r="K269" s="1">
        <v>13</v>
      </c>
      <c r="L269" s="1">
        <v>15</v>
      </c>
      <c r="M269" s="1">
        <v>23</v>
      </c>
      <c r="N269" s="1">
        <v>23</v>
      </c>
      <c r="O269" s="1">
        <v>13</v>
      </c>
      <c r="P269" s="1">
        <v>20</v>
      </c>
      <c r="Q269" s="1">
        <v>22</v>
      </c>
      <c r="R269" s="1">
        <v>22</v>
      </c>
      <c r="S269" s="1">
        <v>16</v>
      </c>
      <c r="T269" s="1">
        <v>18</v>
      </c>
      <c r="U269" s="1">
        <v>19</v>
      </c>
      <c r="V269" s="1">
        <v>6</v>
      </c>
      <c r="W269" s="1">
        <v>13</v>
      </c>
      <c r="X269" s="1">
        <v>8</v>
      </c>
      <c r="Y269" s="1">
        <v>12</v>
      </c>
    </row>
    <row r="270" spans="1:25" x14ac:dyDescent="0.3">
      <c r="A270" s="2">
        <v>43338</v>
      </c>
      <c r="B270" s="1">
        <v>7</v>
      </c>
      <c r="C270" s="1">
        <v>5</v>
      </c>
      <c r="D270" s="1">
        <v>2</v>
      </c>
      <c r="E270" s="1">
        <v>5</v>
      </c>
      <c r="F270" s="1">
        <v>7</v>
      </c>
      <c r="G270" s="1">
        <v>4</v>
      </c>
      <c r="H270" s="1">
        <v>6</v>
      </c>
      <c r="I270" s="1">
        <v>7</v>
      </c>
      <c r="J270" s="1">
        <v>16</v>
      </c>
      <c r="K270" s="1">
        <v>13</v>
      </c>
      <c r="L270" s="1">
        <v>14</v>
      </c>
      <c r="M270" s="1">
        <v>20</v>
      </c>
      <c r="N270" s="1">
        <v>19</v>
      </c>
      <c r="O270" s="1">
        <v>24</v>
      </c>
      <c r="P270" s="1">
        <v>16</v>
      </c>
      <c r="Q270" s="1">
        <v>14</v>
      </c>
      <c r="R270" s="1">
        <v>21</v>
      </c>
      <c r="S270" s="1">
        <v>14</v>
      </c>
      <c r="T270" s="1">
        <v>28</v>
      </c>
      <c r="U270" s="1">
        <v>11</v>
      </c>
      <c r="V270" s="1">
        <v>21</v>
      </c>
      <c r="W270" s="1">
        <v>7</v>
      </c>
      <c r="X270" s="1">
        <v>15</v>
      </c>
      <c r="Y270" s="1">
        <v>11</v>
      </c>
    </row>
    <row r="271" spans="1:25" x14ac:dyDescent="0.3">
      <c r="A271" s="2">
        <v>43339</v>
      </c>
      <c r="B271" s="1">
        <v>17</v>
      </c>
      <c r="C271" s="1">
        <v>3</v>
      </c>
      <c r="D271" s="1">
        <v>5</v>
      </c>
      <c r="E271" s="1">
        <v>2</v>
      </c>
      <c r="F271" s="1">
        <v>2</v>
      </c>
      <c r="G271" s="1">
        <v>14</v>
      </c>
      <c r="H271" s="1">
        <v>12</v>
      </c>
      <c r="I271" s="1">
        <v>19</v>
      </c>
      <c r="J271" s="1">
        <v>20</v>
      </c>
      <c r="K271" s="1">
        <v>25</v>
      </c>
      <c r="L271" s="1">
        <v>21</v>
      </c>
      <c r="M271" s="1">
        <v>25</v>
      </c>
      <c r="N271" s="1">
        <v>32</v>
      </c>
      <c r="O271" s="1">
        <v>23</v>
      </c>
      <c r="P271" s="1">
        <v>25</v>
      </c>
      <c r="Q271" s="1">
        <v>28</v>
      </c>
      <c r="R271" s="1">
        <v>32</v>
      </c>
      <c r="S271" s="1">
        <v>32</v>
      </c>
      <c r="T271" s="1">
        <v>16</v>
      </c>
      <c r="U271" s="1">
        <v>14</v>
      </c>
      <c r="V271" s="1">
        <v>20</v>
      </c>
      <c r="W271" s="1">
        <v>15</v>
      </c>
      <c r="X271" s="1">
        <v>5</v>
      </c>
      <c r="Y271" s="1">
        <v>11</v>
      </c>
    </row>
    <row r="272" spans="1:25" x14ac:dyDescent="0.3">
      <c r="A272" s="2">
        <v>43340</v>
      </c>
      <c r="B272" s="1">
        <v>7</v>
      </c>
      <c r="C272" s="1">
        <v>8</v>
      </c>
      <c r="D272" s="1">
        <v>4</v>
      </c>
      <c r="E272" s="1">
        <v>2</v>
      </c>
      <c r="F272" s="1">
        <v>6</v>
      </c>
      <c r="G272" s="1">
        <v>9</v>
      </c>
      <c r="H272" s="1">
        <v>11</v>
      </c>
      <c r="I272" s="1">
        <v>25</v>
      </c>
      <c r="J272" s="1">
        <v>20</v>
      </c>
      <c r="K272" s="1">
        <v>20</v>
      </c>
      <c r="L272" s="1">
        <v>31</v>
      </c>
      <c r="M272" s="1">
        <v>26</v>
      </c>
      <c r="N272" s="1">
        <v>20</v>
      </c>
      <c r="O272" s="1">
        <v>23</v>
      </c>
      <c r="P272" s="1">
        <v>34</v>
      </c>
      <c r="Q272" s="1">
        <v>39</v>
      </c>
      <c r="R272" s="1">
        <v>30</v>
      </c>
      <c r="S272" s="1">
        <v>25</v>
      </c>
      <c r="T272" s="1">
        <v>7</v>
      </c>
      <c r="U272" s="1">
        <v>14</v>
      </c>
      <c r="V272" s="1">
        <v>15</v>
      </c>
      <c r="W272" s="1">
        <v>7</v>
      </c>
      <c r="X272" s="1">
        <v>13</v>
      </c>
      <c r="Y272" s="1">
        <v>12</v>
      </c>
    </row>
    <row r="273" spans="1:25" x14ac:dyDescent="0.3">
      <c r="A273" s="2">
        <v>43341</v>
      </c>
      <c r="B273" s="1">
        <v>7</v>
      </c>
      <c r="C273" s="1">
        <v>5</v>
      </c>
      <c r="D273" s="1">
        <v>9</v>
      </c>
      <c r="E273" s="1">
        <v>4</v>
      </c>
      <c r="F273" s="1">
        <v>2</v>
      </c>
      <c r="G273" s="1">
        <v>4</v>
      </c>
      <c r="H273" s="1">
        <v>12</v>
      </c>
      <c r="I273" s="1">
        <v>20</v>
      </c>
      <c r="J273" s="1">
        <v>38</v>
      </c>
      <c r="K273" s="1">
        <v>17</v>
      </c>
      <c r="L273" s="1">
        <v>24</v>
      </c>
      <c r="M273" s="1">
        <v>30</v>
      </c>
      <c r="N273" s="1">
        <v>16</v>
      </c>
      <c r="O273" s="1">
        <v>36</v>
      </c>
      <c r="P273" s="1">
        <v>25</v>
      </c>
      <c r="Q273" s="1">
        <v>23</v>
      </c>
      <c r="R273" s="1">
        <v>30</v>
      </c>
      <c r="S273" s="1">
        <v>20</v>
      </c>
      <c r="T273" s="1">
        <v>29</v>
      </c>
      <c r="U273" s="1">
        <v>18</v>
      </c>
      <c r="V273" s="1">
        <v>25</v>
      </c>
      <c r="W273" s="1">
        <v>20</v>
      </c>
      <c r="X273" s="1">
        <v>12</v>
      </c>
      <c r="Y273" s="1">
        <v>2</v>
      </c>
    </row>
    <row r="274" spans="1:25" x14ac:dyDescent="0.3">
      <c r="A274" s="2">
        <v>43342</v>
      </c>
      <c r="B274" s="1">
        <v>7</v>
      </c>
      <c r="C274" s="1">
        <v>7</v>
      </c>
      <c r="D274" s="1">
        <v>3</v>
      </c>
      <c r="E274" s="1">
        <v>3</v>
      </c>
      <c r="F274" s="1">
        <v>5</v>
      </c>
      <c r="G274" s="1">
        <v>6</v>
      </c>
      <c r="H274" s="1">
        <v>11</v>
      </c>
      <c r="I274" s="1">
        <v>24</v>
      </c>
      <c r="J274" s="1">
        <v>28</v>
      </c>
      <c r="K274" s="1">
        <v>23</v>
      </c>
      <c r="L274" s="1">
        <v>12</v>
      </c>
      <c r="M274" s="1">
        <v>1</v>
      </c>
      <c r="N274" s="1">
        <v>0</v>
      </c>
      <c r="O274" s="1">
        <v>0</v>
      </c>
      <c r="P274" s="1">
        <v>12</v>
      </c>
      <c r="Q274" s="1">
        <v>30</v>
      </c>
      <c r="R274" s="1">
        <v>18</v>
      </c>
      <c r="S274" s="1">
        <v>31</v>
      </c>
      <c r="T274" s="1">
        <v>22</v>
      </c>
      <c r="U274" s="1">
        <v>14</v>
      </c>
      <c r="V274" s="1">
        <v>21</v>
      </c>
      <c r="W274" s="1">
        <v>11</v>
      </c>
      <c r="X274" s="1">
        <v>9</v>
      </c>
      <c r="Y274" s="1">
        <v>12</v>
      </c>
    </row>
    <row r="275" spans="1:25" x14ac:dyDescent="0.3">
      <c r="A275" s="2">
        <v>43343</v>
      </c>
      <c r="B275" s="1">
        <v>4</v>
      </c>
      <c r="C275" s="1">
        <v>2</v>
      </c>
      <c r="D275" s="1">
        <v>4</v>
      </c>
      <c r="E275" s="1">
        <v>8</v>
      </c>
      <c r="F275" s="1">
        <v>8</v>
      </c>
      <c r="G275" s="1">
        <v>4</v>
      </c>
      <c r="H275" s="1">
        <v>7</v>
      </c>
      <c r="I275" s="1">
        <v>17</v>
      </c>
      <c r="J275" s="1">
        <v>19</v>
      </c>
      <c r="K275" s="1">
        <v>28</v>
      </c>
      <c r="L275" s="1">
        <v>25</v>
      </c>
      <c r="M275" s="1">
        <v>32</v>
      </c>
      <c r="N275" s="1">
        <v>23</v>
      </c>
      <c r="O275" s="1">
        <v>31</v>
      </c>
      <c r="P275" s="1">
        <v>27</v>
      </c>
      <c r="Q275" s="1">
        <v>34</v>
      </c>
      <c r="R275" s="1">
        <v>34</v>
      </c>
      <c r="S275" s="1">
        <v>47</v>
      </c>
      <c r="T275" s="1">
        <v>15</v>
      </c>
      <c r="U275" s="1">
        <v>23</v>
      </c>
      <c r="V275" s="1">
        <v>18</v>
      </c>
      <c r="W275" s="1">
        <v>9</v>
      </c>
      <c r="X275" s="1">
        <v>1</v>
      </c>
      <c r="Y275" s="1">
        <v>13</v>
      </c>
    </row>
    <row r="276" spans="1:25" x14ac:dyDescent="0.3">
      <c r="A276" s="2">
        <v>43344</v>
      </c>
      <c r="B276" s="1">
        <v>6</v>
      </c>
      <c r="C276" s="1">
        <v>13</v>
      </c>
      <c r="D276" s="1">
        <v>4</v>
      </c>
      <c r="E276" s="1">
        <v>8</v>
      </c>
      <c r="F276" s="1">
        <v>6</v>
      </c>
      <c r="G276" s="1">
        <v>0</v>
      </c>
      <c r="H276" s="1">
        <v>10</v>
      </c>
      <c r="I276" s="1">
        <v>11</v>
      </c>
      <c r="J276" s="1">
        <v>19</v>
      </c>
      <c r="K276" s="1">
        <v>19</v>
      </c>
      <c r="L276" s="1">
        <v>21</v>
      </c>
      <c r="M276" s="1">
        <v>23</v>
      </c>
      <c r="N276" s="1">
        <v>18</v>
      </c>
      <c r="O276" s="1">
        <v>24</v>
      </c>
      <c r="P276" s="1">
        <v>24</v>
      </c>
      <c r="Q276" s="1">
        <v>19</v>
      </c>
      <c r="R276" s="1">
        <v>19</v>
      </c>
      <c r="S276" s="1">
        <v>17</v>
      </c>
      <c r="T276" s="1">
        <v>23</v>
      </c>
      <c r="U276" s="1">
        <v>26</v>
      </c>
      <c r="V276" s="1">
        <v>17</v>
      </c>
      <c r="W276" s="1">
        <v>21</v>
      </c>
      <c r="X276" s="1">
        <v>10</v>
      </c>
      <c r="Y276" s="1">
        <v>16</v>
      </c>
    </row>
    <row r="277" spans="1:25" x14ac:dyDescent="0.3">
      <c r="A277" s="2">
        <v>43345</v>
      </c>
      <c r="B277" s="1">
        <v>18</v>
      </c>
      <c r="C277" s="1">
        <v>8</v>
      </c>
      <c r="D277" s="1">
        <v>4</v>
      </c>
      <c r="E277" s="1">
        <v>9</v>
      </c>
      <c r="F277" s="1">
        <v>4</v>
      </c>
      <c r="G277" s="1">
        <v>2</v>
      </c>
      <c r="H277" s="1">
        <v>4</v>
      </c>
      <c r="I277" s="1">
        <v>6</v>
      </c>
      <c r="J277" s="1">
        <v>11</v>
      </c>
      <c r="K277" s="1">
        <v>14</v>
      </c>
      <c r="L277" s="1">
        <v>8</v>
      </c>
      <c r="M277" s="1">
        <v>19</v>
      </c>
      <c r="N277" s="1">
        <v>16</v>
      </c>
      <c r="O277" s="1">
        <v>18</v>
      </c>
      <c r="P277" s="1">
        <v>19</v>
      </c>
      <c r="Q277" s="1">
        <v>12</v>
      </c>
      <c r="R277" s="1">
        <v>10</v>
      </c>
      <c r="S277" s="1">
        <v>19</v>
      </c>
      <c r="T277" s="1">
        <v>14</v>
      </c>
      <c r="U277" s="1">
        <v>19</v>
      </c>
      <c r="V277" s="1">
        <v>12</v>
      </c>
      <c r="W277" s="1">
        <v>12</v>
      </c>
      <c r="X277" s="1">
        <v>11</v>
      </c>
      <c r="Y277" s="1">
        <v>13</v>
      </c>
    </row>
    <row r="278" spans="1:25" x14ac:dyDescent="0.3">
      <c r="A278" s="2">
        <v>43346</v>
      </c>
      <c r="B278" s="1">
        <v>6</v>
      </c>
      <c r="C278" s="1">
        <v>10</v>
      </c>
      <c r="D278" s="1">
        <v>6</v>
      </c>
      <c r="E278" s="1">
        <v>2</v>
      </c>
      <c r="F278" s="1">
        <v>3</v>
      </c>
      <c r="G278" s="1">
        <v>8</v>
      </c>
      <c r="H278" s="1">
        <v>16</v>
      </c>
      <c r="I278" s="1">
        <v>9</v>
      </c>
      <c r="J278" s="1">
        <v>7</v>
      </c>
      <c r="K278" s="1">
        <v>16</v>
      </c>
      <c r="L278" s="1">
        <v>16</v>
      </c>
      <c r="M278" s="1">
        <v>23</v>
      </c>
      <c r="N278" s="1">
        <v>16</v>
      </c>
      <c r="O278" s="1">
        <v>17</v>
      </c>
      <c r="P278" s="1">
        <v>17</v>
      </c>
      <c r="Q278" s="1">
        <v>31</v>
      </c>
      <c r="R278" s="1">
        <v>12</v>
      </c>
      <c r="S278" s="1">
        <v>16</v>
      </c>
      <c r="T278" s="1">
        <v>18</v>
      </c>
      <c r="U278" s="1">
        <v>16</v>
      </c>
      <c r="V278" s="1">
        <v>24</v>
      </c>
      <c r="W278" s="1">
        <v>15</v>
      </c>
      <c r="X278" s="1">
        <v>16</v>
      </c>
      <c r="Y278" s="1">
        <v>5</v>
      </c>
    </row>
    <row r="279" spans="1:25" x14ac:dyDescent="0.3">
      <c r="A279" s="2">
        <v>43347</v>
      </c>
      <c r="B279" s="1">
        <v>11</v>
      </c>
      <c r="C279" s="1">
        <v>9</v>
      </c>
      <c r="D279" s="1">
        <v>5</v>
      </c>
      <c r="E279" s="1">
        <v>7</v>
      </c>
      <c r="F279" s="1">
        <v>5</v>
      </c>
      <c r="G279" s="1">
        <v>5</v>
      </c>
      <c r="H279" s="1">
        <v>16</v>
      </c>
      <c r="I279" s="1">
        <v>15</v>
      </c>
      <c r="J279" s="1">
        <v>32</v>
      </c>
      <c r="K279" s="1">
        <v>36</v>
      </c>
      <c r="L279" s="1">
        <v>14</v>
      </c>
      <c r="M279" s="1">
        <v>39</v>
      </c>
      <c r="N279" s="1">
        <v>30</v>
      </c>
      <c r="O279" s="1">
        <v>26</v>
      </c>
      <c r="P279" s="1">
        <v>29</v>
      </c>
      <c r="Q279" s="1">
        <v>22</v>
      </c>
      <c r="R279" s="1">
        <v>34</v>
      </c>
      <c r="S279" s="1">
        <v>29</v>
      </c>
      <c r="T279" s="1">
        <v>22</v>
      </c>
      <c r="U279" s="1">
        <v>28</v>
      </c>
      <c r="V279" s="1">
        <v>27</v>
      </c>
      <c r="W279" s="1">
        <v>20</v>
      </c>
      <c r="X279" s="1">
        <v>6</v>
      </c>
      <c r="Y279" s="1">
        <v>8</v>
      </c>
    </row>
    <row r="280" spans="1:25" x14ac:dyDescent="0.3">
      <c r="A280" s="2">
        <v>43348</v>
      </c>
      <c r="B280" s="1">
        <v>3</v>
      </c>
      <c r="C280" s="1">
        <v>11</v>
      </c>
      <c r="D280" s="1">
        <v>3</v>
      </c>
      <c r="E280" s="1">
        <v>4</v>
      </c>
      <c r="F280" s="1">
        <v>4</v>
      </c>
      <c r="G280" s="1">
        <v>8</v>
      </c>
      <c r="H280" s="1">
        <v>11</v>
      </c>
      <c r="I280" s="1">
        <v>29</v>
      </c>
      <c r="J280" s="1">
        <v>23</v>
      </c>
      <c r="K280" s="1">
        <v>35</v>
      </c>
      <c r="L280" s="1">
        <v>27</v>
      </c>
      <c r="M280" s="1">
        <v>18</v>
      </c>
      <c r="N280" s="1">
        <v>24</v>
      </c>
      <c r="O280" s="1">
        <v>29</v>
      </c>
      <c r="P280" s="1">
        <v>25</v>
      </c>
      <c r="Q280" s="1">
        <v>25</v>
      </c>
      <c r="R280" s="1">
        <v>39</v>
      </c>
      <c r="S280" s="1">
        <v>31</v>
      </c>
      <c r="T280" s="1">
        <v>25</v>
      </c>
      <c r="U280" s="1">
        <v>23</v>
      </c>
      <c r="V280" s="1">
        <v>17</v>
      </c>
      <c r="W280" s="1">
        <v>17</v>
      </c>
      <c r="X280" s="1">
        <v>14</v>
      </c>
      <c r="Y280" s="1">
        <v>8</v>
      </c>
    </row>
    <row r="281" spans="1:25" x14ac:dyDescent="0.3">
      <c r="A281" s="2">
        <v>43349</v>
      </c>
      <c r="B281" s="1">
        <v>6</v>
      </c>
      <c r="C281" s="1">
        <v>5</v>
      </c>
      <c r="D281" s="1">
        <v>5</v>
      </c>
      <c r="E281" s="1">
        <v>3</v>
      </c>
      <c r="F281" s="1">
        <v>1</v>
      </c>
      <c r="G281" s="1">
        <v>6</v>
      </c>
      <c r="H281" s="1">
        <v>5</v>
      </c>
      <c r="I281" s="1">
        <v>20</v>
      </c>
      <c r="J281" s="1">
        <v>24</v>
      </c>
      <c r="K281" s="1">
        <v>23</v>
      </c>
      <c r="L281" s="1">
        <v>14</v>
      </c>
      <c r="M281" s="1">
        <v>27</v>
      </c>
      <c r="N281" s="1">
        <v>21</v>
      </c>
      <c r="O281" s="1">
        <v>40</v>
      </c>
      <c r="P281" s="1">
        <v>30</v>
      </c>
      <c r="Q281" s="1">
        <v>27</v>
      </c>
      <c r="R281" s="1">
        <v>23</v>
      </c>
      <c r="S281" s="1">
        <v>36</v>
      </c>
      <c r="T281" s="1">
        <v>25</v>
      </c>
      <c r="U281" s="1">
        <v>24</v>
      </c>
      <c r="V281" s="1">
        <v>15</v>
      </c>
      <c r="W281" s="1">
        <v>10</v>
      </c>
      <c r="X281" s="1">
        <v>14</v>
      </c>
      <c r="Y281" s="1">
        <v>8</v>
      </c>
    </row>
    <row r="282" spans="1:25" x14ac:dyDescent="0.3">
      <c r="A282" s="2">
        <v>43350</v>
      </c>
      <c r="B282" s="1">
        <v>12</v>
      </c>
      <c r="C282" s="1">
        <v>6</v>
      </c>
      <c r="D282" s="1">
        <v>7</v>
      </c>
      <c r="E282" s="1">
        <v>5</v>
      </c>
      <c r="F282" s="1">
        <v>6</v>
      </c>
      <c r="G282" s="1">
        <v>8</v>
      </c>
      <c r="H282" s="1">
        <v>18</v>
      </c>
      <c r="I282" s="1">
        <v>19</v>
      </c>
      <c r="J282" s="1">
        <v>23</v>
      </c>
      <c r="K282" s="1">
        <v>25</v>
      </c>
      <c r="L282" s="1">
        <v>18</v>
      </c>
      <c r="M282" s="1">
        <v>19</v>
      </c>
      <c r="N282" s="1">
        <v>27</v>
      </c>
      <c r="O282" s="1">
        <v>28</v>
      </c>
      <c r="P282" s="1">
        <v>30</v>
      </c>
      <c r="Q282" s="1">
        <v>37</v>
      </c>
      <c r="R282" s="1">
        <v>27</v>
      </c>
      <c r="S282" s="1">
        <v>30</v>
      </c>
      <c r="T282" s="1">
        <v>37</v>
      </c>
      <c r="U282" s="1">
        <v>26</v>
      </c>
      <c r="V282" s="1">
        <v>26</v>
      </c>
      <c r="W282" s="1">
        <v>26</v>
      </c>
      <c r="X282" s="1">
        <v>14</v>
      </c>
      <c r="Y282" s="1">
        <v>8</v>
      </c>
    </row>
    <row r="283" spans="1:25" x14ac:dyDescent="0.3">
      <c r="A283" s="2">
        <v>43351</v>
      </c>
      <c r="B283" s="1">
        <v>8</v>
      </c>
      <c r="C283" s="1">
        <v>8</v>
      </c>
      <c r="D283" s="1">
        <v>6</v>
      </c>
      <c r="E283" s="1">
        <v>11</v>
      </c>
      <c r="F283" s="1">
        <v>9</v>
      </c>
      <c r="G283" s="1">
        <v>14</v>
      </c>
      <c r="H283" s="1">
        <v>12</v>
      </c>
      <c r="I283" s="1">
        <v>16</v>
      </c>
      <c r="J283" s="1">
        <v>25</v>
      </c>
      <c r="K283" s="1">
        <v>19</v>
      </c>
      <c r="L283" s="1">
        <v>25</v>
      </c>
      <c r="M283" s="1">
        <v>26</v>
      </c>
      <c r="N283" s="1">
        <v>20</v>
      </c>
      <c r="O283" s="1">
        <v>12</v>
      </c>
      <c r="P283" s="1">
        <v>23</v>
      </c>
      <c r="Q283" s="1">
        <v>22</v>
      </c>
      <c r="R283" s="1">
        <v>14</v>
      </c>
      <c r="S283" s="1">
        <v>16</v>
      </c>
      <c r="T283" s="1">
        <v>16</v>
      </c>
      <c r="U283" s="1">
        <v>27</v>
      </c>
      <c r="V283" s="1">
        <v>20</v>
      </c>
      <c r="W283" s="1">
        <v>13</v>
      </c>
      <c r="X283" s="1">
        <v>13</v>
      </c>
      <c r="Y283" s="1">
        <v>11</v>
      </c>
    </row>
    <row r="284" spans="1:25" x14ac:dyDescent="0.3">
      <c r="A284" s="2">
        <v>43352</v>
      </c>
      <c r="B284" s="1">
        <v>10</v>
      </c>
      <c r="C284" s="1">
        <v>6</v>
      </c>
      <c r="D284" s="1">
        <v>14</v>
      </c>
      <c r="E284" s="1">
        <v>4</v>
      </c>
      <c r="F284" s="1">
        <v>4</v>
      </c>
      <c r="G284" s="1">
        <v>4</v>
      </c>
      <c r="H284" s="1">
        <v>6</v>
      </c>
      <c r="I284" s="1">
        <v>16</v>
      </c>
      <c r="J284" s="1">
        <v>17</v>
      </c>
      <c r="K284" s="1">
        <v>15</v>
      </c>
      <c r="L284" s="1">
        <v>25</v>
      </c>
      <c r="M284" s="1">
        <v>19</v>
      </c>
      <c r="N284" s="1">
        <v>29</v>
      </c>
      <c r="O284" s="1">
        <v>19</v>
      </c>
      <c r="P284" s="1">
        <v>32</v>
      </c>
      <c r="Q284" s="1">
        <v>32</v>
      </c>
      <c r="R284" s="1">
        <v>24</v>
      </c>
      <c r="S284" s="1">
        <v>19</v>
      </c>
      <c r="T284" s="1">
        <v>22</v>
      </c>
      <c r="U284" s="1">
        <v>24</v>
      </c>
      <c r="V284" s="1">
        <v>24</v>
      </c>
      <c r="W284" s="1">
        <v>13</v>
      </c>
      <c r="X284" s="1">
        <v>9</v>
      </c>
      <c r="Y284" s="1">
        <v>6</v>
      </c>
    </row>
    <row r="285" spans="1:25" x14ac:dyDescent="0.3">
      <c r="A285" s="2">
        <v>43353</v>
      </c>
      <c r="B285" s="1">
        <v>10</v>
      </c>
      <c r="C285" s="1">
        <v>16</v>
      </c>
      <c r="D285" s="1">
        <v>7</v>
      </c>
      <c r="E285" s="1">
        <v>5</v>
      </c>
      <c r="F285" s="1">
        <v>6</v>
      </c>
      <c r="G285" s="1">
        <v>10</v>
      </c>
      <c r="H285" s="1">
        <v>12</v>
      </c>
      <c r="I285" s="1">
        <v>20</v>
      </c>
      <c r="J285" s="1">
        <v>30</v>
      </c>
      <c r="K285" s="1">
        <v>29</v>
      </c>
      <c r="L285" s="1">
        <v>20</v>
      </c>
      <c r="M285" s="1">
        <v>23</v>
      </c>
      <c r="N285" s="1">
        <v>24</v>
      </c>
      <c r="O285" s="1">
        <v>29</v>
      </c>
      <c r="P285" s="1">
        <v>25</v>
      </c>
      <c r="Q285" s="1">
        <v>36</v>
      </c>
      <c r="R285" s="1">
        <v>35</v>
      </c>
      <c r="S285" s="1">
        <v>34</v>
      </c>
      <c r="T285" s="1">
        <v>30</v>
      </c>
      <c r="U285" s="1">
        <v>27</v>
      </c>
      <c r="V285" s="1">
        <v>10</v>
      </c>
      <c r="W285" s="1">
        <v>14</v>
      </c>
      <c r="X285" s="1">
        <v>13</v>
      </c>
      <c r="Y285" s="1">
        <v>5</v>
      </c>
    </row>
    <row r="286" spans="1:25" x14ac:dyDescent="0.3">
      <c r="A286" s="2">
        <v>43354</v>
      </c>
      <c r="B286" s="1">
        <v>6</v>
      </c>
      <c r="C286" s="1">
        <v>6</v>
      </c>
      <c r="D286" s="1">
        <v>4</v>
      </c>
      <c r="E286" s="1">
        <v>3</v>
      </c>
      <c r="F286" s="1">
        <v>5</v>
      </c>
      <c r="G286" s="1">
        <v>5</v>
      </c>
      <c r="H286" s="1">
        <v>16</v>
      </c>
      <c r="I286" s="1">
        <v>16</v>
      </c>
      <c r="J286" s="1">
        <v>36</v>
      </c>
      <c r="K286" s="1">
        <v>21</v>
      </c>
      <c r="L286" s="1">
        <v>13</v>
      </c>
      <c r="M286" s="1">
        <v>17</v>
      </c>
      <c r="N286" s="1">
        <v>23</v>
      </c>
      <c r="O286" s="1">
        <v>22</v>
      </c>
      <c r="P286" s="1">
        <v>25</v>
      </c>
      <c r="Q286" s="1">
        <v>17</v>
      </c>
      <c r="R286" s="1">
        <v>26</v>
      </c>
      <c r="S286" s="1">
        <v>28</v>
      </c>
      <c r="T286" s="1">
        <v>29</v>
      </c>
      <c r="U286" s="1">
        <v>22</v>
      </c>
      <c r="V286" s="1">
        <v>16</v>
      </c>
      <c r="W286" s="1">
        <v>17</v>
      </c>
      <c r="X286" s="1">
        <v>7</v>
      </c>
      <c r="Y286" s="1">
        <v>7</v>
      </c>
    </row>
    <row r="287" spans="1:25" x14ac:dyDescent="0.3">
      <c r="A287" s="2">
        <v>43355</v>
      </c>
      <c r="B287" s="1">
        <v>12</v>
      </c>
      <c r="C287" s="1">
        <v>3</v>
      </c>
      <c r="D287" s="1">
        <v>8</v>
      </c>
      <c r="E287" s="1">
        <v>5</v>
      </c>
      <c r="F287" s="1">
        <v>1</v>
      </c>
      <c r="G287" s="1">
        <v>10</v>
      </c>
      <c r="H287" s="1">
        <v>15</v>
      </c>
      <c r="I287" s="1">
        <v>39</v>
      </c>
      <c r="J287" s="1">
        <v>25</v>
      </c>
      <c r="K287" s="1">
        <v>27</v>
      </c>
      <c r="L287" s="1">
        <v>25</v>
      </c>
      <c r="M287" s="1">
        <v>32</v>
      </c>
      <c r="N287" s="1">
        <v>24</v>
      </c>
      <c r="O287" s="1">
        <v>25</v>
      </c>
      <c r="P287" s="1">
        <v>26</v>
      </c>
      <c r="Q287" s="1">
        <v>29</v>
      </c>
      <c r="R287" s="1">
        <v>37</v>
      </c>
      <c r="S287" s="1">
        <v>45</v>
      </c>
      <c r="T287" s="1">
        <v>40</v>
      </c>
      <c r="U287" s="1">
        <v>17</v>
      </c>
      <c r="V287" s="1">
        <v>16</v>
      </c>
      <c r="W287" s="1">
        <v>16</v>
      </c>
      <c r="X287" s="1">
        <v>17</v>
      </c>
      <c r="Y287" s="1">
        <v>11</v>
      </c>
    </row>
    <row r="288" spans="1:25" x14ac:dyDescent="0.3">
      <c r="A288" s="2">
        <v>43356</v>
      </c>
      <c r="B288" s="1">
        <v>5</v>
      </c>
      <c r="C288" s="1">
        <v>4</v>
      </c>
      <c r="D288" s="1">
        <v>4</v>
      </c>
      <c r="E288" s="1">
        <v>3</v>
      </c>
      <c r="F288" s="1">
        <v>8</v>
      </c>
      <c r="G288" s="1">
        <v>7</v>
      </c>
      <c r="H288" s="1">
        <v>13</v>
      </c>
      <c r="I288" s="1">
        <v>20</v>
      </c>
      <c r="J288" s="1">
        <v>27</v>
      </c>
      <c r="K288" s="1">
        <v>14</v>
      </c>
      <c r="L288" s="1">
        <v>19</v>
      </c>
      <c r="M288" s="1">
        <v>16</v>
      </c>
      <c r="N288" s="1">
        <v>27</v>
      </c>
      <c r="O288" s="1">
        <v>23</v>
      </c>
      <c r="P288" s="1">
        <v>28</v>
      </c>
      <c r="Q288" s="1">
        <v>17</v>
      </c>
      <c r="R288" s="1">
        <v>27</v>
      </c>
      <c r="S288" s="1">
        <v>23</v>
      </c>
      <c r="T288" s="1">
        <v>16</v>
      </c>
      <c r="U288" s="1">
        <v>12</v>
      </c>
      <c r="V288" s="1">
        <v>23</v>
      </c>
      <c r="W288" s="1">
        <v>16</v>
      </c>
      <c r="X288" s="1">
        <v>8</v>
      </c>
      <c r="Y288" s="1">
        <v>14</v>
      </c>
    </row>
    <row r="289" spans="1:25" x14ac:dyDescent="0.3">
      <c r="A289" s="2">
        <v>43357</v>
      </c>
      <c r="B289" s="1">
        <v>7</v>
      </c>
      <c r="C289" s="1">
        <v>5</v>
      </c>
      <c r="D289" s="1">
        <v>4</v>
      </c>
      <c r="E289" s="1">
        <v>4</v>
      </c>
      <c r="F289" s="1">
        <v>6</v>
      </c>
      <c r="G289" s="1">
        <v>8</v>
      </c>
      <c r="H289" s="1">
        <v>9</v>
      </c>
      <c r="I289" s="1">
        <v>26</v>
      </c>
      <c r="J289" s="1">
        <v>24</v>
      </c>
      <c r="K289" s="1">
        <v>18</v>
      </c>
      <c r="L289" s="1">
        <v>25</v>
      </c>
      <c r="M289" s="1">
        <v>28</v>
      </c>
      <c r="N289" s="1">
        <v>29</v>
      </c>
      <c r="O289" s="1">
        <v>25</v>
      </c>
      <c r="P289" s="1">
        <v>22</v>
      </c>
      <c r="Q289" s="1">
        <v>26</v>
      </c>
      <c r="R289" s="1">
        <v>31</v>
      </c>
      <c r="S289" s="1">
        <v>28</v>
      </c>
      <c r="T289" s="1">
        <v>19</v>
      </c>
      <c r="U289" s="1">
        <v>16</v>
      </c>
      <c r="V289" s="1">
        <v>17</v>
      </c>
      <c r="W289" s="1">
        <v>11</v>
      </c>
      <c r="X289" s="1">
        <v>7</v>
      </c>
      <c r="Y289" s="1">
        <v>9</v>
      </c>
    </row>
    <row r="290" spans="1:25" x14ac:dyDescent="0.3">
      <c r="A290" s="2">
        <v>43358</v>
      </c>
      <c r="B290" s="1">
        <v>11</v>
      </c>
      <c r="C290" s="1">
        <v>7</v>
      </c>
      <c r="D290" s="1">
        <v>9</v>
      </c>
      <c r="E290" s="1">
        <v>4</v>
      </c>
      <c r="F290" s="1">
        <v>8</v>
      </c>
      <c r="G290" s="1">
        <v>4</v>
      </c>
      <c r="H290" s="1">
        <v>13</v>
      </c>
      <c r="I290" s="1">
        <v>10</v>
      </c>
      <c r="J290" s="1">
        <v>12</v>
      </c>
      <c r="K290" s="1">
        <v>17</v>
      </c>
      <c r="L290" s="1">
        <v>22</v>
      </c>
      <c r="M290" s="1">
        <v>27</v>
      </c>
      <c r="N290" s="1">
        <v>22</v>
      </c>
      <c r="O290" s="1">
        <v>25</v>
      </c>
      <c r="P290" s="1">
        <v>14</v>
      </c>
      <c r="Q290" s="1">
        <v>20</v>
      </c>
      <c r="R290" s="1">
        <v>24</v>
      </c>
      <c r="S290" s="1">
        <v>24</v>
      </c>
      <c r="T290" s="1">
        <v>12</v>
      </c>
      <c r="U290" s="1">
        <v>22</v>
      </c>
      <c r="V290" s="1">
        <v>10</v>
      </c>
      <c r="W290" s="1">
        <v>19</v>
      </c>
      <c r="X290" s="1">
        <v>10</v>
      </c>
      <c r="Y290" s="1">
        <v>20</v>
      </c>
    </row>
    <row r="291" spans="1:25" x14ac:dyDescent="0.3">
      <c r="A291" s="2">
        <v>43359</v>
      </c>
      <c r="B291" s="1">
        <v>11</v>
      </c>
      <c r="C291" s="1">
        <v>7</v>
      </c>
      <c r="D291" s="1">
        <v>8</v>
      </c>
      <c r="E291" s="1">
        <v>13</v>
      </c>
      <c r="F291" s="1">
        <v>7</v>
      </c>
      <c r="G291" s="1">
        <v>8</v>
      </c>
      <c r="H291" s="1">
        <v>7</v>
      </c>
      <c r="I291" s="1">
        <v>15</v>
      </c>
      <c r="J291" s="1">
        <v>11</v>
      </c>
      <c r="K291" s="1">
        <v>8</v>
      </c>
      <c r="L291" s="1">
        <v>9</v>
      </c>
      <c r="M291" s="1">
        <v>13</v>
      </c>
      <c r="N291" s="1">
        <v>22</v>
      </c>
      <c r="O291" s="1">
        <v>24</v>
      </c>
      <c r="P291" s="1">
        <v>20</v>
      </c>
      <c r="Q291" s="1">
        <v>19</v>
      </c>
      <c r="R291" s="1">
        <v>22</v>
      </c>
      <c r="S291" s="1">
        <v>17</v>
      </c>
      <c r="T291" s="1">
        <v>17</v>
      </c>
      <c r="U291" s="1">
        <v>27</v>
      </c>
      <c r="V291" s="1">
        <v>13</v>
      </c>
      <c r="W291" s="1">
        <v>9</v>
      </c>
      <c r="X291" s="1">
        <v>6</v>
      </c>
      <c r="Y291" s="1">
        <v>12</v>
      </c>
    </row>
    <row r="292" spans="1:25" x14ac:dyDescent="0.3">
      <c r="A292" s="2">
        <v>43360</v>
      </c>
      <c r="B292" s="1">
        <v>4</v>
      </c>
      <c r="C292" s="1">
        <v>2</v>
      </c>
      <c r="D292" s="1">
        <v>6</v>
      </c>
      <c r="E292" s="1">
        <v>9</v>
      </c>
      <c r="F292" s="1">
        <v>3</v>
      </c>
      <c r="G292" s="1">
        <v>5</v>
      </c>
      <c r="H292" s="1">
        <v>10</v>
      </c>
      <c r="I292" s="1">
        <v>36</v>
      </c>
      <c r="J292" s="1">
        <v>19</v>
      </c>
      <c r="K292" s="1">
        <v>25</v>
      </c>
      <c r="L292" s="1">
        <v>21</v>
      </c>
      <c r="M292" s="1">
        <v>24</v>
      </c>
      <c r="N292" s="1">
        <v>12</v>
      </c>
      <c r="O292" s="1">
        <v>27</v>
      </c>
      <c r="P292" s="1">
        <v>44</v>
      </c>
      <c r="Q292" s="1">
        <v>33</v>
      </c>
      <c r="R292" s="1">
        <v>49</v>
      </c>
      <c r="S292" s="1">
        <v>38</v>
      </c>
      <c r="T292" s="1">
        <v>15</v>
      </c>
      <c r="U292" s="1">
        <v>23</v>
      </c>
      <c r="V292" s="1">
        <v>14</v>
      </c>
      <c r="W292" s="1">
        <v>7</v>
      </c>
      <c r="X292" s="1">
        <v>15</v>
      </c>
      <c r="Y292" s="1">
        <v>7</v>
      </c>
    </row>
    <row r="293" spans="1:25" x14ac:dyDescent="0.3">
      <c r="A293" s="2">
        <v>43361</v>
      </c>
      <c r="B293" s="1">
        <v>5</v>
      </c>
      <c r="C293" s="1">
        <v>8</v>
      </c>
      <c r="D293" s="1">
        <v>5</v>
      </c>
      <c r="E293" s="1">
        <v>5</v>
      </c>
      <c r="F293" s="1">
        <v>12</v>
      </c>
      <c r="G293" s="1">
        <v>7</v>
      </c>
      <c r="H293" s="1">
        <v>12</v>
      </c>
      <c r="I293" s="1">
        <v>34</v>
      </c>
      <c r="J293" s="1">
        <v>22</v>
      </c>
      <c r="K293" s="1">
        <v>34</v>
      </c>
      <c r="L293" s="1">
        <v>33</v>
      </c>
      <c r="M293" s="1">
        <v>29</v>
      </c>
      <c r="N293" s="1">
        <v>31</v>
      </c>
      <c r="O293" s="1">
        <v>29</v>
      </c>
      <c r="P293" s="1">
        <v>19</v>
      </c>
      <c r="Q293" s="1">
        <v>26</v>
      </c>
      <c r="R293" s="1">
        <v>20</v>
      </c>
      <c r="S293" s="1">
        <v>28</v>
      </c>
      <c r="T293" s="1">
        <v>21</v>
      </c>
      <c r="U293" s="1">
        <v>17</v>
      </c>
      <c r="V293" s="1">
        <v>15</v>
      </c>
      <c r="W293" s="1">
        <v>14</v>
      </c>
      <c r="X293" s="1">
        <v>13</v>
      </c>
      <c r="Y293" s="1">
        <v>15</v>
      </c>
    </row>
    <row r="294" spans="1:25" x14ac:dyDescent="0.3">
      <c r="A294" s="2">
        <v>43362</v>
      </c>
      <c r="B294" s="1">
        <v>5</v>
      </c>
      <c r="C294" s="1">
        <v>9</v>
      </c>
      <c r="D294" s="1">
        <v>7</v>
      </c>
      <c r="E294" s="1">
        <v>6</v>
      </c>
      <c r="F294" s="1">
        <v>6</v>
      </c>
      <c r="G294" s="1">
        <v>9</v>
      </c>
      <c r="H294" s="1">
        <v>5</v>
      </c>
      <c r="I294" s="1">
        <v>20</v>
      </c>
      <c r="J294" s="1">
        <v>37</v>
      </c>
      <c r="K294" s="1">
        <v>18</v>
      </c>
      <c r="L294" s="1">
        <v>28</v>
      </c>
      <c r="M294" s="1">
        <v>29</v>
      </c>
      <c r="N294" s="1">
        <v>24</v>
      </c>
      <c r="O294" s="1">
        <v>25</v>
      </c>
      <c r="P294" s="1">
        <v>28</v>
      </c>
      <c r="Q294" s="1">
        <v>29</v>
      </c>
      <c r="R294" s="1">
        <v>31</v>
      </c>
      <c r="S294" s="1">
        <v>36</v>
      </c>
      <c r="T294" s="1">
        <v>25</v>
      </c>
      <c r="U294" s="1">
        <v>16</v>
      </c>
      <c r="V294" s="1">
        <v>32</v>
      </c>
      <c r="W294" s="1">
        <v>28</v>
      </c>
      <c r="X294" s="1">
        <v>20</v>
      </c>
      <c r="Y294" s="1">
        <v>11</v>
      </c>
    </row>
    <row r="295" spans="1:25" x14ac:dyDescent="0.3">
      <c r="A295" s="2">
        <v>43363</v>
      </c>
      <c r="B295" s="1">
        <v>4</v>
      </c>
      <c r="C295" s="1">
        <v>7</v>
      </c>
      <c r="D295" s="1">
        <v>9</v>
      </c>
      <c r="E295" s="1">
        <v>6</v>
      </c>
      <c r="F295" s="1">
        <v>8</v>
      </c>
      <c r="G295" s="1">
        <v>4</v>
      </c>
      <c r="H295" s="1">
        <v>11</v>
      </c>
      <c r="I295" s="1">
        <v>19</v>
      </c>
      <c r="J295" s="1">
        <v>32</v>
      </c>
      <c r="K295" s="1">
        <v>22</v>
      </c>
      <c r="L295" s="1">
        <v>22</v>
      </c>
      <c r="M295" s="1">
        <v>24</v>
      </c>
      <c r="N295" s="1">
        <v>18</v>
      </c>
      <c r="O295" s="1">
        <v>33</v>
      </c>
      <c r="P295" s="1">
        <v>20</v>
      </c>
      <c r="Q295" s="1">
        <v>27</v>
      </c>
      <c r="R295" s="1">
        <v>26</v>
      </c>
      <c r="S295" s="1">
        <v>25</v>
      </c>
      <c r="T295" s="1">
        <v>13</v>
      </c>
      <c r="U295" s="1">
        <v>18</v>
      </c>
      <c r="V295" s="1">
        <v>21</v>
      </c>
      <c r="W295" s="1">
        <v>12</v>
      </c>
      <c r="X295" s="1">
        <v>15</v>
      </c>
      <c r="Y295" s="1">
        <v>17</v>
      </c>
    </row>
    <row r="296" spans="1:25" x14ac:dyDescent="0.3">
      <c r="A296" s="2">
        <v>43364</v>
      </c>
      <c r="B296" s="1">
        <v>7</v>
      </c>
      <c r="C296" s="1">
        <v>5</v>
      </c>
      <c r="D296" s="1">
        <v>11</v>
      </c>
      <c r="E296" s="1">
        <v>3</v>
      </c>
      <c r="F296" s="1">
        <v>3</v>
      </c>
      <c r="G296" s="1">
        <v>4</v>
      </c>
      <c r="H296" s="1">
        <v>13</v>
      </c>
      <c r="I296" s="1">
        <v>19</v>
      </c>
      <c r="J296" s="1">
        <v>13</v>
      </c>
      <c r="K296" s="1">
        <v>14</v>
      </c>
      <c r="L296" s="1">
        <v>32</v>
      </c>
      <c r="M296" s="1">
        <v>20</v>
      </c>
      <c r="N296" s="1">
        <v>21</v>
      </c>
      <c r="O296" s="1">
        <v>33</v>
      </c>
      <c r="P296" s="1">
        <v>29</v>
      </c>
      <c r="Q296" s="1">
        <v>28</v>
      </c>
      <c r="R296" s="1">
        <v>25</v>
      </c>
      <c r="S296" s="1">
        <v>28</v>
      </c>
      <c r="T296" s="1">
        <v>30</v>
      </c>
      <c r="U296" s="1">
        <v>21</v>
      </c>
      <c r="V296" s="1">
        <v>17</v>
      </c>
      <c r="W296" s="1">
        <v>10</v>
      </c>
      <c r="X296" s="1">
        <v>22</v>
      </c>
      <c r="Y296" s="1">
        <v>11</v>
      </c>
    </row>
    <row r="297" spans="1:25" x14ac:dyDescent="0.3">
      <c r="A297" s="2">
        <v>43365</v>
      </c>
      <c r="B297" s="1">
        <v>13</v>
      </c>
      <c r="C297" s="1">
        <v>12</v>
      </c>
      <c r="D297" s="1">
        <v>7</v>
      </c>
      <c r="E297" s="1">
        <v>10</v>
      </c>
      <c r="F297" s="1">
        <v>2</v>
      </c>
      <c r="G297" s="1">
        <v>7</v>
      </c>
      <c r="H297" s="1">
        <v>6</v>
      </c>
      <c r="I297" s="1">
        <v>6</v>
      </c>
      <c r="J297" s="1">
        <v>21</v>
      </c>
      <c r="K297" s="1">
        <v>17</v>
      </c>
      <c r="L297" s="1">
        <v>25</v>
      </c>
      <c r="M297" s="1">
        <v>28</v>
      </c>
      <c r="N297" s="1">
        <v>24</v>
      </c>
      <c r="O297" s="1">
        <v>19</v>
      </c>
      <c r="P297" s="1">
        <v>20</v>
      </c>
      <c r="Q297" s="1">
        <v>17</v>
      </c>
      <c r="R297" s="1">
        <v>24</v>
      </c>
      <c r="S297" s="1">
        <v>19</v>
      </c>
      <c r="T297" s="1">
        <v>23</v>
      </c>
      <c r="U297" s="1">
        <v>18</v>
      </c>
      <c r="V297" s="1">
        <v>17</v>
      </c>
      <c r="W297" s="1">
        <v>9</v>
      </c>
      <c r="X297" s="1">
        <v>11</v>
      </c>
      <c r="Y297" s="1">
        <v>15</v>
      </c>
    </row>
    <row r="298" spans="1:25" x14ac:dyDescent="0.3">
      <c r="A298" s="2">
        <v>43366</v>
      </c>
      <c r="B298" s="1">
        <v>7</v>
      </c>
      <c r="C298" s="1">
        <v>6</v>
      </c>
      <c r="D298" s="1">
        <v>4</v>
      </c>
      <c r="E298" s="1">
        <v>5</v>
      </c>
      <c r="F298" s="1">
        <v>4</v>
      </c>
      <c r="G298" s="1">
        <v>3</v>
      </c>
      <c r="H298" s="1">
        <v>10</v>
      </c>
      <c r="I298" s="1">
        <v>8</v>
      </c>
      <c r="J298" s="1">
        <v>7</v>
      </c>
      <c r="K298" s="1">
        <v>22</v>
      </c>
      <c r="L298" s="1">
        <v>32</v>
      </c>
      <c r="M298" s="1">
        <v>18</v>
      </c>
      <c r="N298" s="1">
        <v>12</v>
      </c>
      <c r="O298" s="1">
        <v>17</v>
      </c>
      <c r="P298" s="1">
        <v>21</v>
      </c>
      <c r="Q298" s="1">
        <v>31</v>
      </c>
      <c r="R298" s="1">
        <v>25</v>
      </c>
      <c r="S298" s="1">
        <v>11</v>
      </c>
      <c r="T298" s="1">
        <v>22</v>
      </c>
      <c r="U298" s="1">
        <v>20</v>
      </c>
      <c r="V298" s="1">
        <v>24</v>
      </c>
      <c r="W298" s="1">
        <v>10</v>
      </c>
      <c r="X298" s="1">
        <v>7</v>
      </c>
      <c r="Y298" s="1">
        <v>8</v>
      </c>
    </row>
    <row r="299" spans="1:25" x14ac:dyDescent="0.3">
      <c r="A299" s="2">
        <v>43367</v>
      </c>
      <c r="B299" s="1">
        <v>8</v>
      </c>
      <c r="C299" s="1">
        <v>5</v>
      </c>
      <c r="D299" s="1">
        <v>6</v>
      </c>
      <c r="E299" s="1">
        <v>2</v>
      </c>
      <c r="F299" s="1">
        <v>6</v>
      </c>
      <c r="G299" s="1">
        <v>8</v>
      </c>
      <c r="H299" s="1">
        <v>11</v>
      </c>
      <c r="I299" s="1">
        <v>14</v>
      </c>
      <c r="J299" s="1">
        <v>37</v>
      </c>
      <c r="K299" s="1">
        <v>28</v>
      </c>
      <c r="L299" s="1">
        <v>18</v>
      </c>
      <c r="M299" s="1">
        <v>23</v>
      </c>
      <c r="N299" s="1">
        <v>23</v>
      </c>
      <c r="O299" s="1">
        <v>11</v>
      </c>
      <c r="P299" s="1">
        <v>25</v>
      </c>
      <c r="Q299" s="1">
        <v>37</v>
      </c>
      <c r="R299" s="1">
        <v>50</v>
      </c>
      <c r="S299" s="1">
        <v>23</v>
      </c>
      <c r="T299" s="1">
        <v>19</v>
      </c>
      <c r="U299" s="1">
        <v>11</v>
      </c>
      <c r="V299" s="1">
        <v>8</v>
      </c>
      <c r="W299" s="1">
        <v>11</v>
      </c>
      <c r="X299" s="1">
        <v>10</v>
      </c>
      <c r="Y299" s="1">
        <v>7</v>
      </c>
    </row>
    <row r="300" spans="1:25" x14ac:dyDescent="0.3">
      <c r="A300" s="2">
        <v>43368</v>
      </c>
      <c r="B300" s="1">
        <v>8</v>
      </c>
      <c r="C300" s="1">
        <v>6</v>
      </c>
      <c r="D300" s="1">
        <v>5</v>
      </c>
      <c r="E300" s="1">
        <v>2</v>
      </c>
      <c r="F300" s="1">
        <v>7</v>
      </c>
      <c r="G300" s="1">
        <v>12</v>
      </c>
      <c r="H300" s="1">
        <v>14</v>
      </c>
      <c r="I300" s="1">
        <v>18</v>
      </c>
      <c r="J300" s="1">
        <v>23</v>
      </c>
      <c r="K300" s="1">
        <v>23</v>
      </c>
      <c r="L300" s="1">
        <v>17</v>
      </c>
      <c r="M300" s="1">
        <v>26</v>
      </c>
      <c r="N300" s="1">
        <v>18</v>
      </c>
      <c r="O300" s="1">
        <v>25</v>
      </c>
      <c r="P300" s="1">
        <v>11</v>
      </c>
      <c r="Q300" s="1">
        <v>41</v>
      </c>
      <c r="R300" s="1">
        <v>45</v>
      </c>
      <c r="S300" s="1">
        <v>58</v>
      </c>
      <c r="T300" s="1">
        <v>32</v>
      </c>
      <c r="U300" s="1">
        <v>20</v>
      </c>
      <c r="V300" s="1">
        <v>16</v>
      </c>
      <c r="W300" s="1">
        <v>18</v>
      </c>
      <c r="X300" s="1">
        <v>17</v>
      </c>
      <c r="Y300" s="1">
        <v>10</v>
      </c>
    </row>
    <row r="301" spans="1:25" x14ac:dyDescent="0.3">
      <c r="A301" s="2">
        <v>43369</v>
      </c>
      <c r="B301" s="1">
        <v>8</v>
      </c>
      <c r="C301" s="1">
        <v>8</v>
      </c>
      <c r="D301" s="1">
        <v>1</v>
      </c>
      <c r="E301" s="1">
        <v>7</v>
      </c>
      <c r="F301" s="1">
        <v>4</v>
      </c>
      <c r="G301" s="1">
        <v>12</v>
      </c>
      <c r="H301" s="1">
        <v>13</v>
      </c>
      <c r="I301" s="1">
        <v>26</v>
      </c>
      <c r="J301" s="1">
        <v>27</v>
      </c>
      <c r="K301" s="1">
        <v>32</v>
      </c>
      <c r="L301" s="1">
        <v>27</v>
      </c>
      <c r="M301" s="1">
        <v>36</v>
      </c>
      <c r="N301" s="1">
        <v>35</v>
      </c>
      <c r="O301" s="1">
        <v>28</v>
      </c>
      <c r="P301" s="1">
        <v>34</v>
      </c>
      <c r="Q301" s="1">
        <v>15</v>
      </c>
      <c r="R301" s="1">
        <v>44</v>
      </c>
      <c r="S301" s="1">
        <v>45</v>
      </c>
      <c r="T301" s="1">
        <v>32</v>
      </c>
      <c r="U301" s="1">
        <v>21</v>
      </c>
      <c r="V301" s="1">
        <v>28</v>
      </c>
      <c r="W301" s="1">
        <v>26</v>
      </c>
      <c r="X301" s="1">
        <v>8</v>
      </c>
      <c r="Y301" s="1">
        <v>6</v>
      </c>
    </row>
    <row r="302" spans="1:25" x14ac:dyDescent="0.3">
      <c r="A302" s="2">
        <v>43370</v>
      </c>
      <c r="B302" s="1">
        <v>7</v>
      </c>
      <c r="C302" s="1">
        <v>6</v>
      </c>
      <c r="D302" s="1">
        <v>7</v>
      </c>
      <c r="E302" s="1">
        <v>4</v>
      </c>
      <c r="F302" s="1">
        <v>6</v>
      </c>
      <c r="G302" s="1">
        <v>10</v>
      </c>
      <c r="H302" s="1">
        <v>12</v>
      </c>
      <c r="I302" s="1">
        <v>15</v>
      </c>
      <c r="J302" s="1">
        <v>28</v>
      </c>
      <c r="K302" s="1">
        <v>18</v>
      </c>
      <c r="L302" s="1">
        <v>26</v>
      </c>
      <c r="M302" s="1">
        <v>26</v>
      </c>
      <c r="N302" s="1">
        <v>20</v>
      </c>
      <c r="O302" s="1">
        <v>27</v>
      </c>
      <c r="P302" s="1">
        <v>16</v>
      </c>
      <c r="Q302" s="1">
        <v>21</v>
      </c>
      <c r="R302" s="1">
        <v>22</v>
      </c>
      <c r="S302" s="1">
        <v>19</v>
      </c>
      <c r="T302" s="1">
        <v>24</v>
      </c>
      <c r="U302" s="1">
        <v>24</v>
      </c>
      <c r="V302" s="1">
        <v>22</v>
      </c>
      <c r="W302" s="1">
        <v>16</v>
      </c>
      <c r="X302" s="1">
        <v>14</v>
      </c>
      <c r="Y302" s="1">
        <v>9</v>
      </c>
    </row>
    <row r="303" spans="1:25" x14ac:dyDescent="0.3">
      <c r="A303" s="2">
        <v>43371</v>
      </c>
      <c r="B303" s="1">
        <v>12</v>
      </c>
      <c r="C303" s="1">
        <v>4</v>
      </c>
      <c r="D303" s="1">
        <v>7</v>
      </c>
      <c r="E303" s="1">
        <v>10</v>
      </c>
      <c r="F303" s="1">
        <v>18</v>
      </c>
      <c r="G303" s="1">
        <v>28</v>
      </c>
      <c r="H303" s="1">
        <v>23</v>
      </c>
      <c r="I303" s="1">
        <v>20</v>
      </c>
      <c r="J303" s="1">
        <v>27</v>
      </c>
      <c r="K303" s="1">
        <v>22</v>
      </c>
      <c r="L303" s="1">
        <v>21</v>
      </c>
      <c r="M303" s="1">
        <v>35</v>
      </c>
      <c r="N303" s="1">
        <v>29</v>
      </c>
      <c r="O303" s="1">
        <v>23</v>
      </c>
      <c r="P303" s="1">
        <v>21</v>
      </c>
      <c r="Q303" s="1">
        <v>26</v>
      </c>
      <c r="R303" s="1">
        <v>25</v>
      </c>
      <c r="S303" s="1">
        <v>33</v>
      </c>
      <c r="T303" s="1">
        <v>17</v>
      </c>
      <c r="U303" s="1">
        <v>26</v>
      </c>
      <c r="V303" s="1">
        <v>14</v>
      </c>
      <c r="W303" s="1">
        <v>13</v>
      </c>
      <c r="X303" s="1">
        <v>13</v>
      </c>
      <c r="Y303" s="1">
        <v>12</v>
      </c>
    </row>
    <row r="304" spans="1:25" x14ac:dyDescent="0.3">
      <c r="A304" s="2">
        <v>43372</v>
      </c>
      <c r="B304" s="1">
        <v>6</v>
      </c>
      <c r="C304" s="1">
        <v>5</v>
      </c>
      <c r="D304" s="1">
        <v>9</v>
      </c>
      <c r="E304" s="1">
        <v>11</v>
      </c>
      <c r="F304" s="1">
        <v>4</v>
      </c>
      <c r="G304" s="1">
        <v>7</v>
      </c>
      <c r="H304" s="1">
        <v>7</v>
      </c>
      <c r="I304" s="1">
        <v>6</v>
      </c>
      <c r="J304" s="1">
        <v>14</v>
      </c>
      <c r="K304" s="1">
        <v>15</v>
      </c>
      <c r="L304" s="1">
        <v>23</v>
      </c>
      <c r="M304" s="1">
        <v>28</v>
      </c>
      <c r="N304" s="1">
        <v>31</v>
      </c>
      <c r="O304" s="1">
        <v>25</v>
      </c>
      <c r="P304" s="1">
        <v>28</v>
      </c>
      <c r="Q304" s="1">
        <v>19</v>
      </c>
      <c r="R304" s="1">
        <v>26</v>
      </c>
      <c r="S304" s="1">
        <v>17</v>
      </c>
      <c r="T304" s="1">
        <v>19</v>
      </c>
      <c r="U304" s="1">
        <v>24</v>
      </c>
      <c r="V304" s="1">
        <v>22</v>
      </c>
      <c r="W304" s="1">
        <v>15</v>
      </c>
      <c r="X304" s="1">
        <v>13</v>
      </c>
      <c r="Y304" s="1">
        <v>9</v>
      </c>
    </row>
    <row r="305" spans="1:25" x14ac:dyDescent="0.3">
      <c r="A305" s="2">
        <v>43373</v>
      </c>
      <c r="B305" s="1">
        <v>16</v>
      </c>
      <c r="C305" s="1">
        <v>9</v>
      </c>
      <c r="D305" s="1">
        <v>13</v>
      </c>
      <c r="E305" s="1">
        <v>8</v>
      </c>
      <c r="F305" s="1">
        <v>10</v>
      </c>
      <c r="G305" s="1">
        <v>9</v>
      </c>
      <c r="H305" s="1">
        <v>6</v>
      </c>
      <c r="I305" s="1">
        <v>8</v>
      </c>
      <c r="J305" s="1">
        <v>10</v>
      </c>
      <c r="K305" s="1">
        <v>16</v>
      </c>
      <c r="L305" s="1">
        <v>15</v>
      </c>
      <c r="M305" s="1">
        <v>15</v>
      </c>
      <c r="N305" s="1">
        <v>19</v>
      </c>
      <c r="O305" s="1">
        <v>16</v>
      </c>
      <c r="P305" s="1">
        <v>15</v>
      </c>
      <c r="Q305" s="1">
        <v>21</v>
      </c>
      <c r="R305" s="1">
        <v>19</v>
      </c>
      <c r="S305" s="1">
        <v>24</v>
      </c>
      <c r="T305" s="1">
        <v>17</v>
      </c>
      <c r="U305" s="1">
        <v>21</v>
      </c>
      <c r="V305" s="1">
        <v>14</v>
      </c>
      <c r="W305" s="1">
        <v>22</v>
      </c>
      <c r="X305" s="1">
        <v>12</v>
      </c>
      <c r="Y305" s="1">
        <v>11</v>
      </c>
    </row>
    <row r="306" spans="1:25" x14ac:dyDescent="0.3">
      <c r="A306" s="2">
        <v>43374</v>
      </c>
      <c r="B306" s="1">
        <v>12</v>
      </c>
      <c r="C306" s="1">
        <v>0</v>
      </c>
      <c r="D306" s="1">
        <v>10</v>
      </c>
      <c r="E306" s="1">
        <v>6</v>
      </c>
      <c r="F306" s="1">
        <v>1</v>
      </c>
      <c r="G306" s="1">
        <v>7</v>
      </c>
      <c r="H306" s="1">
        <v>7</v>
      </c>
      <c r="I306" s="1">
        <v>27</v>
      </c>
      <c r="J306" s="1">
        <v>31</v>
      </c>
      <c r="K306" s="1">
        <v>26</v>
      </c>
      <c r="L306" s="1">
        <v>17</v>
      </c>
      <c r="M306" s="1">
        <v>21</v>
      </c>
      <c r="N306" s="1">
        <v>21</v>
      </c>
      <c r="O306" s="1">
        <v>23</v>
      </c>
      <c r="P306" s="1">
        <v>30</v>
      </c>
      <c r="Q306" s="1">
        <v>17</v>
      </c>
      <c r="R306" s="1">
        <v>28</v>
      </c>
      <c r="S306" s="1">
        <v>25</v>
      </c>
      <c r="T306" s="1">
        <v>14</v>
      </c>
      <c r="U306" s="1">
        <v>24</v>
      </c>
      <c r="V306" s="1">
        <v>20</v>
      </c>
      <c r="W306" s="1">
        <v>8</v>
      </c>
      <c r="X306" s="1">
        <v>14</v>
      </c>
      <c r="Y306" s="1">
        <v>9</v>
      </c>
    </row>
    <row r="307" spans="1:25" x14ac:dyDescent="0.3">
      <c r="A307" s="2">
        <v>43375</v>
      </c>
      <c r="B307" s="1">
        <v>4</v>
      </c>
      <c r="C307" s="1">
        <v>6</v>
      </c>
      <c r="D307" s="1">
        <v>9</v>
      </c>
      <c r="E307" s="1">
        <v>3</v>
      </c>
      <c r="F307" s="1">
        <v>3</v>
      </c>
      <c r="G307" s="1">
        <v>5</v>
      </c>
      <c r="H307" s="1">
        <v>15</v>
      </c>
      <c r="I307" s="1">
        <v>22</v>
      </c>
      <c r="J307" s="1">
        <v>26</v>
      </c>
      <c r="K307" s="1">
        <v>28</v>
      </c>
      <c r="L307" s="1">
        <v>21</v>
      </c>
      <c r="M307" s="1">
        <v>21</v>
      </c>
      <c r="N307" s="1">
        <v>23</v>
      </c>
      <c r="O307" s="1">
        <v>26</v>
      </c>
      <c r="P307" s="1">
        <v>30</v>
      </c>
      <c r="Q307" s="1">
        <v>19</v>
      </c>
      <c r="R307" s="1">
        <v>25</v>
      </c>
      <c r="S307" s="1">
        <v>32</v>
      </c>
      <c r="T307" s="1">
        <v>34</v>
      </c>
      <c r="U307" s="1">
        <v>18</v>
      </c>
      <c r="V307" s="1">
        <v>8</v>
      </c>
      <c r="W307" s="1">
        <v>14</v>
      </c>
      <c r="X307" s="1">
        <v>19</v>
      </c>
      <c r="Y307" s="1">
        <v>11</v>
      </c>
    </row>
    <row r="308" spans="1:25" x14ac:dyDescent="0.3">
      <c r="A308" s="2">
        <v>43376</v>
      </c>
      <c r="B308" s="1">
        <v>11</v>
      </c>
      <c r="C308" s="1">
        <v>4</v>
      </c>
      <c r="D308" s="1">
        <v>8</v>
      </c>
      <c r="E308" s="1">
        <v>2</v>
      </c>
      <c r="F308" s="1">
        <v>3</v>
      </c>
      <c r="G308" s="1">
        <v>7</v>
      </c>
      <c r="H308" s="1">
        <v>13</v>
      </c>
      <c r="I308" s="1">
        <v>31</v>
      </c>
      <c r="J308" s="1">
        <v>23</v>
      </c>
      <c r="K308" s="1">
        <v>31</v>
      </c>
      <c r="L308" s="1">
        <v>26</v>
      </c>
      <c r="M308" s="1">
        <v>23</v>
      </c>
      <c r="N308" s="1">
        <v>26</v>
      </c>
      <c r="O308" s="1">
        <v>21</v>
      </c>
      <c r="P308" s="1">
        <v>27</v>
      </c>
      <c r="Q308" s="1">
        <v>26</v>
      </c>
      <c r="R308" s="1">
        <v>30</v>
      </c>
      <c r="S308" s="1">
        <v>30</v>
      </c>
      <c r="T308" s="1">
        <v>23</v>
      </c>
      <c r="U308" s="1">
        <v>25</v>
      </c>
      <c r="V308" s="1">
        <v>18</v>
      </c>
      <c r="W308" s="1">
        <v>15</v>
      </c>
      <c r="X308" s="1">
        <v>12</v>
      </c>
      <c r="Y308" s="1">
        <v>9</v>
      </c>
    </row>
    <row r="309" spans="1:25" x14ac:dyDescent="0.3">
      <c r="A309" s="2">
        <v>43377</v>
      </c>
      <c r="B309" s="1">
        <v>8</v>
      </c>
      <c r="C309" s="1">
        <v>4</v>
      </c>
      <c r="D309" s="1">
        <v>6</v>
      </c>
      <c r="E309" s="1">
        <v>5</v>
      </c>
      <c r="F309" s="1">
        <v>9</v>
      </c>
      <c r="G309" s="1">
        <v>10</v>
      </c>
      <c r="H309" s="1">
        <v>14</v>
      </c>
      <c r="I309" s="1">
        <v>19</v>
      </c>
      <c r="J309" s="1">
        <v>29</v>
      </c>
      <c r="K309" s="1">
        <v>22</v>
      </c>
      <c r="L309" s="1">
        <v>26</v>
      </c>
      <c r="M309" s="1">
        <v>24</v>
      </c>
      <c r="N309" s="1">
        <v>29</v>
      </c>
      <c r="O309" s="1">
        <v>23</v>
      </c>
      <c r="P309" s="1">
        <v>19</v>
      </c>
      <c r="Q309" s="1">
        <v>31</v>
      </c>
      <c r="R309" s="1">
        <v>17</v>
      </c>
      <c r="S309" s="1">
        <v>28</v>
      </c>
      <c r="T309" s="1">
        <v>38</v>
      </c>
      <c r="U309" s="1">
        <v>18</v>
      </c>
      <c r="V309" s="1">
        <v>16</v>
      </c>
      <c r="W309" s="1">
        <v>16</v>
      </c>
      <c r="X309" s="1">
        <v>13</v>
      </c>
      <c r="Y309" s="1">
        <v>7</v>
      </c>
    </row>
    <row r="310" spans="1:25" x14ac:dyDescent="0.3">
      <c r="A310" s="2">
        <v>43378</v>
      </c>
      <c r="B310" s="1">
        <v>13</v>
      </c>
      <c r="C310" s="1">
        <v>3</v>
      </c>
      <c r="D310" s="1">
        <v>7</v>
      </c>
      <c r="E310" s="1">
        <v>6</v>
      </c>
      <c r="F310" s="1">
        <v>6</v>
      </c>
      <c r="G310" s="1">
        <v>6</v>
      </c>
      <c r="H310" s="1">
        <v>6</v>
      </c>
      <c r="I310" s="1">
        <v>25</v>
      </c>
      <c r="J310" s="1">
        <v>10</v>
      </c>
      <c r="K310" s="1">
        <v>28</v>
      </c>
      <c r="L310" s="1">
        <v>14</v>
      </c>
      <c r="M310" s="1">
        <v>23</v>
      </c>
      <c r="N310" s="1">
        <v>21</v>
      </c>
      <c r="O310" s="1">
        <v>30</v>
      </c>
      <c r="P310" s="1">
        <v>31</v>
      </c>
      <c r="Q310" s="1">
        <v>29</v>
      </c>
      <c r="R310" s="1">
        <v>41</v>
      </c>
      <c r="S310" s="1">
        <v>30</v>
      </c>
      <c r="T310" s="1">
        <v>23</v>
      </c>
      <c r="U310" s="1">
        <v>42</v>
      </c>
      <c r="V310" s="1">
        <v>13</v>
      </c>
      <c r="W310" s="1">
        <v>15</v>
      </c>
      <c r="X310" s="1">
        <v>12</v>
      </c>
      <c r="Y310" s="1">
        <v>13</v>
      </c>
    </row>
    <row r="311" spans="1:25" x14ac:dyDescent="0.3">
      <c r="A311" s="2">
        <v>43379</v>
      </c>
      <c r="B311" s="1">
        <v>7</v>
      </c>
      <c r="C311" s="1">
        <v>15</v>
      </c>
      <c r="D311" s="1">
        <v>13</v>
      </c>
      <c r="E311" s="1">
        <v>8</v>
      </c>
      <c r="F311" s="1">
        <v>5</v>
      </c>
      <c r="G311" s="1">
        <v>3</v>
      </c>
      <c r="H311" s="1">
        <v>4</v>
      </c>
      <c r="I311" s="1">
        <v>11</v>
      </c>
      <c r="J311" s="1">
        <v>20</v>
      </c>
      <c r="K311" s="1">
        <v>19</v>
      </c>
      <c r="L311" s="1">
        <v>26</v>
      </c>
      <c r="M311" s="1">
        <v>23</v>
      </c>
      <c r="N311" s="1">
        <v>27</v>
      </c>
      <c r="O311" s="1">
        <v>24</v>
      </c>
      <c r="P311" s="1">
        <v>18</v>
      </c>
      <c r="Q311" s="1">
        <v>12</v>
      </c>
      <c r="R311" s="1">
        <v>18</v>
      </c>
      <c r="S311" s="1">
        <v>20</v>
      </c>
      <c r="T311" s="1">
        <v>19</v>
      </c>
      <c r="U311" s="1">
        <v>24</v>
      </c>
      <c r="V311" s="1">
        <v>12</v>
      </c>
      <c r="W311" s="1">
        <v>17</v>
      </c>
      <c r="X311" s="1">
        <v>14</v>
      </c>
      <c r="Y311" s="1">
        <v>11</v>
      </c>
    </row>
    <row r="312" spans="1:25" x14ac:dyDescent="0.3">
      <c r="A312" s="2">
        <v>43380</v>
      </c>
      <c r="B312" s="1">
        <v>10</v>
      </c>
      <c r="C312" s="1">
        <v>13</v>
      </c>
      <c r="D312" s="1">
        <v>11</v>
      </c>
      <c r="E312" s="1">
        <v>6</v>
      </c>
      <c r="F312" s="1">
        <v>6</v>
      </c>
      <c r="G312" s="1">
        <v>8</v>
      </c>
      <c r="H312" s="1">
        <v>7</v>
      </c>
      <c r="I312" s="1">
        <v>10</v>
      </c>
      <c r="J312" s="1">
        <v>17</v>
      </c>
      <c r="K312" s="1">
        <v>14</v>
      </c>
      <c r="L312" s="1">
        <v>22</v>
      </c>
      <c r="M312" s="1">
        <v>17</v>
      </c>
      <c r="N312" s="1">
        <v>12</v>
      </c>
      <c r="O312" s="1">
        <v>22</v>
      </c>
      <c r="P312" s="1">
        <v>29</v>
      </c>
      <c r="Q312" s="1">
        <v>17</v>
      </c>
      <c r="R312" s="1">
        <v>14</v>
      </c>
      <c r="S312" s="1">
        <v>17</v>
      </c>
      <c r="T312" s="1">
        <v>25</v>
      </c>
      <c r="U312" s="1">
        <v>15</v>
      </c>
      <c r="V312" s="1">
        <v>18</v>
      </c>
      <c r="W312" s="1">
        <v>16</v>
      </c>
      <c r="X312" s="1">
        <v>16</v>
      </c>
      <c r="Y312" s="1">
        <v>5</v>
      </c>
    </row>
    <row r="313" spans="1:25" x14ac:dyDescent="0.3">
      <c r="A313" s="2">
        <v>43381</v>
      </c>
      <c r="B313" s="1">
        <v>7</v>
      </c>
      <c r="C313" s="1">
        <v>5</v>
      </c>
      <c r="D313" s="1">
        <v>4</v>
      </c>
      <c r="E313" s="1">
        <v>12</v>
      </c>
      <c r="F313" s="1">
        <v>7</v>
      </c>
      <c r="G313" s="1">
        <v>5</v>
      </c>
      <c r="H313" s="1">
        <v>12</v>
      </c>
      <c r="I313" s="1">
        <v>9</v>
      </c>
      <c r="J313" s="1">
        <v>20</v>
      </c>
      <c r="K313" s="1">
        <v>22</v>
      </c>
      <c r="L313" s="1">
        <v>22</v>
      </c>
      <c r="M313" s="1">
        <v>21</v>
      </c>
      <c r="N313" s="1">
        <v>22</v>
      </c>
      <c r="O313" s="1">
        <v>26</v>
      </c>
      <c r="P313" s="1">
        <v>16</v>
      </c>
      <c r="Q313" s="1">
        <v>22</v>
      </c>
      <c r="R313" s="1">
        <v>25</v>
      </c>
      <c r="S313" s="1">
        <v>16</v>
      </c>
      <c r="T313" s="1">
        <v>28</v>
      </c>
      <c r="U313" s="1">
        <v>22</v>
      </c>
      <c r="V313" s="1">
        <v>15</v>
      </c>
      <c r="W313" s="1">
        <v>22</v>
      </c>
      <c r="X313" s="1">
        <v>20</v>
      </c>
      <c r="Y313" s="1">
        <v>16</v>
      </c>
    </row>
    <row r="314" spans="1:25" x14ac:dyDescent="0.3">
      <c r="A314" s="2">
        <v>43382</v>
      </c>
      <c r="B314" s="1">
        <v>6</v>
      </c>
      <c r="C314" s="1">
        <v>3</v>
      </c>
      <c r="D314" s="1">
        <v>6</v>
      </c>
      <c r="E314" s="1">
        <v>5</v>
      </c>
      <c r="F314" s="1">
        <v>7</v>
      </c>
      <c r="G314" s="1">
        <v>4</v>
      </c>
      <c r="H314" s="1">
        <v>10</v>
      </c>
      <c r="I314" s="1">
        <v>20</v>
      </c>
      <c r="J314" s="1">
        <v>25</v>
      </c>
      <c r="K314" s="1">
        <v>31</v>
      </c>
      <c r="L314" s="1">
        <v>22</v>
      </c>
      <c r="M314" s="1">
        <v>23</v>
      </c>
      <c r="N314" s="1">
        <v>26</v>
      </c>
      <c r="O314" s="1">
        <v>24</v>
      </c>
      <c r="P314" s="1">
        <v>29</v>
      </c>
      <c r="Q314" s="1">
        <v>29</v>
      </c>
      <c r="R314" s="1">
        <v>23</v>
      </c>
      <c r="S314" s="1">
        <v>30</v>
      </c>
      <c r="T314" s="1">
        <v>28</v>
      </c>
      <c r="U314" s="1">
        <v>21</v>
      </c>
      <c r="V314" s="1">
        <v>18</v>
      </c>
      <c r="W314" s="1">
        <v>12</v>
      </c>
      <c r="X314" s="1">
        <v>8</v>
      </c>
      <c r="Y314" s="1">
        <v>10</v>
      </c>
    </row>
    <row r="315" spans="1:25" x14ac:dyDescent="0.3">
      <c r="A315" s="2">
        <v>43383</v>
      </c>
      <c r="B315" s="1">
        <v>6</v>
      </c>
      <c r="C315" s="1">
        <v>6</v>
      </c>
      <c r="D315" s="1">
        <v>9</v>
      </c>
      <c r="E315" s="1">
        <v>6</v>
      </c>
      <c r="F315" s="1">
        <v>6</v>
      </c>
      <c r="G315" s="1">
        <v>10</v>
      </c>
      <c r="H315" s="1">
        <v>25</v>
      </c>
      <c r="I315" s="1">
        <v>19</v>
      </c>
      <c r="J315" s="1">
        <v>25</v>
      </c>
      <c r="K315" s="1">
        <v>31</v>
      </c>
      <c r="L315" s="1">
        <v>23</v>
      </c>
      <c r="M315" s="1">
        <v>25</v>
      </c>
      <c r="N315" s="1">
        <v>35</v>
      </c>
      <c r="O315" s="1">
        <v>32</v>
      </c>
      <c r="P315" s="1">
        <v>24</v>
      </c>
      <c r="Q315" s="1">
        <v>28</v>
      </c>
      <c r="R315" s="1">
        <v>38</v>
      </c>
      <c r="S315" s="1">
        <v>35</v>
      </c>
      <c r="T315" s="1">
        <v>23</v>
      </c>
      <c r="U315" s="1">
        <v>23</v>
      </c>
      <c r="V315" s="1">
        <v>10</v>
      </c>
      <c r="W315" s="1">
        <v>11</v>
      </c>
      <c r="X315" s="1">
        <v>12</v>
      </c>
      <c r="Y315" s="1">
        <v>12</v>
      </c>
    </row>
    <row r="316" spans="1:25" x14ac:dyDescent="0.3">
      <c r="A316" s="2">
        <v>43384</v>
      </c>
      <c r="B316" s="1">
        <v>7</v>
      </c>
      <c r="C316" s="1">
        <v>8</v>
      </c>
      <c r="D316" s="1">
        <v>1</v>
      </c>
      <c r="E316" s="1">
        <v>6</v>
      </c>
      <c r="F316" s="1">
        <v>6</v>
      </c>
      <c r="G316" s="1">
        <v>5</v>
      </c>
      <c r="H316" s="1">
        <v>14</v>
      </c>
      <c r="I316" s="1">
        <v>18</v>
      </c>
      <c r="J316" s="1">
        <v>27</v>
      </c>
      <c r="K316" s="1">
        <v>28</v>
      </c>
      <c r="L316" s="1">
        <v>40</v>
      </c>
      <c r="M316" s="1">
        <v>26</v>
      </c>
      <c r="N316" s="1">
        <v>27</v>
      </c>
      <c r="O316" s="1">
        <v>24</v>
      </c>
      <c r="P316" s="1">
        <v>32</v>
      </c>
      <c r="Q316" s="1">
        <v>27</v>
      </c>
      <c r="R316" s="1">
        <v>28</v>
      </c>
      <c r="S316" s="1">
        <v>32</v>
      </c>
      <c r="T316" s="1">
        <v>25</v>
      </c>
      <c r="U316" s="1">
        <v>25</v>
      </c>
      <c r="V316" s="1">
        <v>25</v>
      </c>
      <c r="W316" s="1">
        <v>21</v>
      </c>
      <c r="X316" s="1">
        <v>10</v>
      </c>
      <c r="Y316" s="1">
        <v>16</v>
      </c>
    </row>
    <row r="317" spans="1:25" x14ac:dyDescent="0.3">
      <c r="A317" s="2">
        <v>43385</v>
      </c>
      <c r="B317" s="1">
        <v>10</v>
      </c>
      <c r="C317" s="1">
        <v>6</v>
      </c>
      <c r="D317" s="1">
        <v>8</v>
      </c>
      <c r="E317" s="1">
        <v>4</v>
      </c>
      <c r="F317" s="1">
        <v>12</v>
      </c>
      <c r="G317" s="1">
        <v>6</v>
      </c>
      <c r="H317" s="1">
        <v>8</v>
      </c>
      <c r="I317" s="1">
        <v>17</v>
      </c>
      <c r="J317" s="1">
        <v>30</v>
      </c>
      <c r="K317" s="1">
        <v>24</v>
      </c>
      <c r="L317" s="1">
        <v>20</v>
      </c>
      <c r="M317" s="1">
        <v>30</v>
      </c>
      <c r="N317" s="1">
        <v>25</v>
      </c>
      <c r="O317" s="1">
        <v>24</v>
      </c>
      <c r="P317" s="1">
        <v>23</v>
      </c>
      <c r="Q317" s="1">
        <v>34</v>
      </c>
      <c r="R317" s="1">
        <v>40</v>
      </c>
      <c r="S317" s="1">
        <v>20</v>
      </c>
      <c r="T317" s="1">
        <v>25</v>
      </c>
      <c r="U317" s="1">
        <v>20</v>
      </c>
      <c r="V317" s="1">
        <v>25</v>
      </c>
      <c r="W317" s="1">
        <v>18</v>
      </c>
      <c r="X317" s="1">
        <v>16</v>
      </c>
      <c r="Y317" s="1">
        <v>19</v>
      </c>
    </row>
    <row r="318" spans="1:25" x14ac:dyDescent="0.3">
      <c r="A318" s="2">
        <v>43386</v>
      </c>
      <c r="B318" s="1">
        <v>7</v>
      </c>
      <c r="C318" s="1">
        <v>7</v>
      </c>
      <c r="D318" s="1">
        <v>9</v>
      </c>
      <c r="E318" s="1">
        <v>9</v>
      </c>
      <c r="F318" s="1">
        <v>3</v>
      </c>
      <c r="G318" s="1">
        <v>4</v>
      </c>
      <c r="H318" s="1">
        <v>2</v>
      </c>
      <c r="I318" s="1">
        <v>13</v>
      </c>
      <c r="J318" s="1">
        <v>9</v>
      </c>
      <c r="K318" s="1">
        <v>20</v>
      </c>
      <c r="L318" s="1">
        <v>16</v>
      </c>
      <c r="M318" s="1">
        <v>24</v>
      </c>
      <c r="N318" s="1">
        <v>20</v>
      </c>
      <c r="O318" s="1">
        <v>26</v>
      </c>
      <c r="P318" s="1">
        <v>25</v>
      </c>
      <c r="Q318" s="1">
        <v>22</v>
      </c>
      <c r="R318" s="1">
        <v>15</v>
      </c>
      <c r="S318" s="1">
        <v>16</v>
      </c>
      <c r="T318" s="1">
        <v>16</v>
      </c>
      <c r="U318" s="1">
        <v>17</v>
      </c>
      <c r="V318" s="1">
        <v>16</v>
      </c>
      <c r="W318" s="1">
        <v>18</v>
      </c>
      <c r="X318" s="1">
        <v>17</v>
      </c>
      <c r="Y318" s="1">
        <v>11</v>
      </c>
    </row>
    <row r="319" spans="1:25" x14ac:dyDescent="0.3">
      <c r="A319" s="2">
        <v>43387</v>
      </c>
      <c r="B319" s="1">
        <v>15</v>
      </c>
      <c r="C319" s="1">
        <v>7</v>
      </c>
      <c r="D319" s="1">
        <v>14</v>
      </c>
      <c r="E319" s="1">
        <v>13</v>
      </c>
      <c r="F319" s="1">
        <v>13</v>
      </c>
      <c r="G319" s="1">
        <v>7</v>
      </c>
      <c r="H319" s="1">
        <v>9</v>
      </c>
      <c r="I319" s="1">
        <v>11</v>
      </c>
      <c r="J319" s="1">
        <v>14</v>
      </c>
      <c r="K319" s="1">
        <v>20</v>
      </c>
      <c r="L319" s="1">
        <v>16</v>
      </c>
      <c r="M319" s="1">
        <v>18</v>
      </c>
      <c r="N319" s="1">
        <v>27</v>
      </c>
      <c r="O319" s="1">
        <v>21</v>
      </c>
      <c r="P319" s="1">
        <v>23</v>
      </c>
      <c r="Q319" s="1">
        <v>18</v>
      </c>
      <c r="R319" s="1">
        <v>26</v>
      </c>
      <c r="S319" s="1">
        <v>21</v>
      </c>
      <c r="T319" s="1">
        <v>11</v>
      </c>
      <c r="U319" s="1">
        <v>13</v>
      </c>
      <c r="V319" s="1">
        <v>9</v>
      </c>
      <c r="W319" s="1">
        <v>10</v>
      </c>
      <c r="X319" s="1">
        <v>12</v>
      </c>
      <c r="Y319" s="1">
        <v>11</v>
      </c>
    </row>
    <row r="320" spans="1:25" x14ac:dyDescent="0.3">
      <c r="A320" s="2">
        <v>43388</v>
      </c>
      <c r="B320" s="1">
        <v>9</v>
      </c>
      <c r="C320" s="1">
        <v>3</v>
      </c>
      <c r="D320" s="1">
        <v>5</v>
      </c>
      <c r="E320" s="1">
        <v>5</v>
      </c>
      <c r="F320" s="1">
        <v>13</v>
      </c>
      <c r="G320" s="1">
        <v>10</v>
      </c>
      <c r="H320" s="1">
        <v>11</v>
      </c>
      <c r="I320" s="1">
        <v>29</v>
      </c>
      <c r="J320" s="1">
        <v>25</v>
      </c>
      <c r="K320" s="1">
        <v>32</v>
      </c>
      <c r="L320" s="1">
        <v>30</v>
      </c>
      <c r="M320" s="1">
        <v>21</v>
      </c>
      <c r="N320" s="1">
        <v>26</v>
      </c>
      <c r="O320" s="1">
        <v>25</v>
      </c>
      <c r="P320" s="1">
        <v>29</v>
      </c>
      <c r="Q320" s="1">
        <v>31</v>
      </c>
      <c r="R320" s="1">
        <v>35</v>
      </c>
      <c r="S320" s="1">
        <v>31</v>
      </c>
      <c r="T320" s="1">
        <v>29</v>
      </c>
      <c r="U320" s="1">
        <v>25</v>
      </c>
      <c r="V320" s="1">
        <v>20</v>
      </c>
      <c r="W320" s="1">
        <v>14</v>
      </c>
      <c r="X320" s="1">
        <v>14</v>
      </c>
      <c r="Y320" s="1">
        <v>15</v>
      </c>
    </row>
    <row r="321" spans="1:25" x14ac:dyDescent="0.3">
      <c r="A321" s="2">
        <v>43389</v>
      </c>
      <c r="B321" s="1">
        <v>5</v>
      </c>
      <c r="C321" s="1">
        <v>11</v>
      </c>
      <c r="D321" s="1">
        <v>5</v>
      </c>
      <c r="E321" s="1">
        <v>5</v>
      </c>
      <c r="F321" s="1">
        <v>8</v>
      </c>
      <c r="G321" s="1">
        <v>9</v>
      </c>
      <c r="H321" s="1">
        <v>15</v>
      </c>
      <c r="I321" s="1">
        <v>22</v>
      </c>
      <c r="J321" s="1">
        <v>23</v>
      </c>
      <c r="K321" s="1">
        <v>22</v>
      </c>
      <c r="L321" s="1">
        <v>19</v>
      </c>
      <c r="M321" s="1">
        <v>25</v>
      </c>
      <c r="N321" s="1">
        <v>20</v>
      </c>
      <c r="O321" s="1">
        <v>27</v>
      </c>
      <c r="P321" s="1">
        <v>27</v>
      </c>
      <c r="Q321" s="1">
        <v>40</v>
      </c>
      <c r="R321" s="1">
        <v>35</v>
      </c>
      <c r="S321" s="1">
        <v>25</v>
      </c>
      <c r="T321" s="1">
        <v>15</v>
      </c>
      <c r="U321" s="1">
        <v>21</v>
      </c>
      <c r="V321" s="1">
        <v>13</v>
      </c>
      <c r="W321" s="1">
        <v>9</v>
      </c>
      <c r="X321" s="1">
        <v>17</v>
      </c>
      <c r="Y321" s="1">
        <v>11</v>
      </c>
    </row>
    <row r="322" spans="1:25" x14ac:dyDescent="0.3">
      <c r="A322" s="2">
        <v>43390</v>
      </c>
      <c r="B322" s="1">
        <v>6</v>
      </c>
      <c r="C322" s="1">
        <v>8</v>
      </c>
      <c r="D322" s="1">
        <v>6</v>
      </c>
      <c r="E322" s="1">
        <v>9</v>
      </c>
      <c r="F322" s="1">
        <v>5</v>
      </c>
      <c r="G322" s="1">
        <v>10</v>
      </c>
      <c r="H322" s="1">
        <v>13</v>
      </c>
      <c r="I322" s="1">
        <v>24</v>
      </c>
      <c r="J322" s="1">
        <v>23</v>
      </c>
      <c r="K322" s="1">
        <v>31</v>
      </c>
      <c r="L322" s="1">
        <v>20</v>
      </c>
      <c r="M322" s="1">
        <v>30</v>
      </c>
      <c r="N322" s="1">
        <v>20</v>
      </c>
      <c r="O322" s="1">
        <v>29</v>
      </c>
      <c r="P322" s="1">
        <v>17</v>
      </c>
      <c r="Q322" s="1">
        <v>43</v>
      </c>
      <c r="R322" s="1">
        <v>28</v>
      </c>
      <c r="S322" s="1">
        <v>28</v>
      </c>
      <c r="T322" s="1">
        <v>25</v>
      </c>
      <c r="U322" s="1">
        <v>23</v>
      </c>
      <c r="V322" s="1">
        <v>16</v>
      </c>
      <c r="W322" s="1">
        <v>14</v>
      </c>
      <c r="X322" s="1">
        <v>8</v>
      </c>
      <c r="Y322" s="1">
        <v>2</v>
      </c>
    </row>
    <row r="323" spans="1:25" x14ac:dyDescent="0.3">
      <c r="A323" s="2">
        <v>43391</v>
      </c>
      <c r="B323" s="1">
        <v>3</v>
      </c>
      <c r="C323" s="1">
        <v>5</v>
      </c>
      <c r="D323" s="1">
        <v>2</v>
      </c>
      <c r="E323" s="1">
        <v>5</v>
      </c>
      <c r="F323" s="1">
        <v>2</v>
      </c>
      <c r="G323" s="1">
        <v>11</v>
      </c>
      <c r="H323" s="1">
        <v>18</v>
      </c>
      <c r="I323" s="1">
        <v>31</v>
      </c>
      <c r="J323" s="1">
        <v>29</v>
      </c>
      <c r="K323" s="1">
        <v>22</v>
      </c>
      <c r="L323" s="1">
        <v>23</v>
      </c>
      <c r="M323" s="1">
        <v>18</v>
      </c>
      <c r="N323" s="1">
        <v>15</v>
      </c>
      <c r="O323" s="1">
        <v>27</v>
      </c>
      <c r="P323" s="1">
        <v>22</v>
      </c>
      <c r="Q323" s="1">
        <v>32</v>
      </c>
      <c r="R323" s="1">
        <v>31</v>
      </c>
      <c r="S323" s="1">
        <v>28</v>
      </c>
      <c r="T323" s="1">
        <v>22</v>
      </c>
      <c r="U323" s="1">
        <v>14</v>
      </c>
      <c r="V323" s="1">
        <v>13</v>
      </c>
      <c r="W323" s="1">
        <v>10</v>
      </c>
      <c r="X323" s="1">
        <v>13</v>
      </c>
      <c r="Y323" s="1">
        <v>12</v>
      </c>
    </row>
    <row r="324" spans="1:25" x14ac:dyDescent="0.3">
      <c r="A324" s="2">
        <v>43392</v>
      </c>
      <c r="B324" s="1">
        <v>11</v>
      </c>
      <c r="C324" s="1">
        <v>9</v>
      </c>
      <c r="D324" s="1">
        <v>2</v>
      </c>
      <c r="E324" s="1">
        <v>4</v>
      </c>
      <c r="F324" s="1">
        <v>5</v>
      </c>
      <c r="G324" s="1">
        <v>8</v>
      </c>
      <c r="H324" s="1">
        <v>9</v>
      </c>
      <c r="I324" s="1">
        <v>19</v>
      </c>
      <c r="J324" s="1">
        <v>24</v>
      </c>
      <c r="K324" s="1">
        <v>18</v>
      </c>
      <c r="L324" s="1">
        <v>17</v>
      </c>
      <c r="M324" s="1">
        <v>21</v>
      </c>
      <c r="N324" s="1">
        <v>25</v>
      </c>
      <c r="O324" s="1">
        <v>26</v>
      </c>
      <c r="P324" s="1">
        <v>13</v>
      </c>
      <c r="Q324" s="1">
        <v>31</v>
      </c>
      <c r="R324" s="1">
        <v>30</v>
      </c>
      <c r="S324" s="1">
        <v>23</v>
      </c>
      <c r="T324" s="1">
        <v>24</v>
      </c>
      <c r="U324" s="1">
        <v>21</v>
      </c>
      <c r="V324" s="1">
        <v>15</v>
      </c>
      <c r="W324" s="1">
        <v>18</v>
      </c>
      <c r="X324" s="1">
        <v>7</v>
      </c>
      <c r="Y324" s="1">
        <v>7</v>
      </c>
    </row>
    <row r="325" spans="1:25" x14ac:dyDescent="0.3">
      <c r="A325" s="2">
        <v>43393</v>
      </c>
      <c r="B325" s="1">
        <v>13</v>
      </c>
      <c r="C325" s="1">
        <v>9</v>
      </c>
      <c r="D325" s="1">
        <v>8</v>
      </c>
      <c r="E325" s="1">
        <v>6</v>
      </c>
      <c r="F325" s="1">
        <v>2</v>
      </c>
      <c r="G325" s="1">
        <v>2</v>
      </c>
      <c r="H325" s="1">
        <v>19</v>
      </c>
      <c r="I325" s="1">
        <v>6</v>
      </c>
      <c r="J325" s="1">
        <v>25</v>
      </c>
      <c r="K325" s="1">
        <v>21</v>
      </c>
      <c r="L325" s="1">
        <v>13</v>
      </c>
      <c r="M325" s="1">
        <v>33</v>
      </c>
      <c r="N325" s="1">
        <v>30</v>
      </c>
      <c r="O325" s="1">
        <v>28</v>
      </c>
      <c r="P325" s="1">
        <v>16</v>
      </c>
      <c r="Q325" s="1">
        <v>26</v>
      </c>
      <c r="R325" s="1">
        <v>23</v>
      </c>
      <c r="S325" s="1">
        <v>16</v>
      </c>
      <c r="T325" s="1">
        <v>29</v>
      </c>
      <c r="U325" s="1">
        <v>19</v>
      </c>
      <c r="V325" s="1">
        <v>15</v>
      </c>
      <c r="W325" s="1">
        <v>22</v>
      </c>
      <c r="X325" s="1">
        <v>33</v>
      </c>
      <c r="Y325" s="1">
        <v>20</v>
      </c>
    </row>
    <row r="326" spans="1:25" x14ac:dyDescent="0.3">
      <c r="A326" s="2">
        <v>43394</v>
      </c>
      <c r="B326" s="1">
        <v>3</v>
      </c>
      <c r="C326" s="1">
        <v>7</v>
      </c>
      <c r="D326" s="1">
        <v>6</v>
      </c>
      <c r="E326" s="1">
        <v>6</v>
      </c>
      <c r="F326" s="1">
        <v>5</v>
      </c>
      <c r="G326" s="1">
        <v>11</v>
      </c>
      <c r="H326" s="1">
        <v>6</v>
      </c>
      <c r="I326" s="1">
        <v>12</v>
      </c>
      <c r="J326" s="1">
        <v>20</v>
      </c>
      <c r="K326" s="1">
        <v>15</v>
      </c>
      <c r="L326" s="1">
        <v>25</v>
      </c>
      <c r="M326" s="1">
        <v>32</v>
      </c>
      <c r="N326" s="1">
        <v>22</v>
      </c>
      <c r="O326" s="1">
        <v>18</v>
      </c>
      <c r="P326" s="1">
        <v>17</v>
      </c>
      <c r="Q326" s="1">
        <v>18</v>
      </c>
      <c r="R326" s="1">
        <v>15</v>
      </c>
      <c r="S326" s="1">
        <v>13</v>
      </c>
      <c r="T326" s="1">
        <v>21</v>
      </c>
      <c r="U326" s="1">
        <v>13</v>
      </c>
      <c r="V326" s="1">
        <v>19</v>
      </c>
      <c r="W326" s="1">
        <v>10</v>
      </c>
      <c r="X326" s="1">
        <v>6</v>
      </c>
      <c r="Y326" s="1">
        <v>8</v>
      </c>
    </row>
    <row r="327" spans="1:25" x14ac:dyDescent="0.3">
      <c r="A327" s="2">
        <v>43395</v>
      </c>
      <c r="B327" s="1">
        <v>10</v>
      </c>
      <c r="C327" s="1">
        <v>3</v>
      </c>
      <c r="D327" s="1">
        <v>6</v>
      </c>
      <c r="E327" s="1">
        <v>10</v>
      </c>
      <c r="F327" s="1">
        <v>4</v>
      </c>
      <c r="G327" s="1">
        <v>9</v>
      </c>
      <c r="H327" s="1">
        <v>14</v>
      </c>
      <c r="I327" s="1">
        <v>21</v>
      </c>
      <c r="J327" s="1">
        <v>26</v>
      </c>
      <c r="K327" s="1">
        <v>32</v>
      </c>
      <c r="L327" s="1">
        <v>27</v>
      </c>
      <c r="M327" s="1">
        <v>16</v>
      </c>
      <c r="N327" s="1">
        <v>20</v>
      </c>
      <c r="O327" s="1">
        <v>16</v>
      </c>
      <c r="P327" s="1">
        <v>22</v>
      </c>
      <c r="Q327" s="1">
        <v>28</v>
      </c>
      <c r="R327" s="1">
        <v>28</v>
      </c>
      <c r="S327" s="1">
        <v>21</v>
      </c>
      <c r="T327" s="1">
        <v>30</v>
      </c>
      <c r="U327" s="1">
        <v>26</v>
      </c>
      <c r="V327" s="1">
        <v>20</v>
      </c>
      <c r="W327" s="1">
        <v>11</v>
      </c>
      <c r="X327" s="1">
        <v>11</v>
      </c>
      <c r="Y327" s="1">
        <v>6</v>
      </c>
    </row>
    <row r="328" spans="1:25" x14ac:dyDescent="0.3">
      <c r="A328" s="2">
        <v>43396</v>
      </c>
      <c r="B328" s="1">
        <v>14</v>
      </c>
      <c r="C328" s="1">
        <v>8</v>
      </c>
      <c r="D328" s="1">
        <v>2</v>
      </c>
      <c r="E328" s="1">
        <v>6</v>
      </c>
      <c r="F328" s="1">
        <v>5</v>
      </c>
      <c r="G328" s="1">
        <v>6</v>
      </c>
      <c r="H328" s="1">
        <v>18</v>
      </c>
      <c r="I328" s="1">
        <v>19</v>
      </c>
      <c r="J328" s="1">
        <v>28</v>
      </c>
      <c r="K328" s="1">
        <v>23</v>
      </c>
      <c r="L328" s="1">
        <v>13</v>
      </c>
      <c r="M328" s="1">
        <v>22</v>
      </c>
      <c r="N328" s="1">
        <v>32</v>
      </c>
      <c r="O328" s="1">
        <v>22</v>
      </c>
      <c r="P328" s="1">
        <v>28</v>
      </c>
      <c r="Q328" s="1">
        <v>24</v>
      </c>
      <c r="R328" s="1">
        <v>33</v>
      </c>
      <c r="S328" s="1">
        <v>31</v>
      </c>
      <c r="T328" s="1">
        <v>23</v>
      </c>
      <c r="U328" s="1">
        <v>23</v>
      </c>
      <c r="V328" s="1">
        <v>18</v>
      </c>
      <c r="W328" s="1">
        <v>17</v>
      </c>
      <c r="X328" s="1">
        <v>3</v>
      </c>
      <c r="Y328" s="1">
        <v>11</v>
      </c>
    </row>
    <row r="329" spans="1:25" x14ac:dyDescent="0.3">
      <c r="A329" s="2">
        <v>43397</v>
      </c>
      <c r="B329" s="1">
        <v>6</v>
      </c>
      <c r="C329" s="1">
        <v>4</v>
      </c>
      <c r="D329" s="1">
        <v>6</v>
      </c>
      <c r="E329" s="1">
        <v>5</v>
      </c>
      <c r="F329" s="1">
        <v>1</v>
      </c>
      <c r="G329" s="1">
        <v>7</v>
      </c>
      <c r="H329" s="1">
        <v>9</v>
      </c>
      <c r="I329" s="1">
        <v>24</v>
      </c>
      <c r="J329" s="1">
        <v>34</v>
      </c>
      <c r="K329" s="1">
        <v>15</v>
      </c>
      <c r="L329" s="1">
        <v>21</v>
      </c>
      <c r="M329" s="1">
        <v>25</v>
      </c>
      <c r="N329" s="1">
        <v>25</v>
      </c>
      <c r="O329" s="1">
        <v>31</v>
      </c>
      <c r="P329" s="1">
        <v>21</v>
      </c>
      <c r="Q329" s="1">
        <v>31</v>
      </c>
      <c r="R329" s="1">
        <v>22</v>
      </c>
      <c r="S329" s="1">
        <v>27</v>
      </c>
      <c r="T329" s="1">
        <v>24</v>
      </c>
      <c r="U329" s="1">
        <v>19</v>
      </c>
      <c r="V329" s="1">
        <v>20</v>
      </c>
      <c r="W329" s="1">
        <v>10</v>
      </c>
      <c r="X329" s="1">
        <v>7</v>
      </c>
      <c r="Y329" s="1">
        <v>12</v>
      </c>
    </row>
    <row r="330" spans="1:25" x14ac:dyDescent="0.3">
      <c r="A330" s="2">
        <v>43398</v>
      </c>
      <c r="B330" s="1">
        <v>7</v>
      </c>
      <c r="C330" s="1">
        <v>4</v>
      </c>
      <c r="D330" s="1">
        <v>3</v>
      </c>
      <c r="E330" s="1">
        <v>4</v>
      </c>
      <c r="F330" s="1">
        <v>6</v>
      </c>
      <c r="G330" s="1">
        <v>7</v>
      </c>
      <c r="H330" s="1">
        <v>19</v>
      </c>
      <c r="I330" s="1">
        <v>25</v>
      </c>
      <c r="J330" s="1">
        <v>35</v>
      </c>
      <c r="K330" s="1">
        <v>18</v>
      </c>
      <c r="L330" s="1">
        <v>36</v>
      </c>
      <c r="M330" s="1">
        <v>19</v>
      </c>
      <c r="N330" s="1">
        <v>24</v>
      </c>
      <c r="O330" s="1">
        <v>23</v>
      </c>
      <c r="P330" s="1">
        <v>29</v>
      </c>
      <c r="Q330" s="1">
        <v>14</v>
      </c>
      <c r="R330" s="1">
        <v>39</v>
      </c>
      <c r="S330" s="1">
        <v>30</v>
      </c>
      <c r="T330" s="1">
        <v>25</v>
      </c>
      <c r="U330" s="1">
        <v>26</v>
      </c>
      <c r="V330" s="1">
        <v>11</v>
      </c>
      <c r="W330" s="1">
        <v>11</v>
      </c>
      <c r="X330" s="1">
        <v>8</v>
      </c>
      <c r="Y330" s="1">
        <v>11</v>
      </c>
    </row>
    <row r="331" spans="1:25" x14ac:dyDescent="0.3">
      <c r="A331" s="2">
        <v>43399</v>
      </c>
      <c r="B331" s="1">
        <v>11</v>
      </c>
      <c r="C331" s="1">
        <v>9</v>
      </c>
      <c r="D331" s="1">
        <v>10</v>
      </c>
      <c r="E331" s="1">
        <v>7</v>
      </c>
      <c r="F331" s="1">
        <v>3</v>
      </c>
      <c r="G331" s="1">
        <v>12</v>
      </c>
      <c r="H331" s="1">
        <v>13</v>
      </c>
      <c r="I331" s="1">
        <v>17</v>
      </c>
      <c r="J331" s="1">
        <v>13</v>
      </c>
      <c r="K331" s="1">
        <v>25</v>
      </c>
      <c r="L331" s="1">
        <v>27</v>
      </c>
      <c r="M331" s="1">
        <v>21</v>
      </c>
      <c r="N331" s="1">
        <v>20</v>
      </c>
      <c r="O331" s="1">
        <v>20</v>
      </c>
      <c r="P331" s="1">
        <v>28</v>
      </c>
      <c r="Q331" s="1">
        <v>33</v>
      </c>
      <c r="R331" s="1">
        <v>26</v>
      </c>
      <c r="S331" s="1">
        <v>21</v>
      </c>
      <c r="T331" s="1">
        <v>24</v>
      </c>
      <c r="U331" s="1">
        <v>28</v>
      </c>
      <c r="V331" s="1">
        <v>18</v>
      </c>
      <c r="W331" s="1">
        <v>23</v>
      </c>
      <c r="X331" s="1">
        <v>14</v>
      </c>
      <c r="Y331" s="1">
        <v>23</v>
      </c>
    </row>
    <row r="332" spans="1:25" x14ac:dyDescent="0.3">
      <c r="A332" s="2">
        <v>43400</v>
      </c>
      <c r="B332" s="1">
        <v>14</v>
      </c>
      <c r="C332" s="1">
        <v>9</v>
      </c>
      <c r="D332" s="1">
        <v>22</v>
      </c>
      <c r="E332" s="1">
        <v>5</v>
      </c>
      <c r="F332" s="1">
        <v>11</v>
      </c>
      <c r="G332" s="1">
        <v>2</v>
      </c>
      <c r="H332" s="1">
        <v>16</v>
      </c>
      <c r="I332" s="1">
        <v>16</v>
      </c>
      <c r="J332" s="1">
        <v>20</v>
      </c>
      <c r="K332" s="1">
        <v>24</v>
      </c>
      <c r="L332" s="1">
        <v>32</v>
      </c>
      <c r="M332" s="1">
        <v>19</v>
      </c>
      <c r="N332" s="1">
        <v>33</v>
      </c>
      <c r="O332" s="1">
        <v>30</v>
      </c>
      <c r="P332" s="1">
        <v>17</v>
      </c>
      <c r="Q332" s="1">
        <v>22</v>
      </c>
      <c r="R332" s="1">
        <v>24</v>
      </c>
      <c r="S332" s="1">
        <v>32</v>
      </c>
      <c r="T332" s="1">
        <v>22</v>
      </c>
      <c r="U332" s="1">
        <v>32</v>
      </c>
      <c r="V332" s="1">
        <v>19</v>
      </c>
      <c r="W332" s="1">
        <v>17</v>
      </c>
      <c r="X332" s="1">
        <v>14</v>
      </c>
      <c r="Y332" s="1">
        <v>12</v>
      </c>
    </row>
    <row r="333" spans="1:25" x14ac:dyDescent="0.3">
      <c r="A333" s="2">
        <v>43401</v>
      </c>
      <c r="B333" s="1">
        <v>9</v>
      </c>
      <c r="C333" s="1">
        <v>9</v>
      </c>
      <c r="D333" s="1">
        <v>11</v>
      </c>
      <c r="E333" s="1">
        <v>4</v>
      </c>
      <c r="F333" s="1">
        <v>7</v>
      </c>
      <c r="G333" s="1">
        <v>9</v>
      </c>
      <c r="H333" s="1">
        <v>2</v>
      </c>
      <c r="I333" s="1">
        <v>3</v>
      </c>
      <c r="J333" s="1">
        <v>14</v>
      </c>
      <c r="K333" s="1">
        <v>15</v>
      </c>
      <c r="L333" s="1">
        <v>12</v>
      </c>
      <c r="M333" s="1">
        <v>20</v>
      </c>
      <c r="N333" s="1">
        <v>18</v>
      </c>
      <c r="O333" s="1">
        <v>17</v>
      </c>
      <c r="P333" s="1">
        <v>11</v>
      </c>
      <c r="Q333" s="1">
        <v>20</v>
      </c>
      <c r="R333" s="1">
        <v>23</v>
      </c>
      <c r="S333" s="1">
        <v>18</v>
      </c>
      <c r="T333" s="1">
        <v>24</v>
      </c>
      <c r="U333" s="1">
        <v>11</v>
      </c>
      <c r="V333" s="1">
        <v>32</v>
      </c>
      <c r="W333" s="1">
        <v>15</v>
      </c>
      <c r="X333" s="1">
        <v>10</v>
      </c>
      <c r="Y333" s="1">
        <v>7</v>
      </c>
    </row>
    <row r="334" spans="1:25" x14ac:dyDescent="0.3">
      <c r="A334" s="2">
        <v>43402</v>
      </c>
      <c r="B334" s="1">
        <v>5</v>
      </c>
      <c r="C334" s="1">
        <v>3</v>
      </c>
      <c r="D334" s="1">
        <v>3</v>
      </c>
      <c r="E334" s="1">
        <v>10</v>
      </c>
      <c r="F334" s="1">
        <v>4</v>
      </c>
      <c r="G334" s="1">
        <v>7</v>
      </c>
      <c r="H334" s="1">
        <v>15</v>
      </c>
      <c r="I334" s="1">
        <v>24</v>
      </c>
      <c r="J334" s="1">
        <v>43</v>
      </c>
      <c r="K334" s="1">
        <v>34</v>
      </c>
      <c r="L334" s="1">
        <v>25</v>
      </c>
      <c r="M334" s="1">
        <v>21</v>
      </c>
      <c r="N334" s="1">
        <v>16</v>
      </c>
      <c r="O334" s="1">
        <v>19</v>
      </c>
      <c r="P334" s="1">
        <v>25</v>
      </c>
      <c r="Q334" s="1">
        <v>21</v>
      </c>
      <c r="R334" s="1">
        <v>33</v>
      </c>
      <c r="S334" s="1">
        <v>35</v>
      </c>
      <c r="T334" s="1">
        <v>34</v>
      </c>
      <c r="U334" s="1">
        <v>22</v>
      </c>
      <c r="V334" s="1">
        <v>12</v>
      </c>
      <c r="W334" s="1">
        <v>8</v>
      </c>
      <c r="X334" s="1">
        <v>8</v>
      </c>
      <c r="Y334" s="1">
        <v>10</v>
      </c>
    </row>
    <row r="335" spans="1:25" x14ac:dyDescent="0.3">
      <c r="A335" s="2">
        <v>43403</v>
      </c>
      <c r="B335" s="1">
        <v>9</v>
      </c>
      <c r="C335" s="1">
        <v>7</v>
      </c>
      <c r="D335" s="1">
        <v>8</v>
      </c>
      <c r="E335" s="1">
        <v>5</v>
      </c>
      <c r="F335" s="1">
        <v>7</v>
      </c>
      <c r="G335" s="1">
        <v>5</v>
      </c>
      <c r="H335" s="1">
        <v>13</v>
      </c>
      <c r="I335" s="1">
        <v>23</v>
      </c>
      <c r="J335" s="1">
        <v>25</v>
      </c>
      <c r="K335" s="1">
        <v>20</v>
      </c>
      <c r="L335" s="1">
        <v>23</v>
      </c>
      <c r="M335" s="1">
        <v>25</v>
      </c>
      <c r="N335" s="1">
        <v>19</v>
      </c>
      <c r="O335" s="1">
        <v>28</v>
      </c>
      <c r="P335" s="1">
        <v>33</v>
      </c>
      <c r="Q335" s="1">
        <v>26</v>
      </c>
      <c r="R335" s="1">
        <v>26</v>
      </c>
      <c r="S335" s="1">
        <v>34</v>
      </c>
      <c r="T335" s="1">
        <v>22</v>
      </c>
      <c r="U335" s="1">
        <v>15</v>
      </c>
      <c r="V335" s="1">
        <v>33</v>
      </c>
      <c r="W335" s="1">
        <v>18</v>
      </c>
      <c r="X335" s="1">
        <v>4</v>
      </c>
      <c r="Y335" s="1">
        <v>10</v>
      </c>
    </row>
    <row r="336" spans="1:25" x14ac:dyDescent="0.3">
      <c r="A336" s="2">
        <v>43404</v>
      </c>
      <c r="B336" s="1">
        <v>6</v>
      </c>
      <c r="C336" s="1">
        <v>7</v>
      </c>
      <c r="D336" s="1">
        <v>8</v>
      </c>
      <c r="E336" s="1">
        <v>2</v>
      </c>
      <c r="F336" s="1">
        <v>4</v>
      </c>
      <c r="G336" s="1">
        <v>10</v>
      </c>
      <c r="H336" s="1">
        <v>19</v>
      </c>
      <c r="I336" s="1">
        <v>31</v>
      </c>
      <c r="J336" s="1">
        <v>16</v>
      </c>
      <c r="K336" s="1">
        <v>25</v>
      </c>
      <c r="L336" s="1">
        <v>26</v>
      </c>
      <c r="M336" s="1">
        <v>24</v>
      </c>
      <c r="N336" s="1">
        <v>18</v>
      </c>
      <c r="O336" s="1">
        <v>30</v>
      </c>
      <c r="P336" s="1">
        <v>40</v>
      </c>
      <c r="Q336" s="1">
        <v>33</v>
      </c>
      <c r="R336" s="1">
        <v>44</v>
      </c>
      <c r="S336" s="1">
        <v>40</v>
      </c>
      <c r="T336" s="1">
        <v>22</v>
      </c>
      <c r="U336" s="1">
        <v>21</v>
      </c>
      <c r="V336" s="1">
        <v>16</v>
      </c>
      <c r="W336" s="1">
        <v>14</v>
      </c>
      <c r="X336" s="1">
        <v>14</v>
      </c>
      <c r="Y336" s="1">
        <v>11</v>
      </c>
    </row>
    <row r="337" spans="1:25" x14ac:dyDescent="0.3">
      <c r="A337" s="2">
        <v>43405</v>
      </c>
      <c r="B337" s="1">
        <v>4</v>
      </c>
      <c r="C337" s="1">
        <v>7</v>
      </c>
      <c r="D337" s="1">
        <v>2</v>
      </c>
      <c r="E337" s="1">
        <v>4</v>
      </c>
      <c r="F337" s="1">
        <v>6</v>
      </c>
      <c r="G337" s="1">
        <v>2</v>
      </c>
      <c r="H337" s="1">
        <v>14</v>
      </c>
      <c r="I337" s="1">
        <v>23</v>
      </c>
      <c r="J337" s="1">
        <v>33</v>
      </c>
      <c r="K337" s="1">
        <v>19</v>
      </c>
      <c r="L337" s="1">
        <v>18</v>
      </c>
      <c r="M337" s="1">
        <v>25</v>
      </c>
      <c r="N337" s="1">
        <v>15</v>
      </c>
      <c r="O337" s="1">
        <v>31</v>
      </c>
      <c r="P337" s="1">
        <v>23</v>
      </c>
      <c r="Q337" s="1">
        <v>26</v>
      </c>
      <c r="R337" s="1">
        <v>17</v>
      </c>
      <c r="S337" s="1">
        <v>24</v>
      </c>
      <c r="T337" s="1">
        <v>16</v>
      </c>
      <c r="U337" s="1">
        <v>14</v>
      </c>
      <c r="V337" s="1">
        <v>17</v>
      </c>
      <c r="W337" s="1">
        <v>16</v>
      </c>
      <c r="X337" s="1">
        <v>13</v>
      </c>
      <c r="Y337" s="1">
        <v>5</v>
      </c>
    </row>
    <row r="338" spans="1:25" x14ac:dyDescent="0.3">
      <c r="A338" s="2">
        <v>43406</v>
      </c>
      <c r="B338" s="1">
        <v>13</v>
      </c>
      <c r="C338" s="1">
        <v>10</v>
      </c>
      <c r="D338" s="1">
        <v>4</v>
      </c>
      <c r="E338" s="1">
        <v>1</v>
      </c>
      <c r="F338" s="1">
        <v>4</v>
      </c>
      <c r="G338" s="1">
        <v>6</v>
      </c>
      <c r="H338" s="1">
        <v>12</v>
      </c>
      <c r="I338" s="1">
        <v>28</v>
      </c>
      <c r="J338" s="1">
        <v>20</v>
      </c>
      <c r="K338" s="1">
        <v>27</v>
      </c>
      <c r="L338" s="1">
        <v>26</v>
      </c>
      <c r="M338" s="1">
        <v>18</v>
      </c>
      <c r="N338" s="1">
        <v>26</v>
      </c>
      <c r="O338" s="1">
        <v>26</v>
      </c>
      <c r="P338" s="1">
        <v>26</v>
      </c>
      <c r="Q338" s="1">
        <v>40</v>
      </c>
      <c r="R338" s="1">
        <v>23</v>
      </c>
      <c r="S338" s="1">
        <v>26</v>
      </c>
      <c r="T338" s="1">
        <v>29</v>
      </c>
      <c r="U338" s="1">
        <v>25</v>
      </c>
      <c r="V338" s="1">
        <v>17</v>
      </c>
      <c r="W338" s="1">
        <v>20</v>
      </c>
      <c r="X338" s="1">
        <v>32</v>
      </c>
      <c r="Y338" s="1">
        <v>75</v>
      </c>
    </row>
    <row r="339" spans="1:25" x14ac:dyDescent="0.3">
      <c r="A339" s="2">
        <v>43407</v>
      </c>
      <c r="B339" s="1">
        <v>63</v>
      </c>
      <c r="C339" s="1">
        <v>42</v>
      </c>
      <c r="D339" s="1">
        <v>25</v>
      </c>
      <c r="E339" s="1">
        <v>6</v>
      </c>
      <c r="F339" s="1">
        <v>15</v>
      </c>
      <c r="G339" s="1">
        <v>9</v>
      </c>
      <c r="H339" s="1">
        <v>14</v>
      </c>
      <c r="I339" s="1">
        <v>27</v>
      </c>
      <c r="J339" s="1">
        <v>34</v>
      </c>
      <c r="K339" s="1">
        <v>27</v>
      </c>
      <c r="L339" s="1">
        <v>29</v>
      </c>
      <c r="M339" s="1">
        <v>31</v>
      </c>
      <c r="N339" s="1">
        <v>39</v>
      </c>
      <c r="O339" s="1">
        <v>40</v>
      </c>
      <c r="P339" s="1">
        <v>29</v>
      </c>
      <c r="Q339" s="1">
        <v>30</v>
      </c>
      <c r="R339" s="1">
        <v>49</v>
      </c>
      <c r="S339" s="1">
        <v>27</v>
      </c>
      <c r="T339" s="1">
        <v>23</v>
      </c>
      <c r="U339" s="1">
        <v>24</v>
      </c>
      <c r="V339" s="1">
        <v>20</v>
      </c>
      <c r="W339" s="1">
        <v>18</v>
      </c>
      <c r="X339" s="1">
        <v>17</v>
      </c>
      <c r="Y339" s="1">
        <v>13</v>
      </c>
    </row>
    <row r="340" spans="1:25" x14ac:dyDescent="0.3">
      <c r="A340" s="2">
        <v>43408</v>
      </c>
      <c r="B340" s="1">
        <v>14</v>
      </c>
      <c r="C340" s="1">
        <v>1</v>
      </c>
      <c r="D340" s="1">
        <v>1</v>
      </c>
      <c r="E340" s="1">
        <v>13</v>
      </c>
      <c r="F340" s="1">
        <v>8</v>
      </c>
      <c r="G340" s="1">
        <v>3</v>
      </c>
      <c r="H340" s="1">
        <v>7</v>
      </c>
      <c r="I340" s="1">
        <v>16</v>
      </c>
      <c r="J340" s="1">
        <v>11</v>
      </c>
      <c r="K340" s="1">
        <v>16</v>
      </c>
      <c r="L340" s="1">
        <v>16</v>
      </c>
      <c r="M340" s="1">
        <v>17</v>
      </c>
      <c r="N340" s="1">
        <v>17</v>
      </c>
      <c r="O340" s="1">
        <v>8</v>
      </c>
      <c r="P340" s="1">
        <v>24</v>
      </c>
      <c r="Q340" s="1">
        <v>18</v>
      </c>
      <c r="R340" s="1">
        <v>19</v>
      </c>
      <c r="S340" s="1">
        <v>25</v>
      </c>
      <c r="T340" s="1">
        <v>19</v>
      </c>
      <c r="U340" s="1">
        <v>15</v>
      </c>
      <c r="V340" s="1">
        <v>21</v>
      </c>
      <c r="W340" s="1">
        <v>9</v>
      </c>
      <c r="X340" s="1">
        <v>18</v>
      </c>
      <c r="Y340" s="1">
        <v>7</v>
      </c>
    </row>
    <row r="341" spans="1:25" x14ac:dyDescent="0.3">
      <c r="A341" s="2">
        <v>43409</v>
      </c>
      <c r="B341" s="1">
        <v>9</v>
      </c>
      <c r="C341" s="1">
        <v>5</v>
      </c>
      <c r="D341" s="1">
        <v>13</v>
      </c>
      <c r="E341" s="1">
        <v>4</v>
      </c>
      <c r="F341" s="1">
        <v>8</v>
      </c>
      <c r="G341" s="1">
        <v>7</v>
      </c>
      <c r="H341" s="1">
        <v>12</v>
      </c>
      <c r="I341" s="1">
        <v>18</v>
      </c>
      <c r="J341" s="1">
        <v>28</v>
      </c>
      <c r="K341" s="1">
        <v>18</v>
      </c>
      <c r="L341" s="1">
        <v>20</v>
      </c>
      <c r="M341" s="1">
        <v>19</v>
      </c>
      <c r="N341" s="1">
        <v>31</v>
      </c>
      <c r="O341" s="1">
        <v>28</v>
      </c>
      <c r="P341" s="1">
        <v>21</v>
      </c>
      <c r="Q341" s="1">
        <v>33</v>
      </c>
      <c r="R341" s="1">
        <v>28</v>
      </c>
      <c r="S341" s="1">
        <v>45</v>
      </c>
      <c r="T341" s="1">
        <v>35</v>
      </c>
      <c r="U341" s="1">
        <v>17</v>
      </c>
      <c r="V341" s="1">
        <v>14</v>
      </c>
      <c r="W341" s="1">
        <v>24</v>
      </c>
      <c r="X341" s="1">
        <v>13</v>
      </c>
      <c r="Y341" s="1">
        <v>7</v>
      </c>
    </row>
    <row r="342" spans="1:25" x14ac:dyDescent="0.3">
      <c r="A342" s="2">
        <v>43410</v>
      </c>
      <c r="B342" s="1">
        <v>5</v>
      </c>
      <c r="C342" s="1">
        <v>2</v>
      </c>
      <c r="D342" s="1">
        <v>6</v>
      </c>
      <c r="E342" s="1">
        <v>3</v>
      </c>
      <c r="F342" s="1">
        <v>6</v>
      </c>
      <c r="G342" s="1">
        <v>14</v>
      </c>
      <c r="H342" s="1">
        <v>10</v>
      </c>
      <c r="I342" s="1">
        <v>26</v>
      </c>
      <c r="J342" s="1">
        <v>27</v>
      </c>
      <c r="K342" s="1">
        <v>34</v>
      </c>
      <c r="L342" s="1">
        <v>24</v>
      </c>
      <c r="M342" s="1">
        <v>30</v>
      </c>
      <c r="N342" s="1">
        <v>47</v>
      </c>
      <c r="O342" s="1">
        <v>34</v>
      </c>
      <c r="P342" s="1">
        <v>31</v>
      </c>
      <c r="Q342" s="1">
        <v>42</v>
      </c>
      <c r="R342" s="1">
        <v>29</v>
      </c>
      <c r="S342" s="1">
        <v>39</v>
      </c>
      <c r="T342" s="1">
        <v>26</v>
      </c>
      <c r="U342" s="1">
        <v>14</v>
      </c>
      <c r="V342" s="1">
        <v>21</v>
      </c>
      <c r="W342" s="1">
        <v>12</v>
      </c>
      <c r="X342" s="1">
        <v>6</v>
      </c>
      <c r="Y342" s="1">
        <v>7</v>
      </c>
    </row>
    <row r="343" spans="1:25" x14ac:dyDescent="0.3">
      <c r="A343" s="2">
        <v>43411</v>
      </c>
      <c r="B343" s="1">
        <v>5</v>
      </c>
      <c r="C343" s="1">
        <v>6</v>
      </c>
      <c r="D343" s="1">
        <v>4</v>
      </c>
      <c r="E343" s="1">
        <v>3</v>
      </c>
      <c r="F343" s="1">
        <v>4</v>
      </c>
      <c r="G343" s="1">
        <v>12</v>
      </c>
      <c r="H343" s="1">
        <v>10</v>
      </c>
      <c r="I343" s="1">
        <v>22</v>
      </c>
      <c r="J343" s="1">
        <v>35</v>
      </c>
      <c r="K343" s="1">
        <v>27</v>
      </c>
      <c r="L343" s="1">
        <v>23</v>
      </c>
      <c r="M343" s="1">
        <v>25</v>
      </c>
      <c r="N343" s="1">
        <v>23</v>
      </c>
      <c r="O343" s="1">
        <v>26</v>
      </c>
      <c r="P343" s="1">
        <v>31</v>
      </c>
      <c r="Q343" s="1">
        <v>21</v>
      </c>
      <c r="R343" s="1">
        <v>33</v>
      </c>
      <c r="S343" s="1">
        <v>42</v>
      </c>
      <c r="T343" s="1">
        <v>26</v>
      </c>
      <c r="U343" s="1">
        <v>21</v>
      </c>
      <c r="V343" s="1">
        <v>10</v>
      </c>
      <c r="W343" s="1">
        <v>18</v>
      </c>
      <c r="X343" s="1">
        <v>7</v>
      </c>
      <c r="Y343" s="1">
        <v>5</v>
      </c>
    </row>
    <row r="344" spans="1:25" x14ac:dyDescent="0.3">
      <c r="A344" s="2">
        <v>43412</v>
      </c>
      <c r="B344" s="1">
        <v>10</v>
      </c>
      <c r="C344" s="1">
        <v>4</v>
      </c>
      <c r="D344" s="1">
        <v>7</v>
      </c>
      <c r="E344" s="1">
        <v>8</v>
      </c>
      <c r="F344" s="1">
        <v>6</v>
      </c>
      <c r="G344" s="1">
        <v>8</v>
      </c>
      <c r="H344" s="1">
        <v>19</v>
      </c>
      <c r="I344" s="1">
        <v>16</v>
      </c>
      <c r="J344" s="1">
        <v>38</v>
      </c>
      <c r="K344" s="1">
        <v>20</v>
      </c>
      <c r="L344" s="1">
        <v>22</v>
      </c>
      <c r="M344" s="1">
        <v>39</v>
      </c>
      <c r="N344" s="1">
        <v>17</v>
      </c>
      <c r="O344" s="1">
        <v>19</v>
      </c>
      <c r="P344" s="1">
        <v>26</v>
      </c>
      <c r="Q344" s="1">
        <v>27</v>
      </c>
      <c r="R344" s="1">
        <v>25</v>
      </c>
      <c r="S344" s="1">
        <v>36</v>
      </c>
      <c r="T344" s="1">
        <v>46</v>
      </c>
      <c r="U344" s="1">
        <v>13</v>
      </c>
      <c r="V344" s="1">
        <v>13</v>
      </c>
      <c r="W344" s="1">
        <v>22</v>
      </c>
      <c r="X344" s="1">
        <v>13</v>
      </c>
      <c r="Y344" s="1">
        <v>10</v>
      </c>
    </row>
    <row r="345" spans="1:25" x14ac:dyDescent="0.3">
      <c r="A345" s="2">
        <v>43413</v>
      </c>
      <c r="B345" s="1">
        <v>6</v>
      </c>
      <c r="C345" s="1">
        <v>10</v>
      </c>
      <c r="D345" s="1">
        <v>8</v>
      </c>
      <c r="E345" s="1">
        <v>6</v>
      </c>
      <c r="F345" s="1">
        <v>6</v>
      </c>
      <c r="G345" s="1">
        <v>9</v>
      </c>
      <c r="H345" s="1">
        <v>13</v>
      </c>
      <c r="I345" s="1">
        <v>13</v>
      </c>
      <c r="J345" s="1">
        <v>20</v>
      </c>
      <c r="K345" s="1">
        <v>18</v>
      </c>
      <c r="L345" s="1">
        <v>19</v>
      </c>
      <c r="M345" s="1">
        <v>20</v>
      </c>
      <c r="N345" s="1">
        <v>25</v>
      </c>
      <c r="O345" s="1">
        <v>22</v>
      </c>
      <c r="P345" s="1">
        <v>31</v>
      </c>
      <c r="Q345" s="1">
        <v>35</v>
      </c>
      <c r="R345" s="1">
        <v>32</v>
      </c>
      <c r="S345" s="1">
        <v>36</v>
      </c>
      <c r="T345" s="1">
        <v>36</v>
      </c>
      <c r="U345" s="1">
        <v>26</v>
      </c>
      <c r="V345" s="1">
        <v>23</v>
      </c>
      <c r="W345" s="1">
        <v>15</v>
      </c>
      <c r="X345" s="1">
        <v>15</v>
      </c>
      <c r="Y345" s="1">
        <v>14</v>
      </c>
    </row>
    <row r="346" spans="1:25" x14ac:dyDescent="0.3">
      <c r="A346" s="2">
        <v>43414</v>
      </c>
      <c r="B346" s="1">
        <v>5</v>
      </c>
      <c r="C346" s="1">
        <v>7</v>
      </c>
      <c r="D346" s="1">
        <v>12</v>
      </c>
      <c r="E346" s="1">
        <v>9</v>
      </c>
      <c r="F346" s="1">
        <v>5</v>
      </c>
      <c r="G346" s="1">
        <v>6</v>
      </c>
      <c r="H346" s="1">
        <v>7</v>
      </c>
      <c r="I346" s="1">
        <v>8</v>
      </c>
      <c r="J346" s="1">
        <v>24</v>
      </c>
      <c r="K346" s="1">
        <v>23</v>
      </c>
      <c r="L346" s="1">
        <v>26</v>
      </c>
      <c r="M346" s="1">
        <v>15</v>
      </c>
      <c r="N346" s="1">
        <v>22</v>
      </c>
      <c r="O346" s="1">
        <v>24</v>
      </c>
      <c r="P346" s="1">
        <v>41</v>
      </c>
      <c r="Q346" s="1">
        <v>19</v>
      </c>
      <c r="R346" s="1">
        <v>26</v>
      </c>
      <c r="S346" s="1">
        <v>23</v>
      </c>
      <c r="T346" s="1">
        <v>33</v>
      </c>
      <c r="U346" s="1">
        <v>22</v>
      </c>
      <c r="V346" s="1">
        <v>18</v>
      </c>
      <c r="W346" s="1">
        <v>16</v>
      </c>
      <c r="X346" s="1">
        <v>19</v>
      </c>
      <c r="Y346" s="1">
        <v>10</v>
      </c>
    </row>
    <row r="347" spans="1:25" x14ac:dyDescent="0.3">
      <c r="A347" s="2">
        <v>43415</v>
      </c>
      <c r="B347" s="1">
        <v>10</v>
      </c>
      <c r="C347" s="1">
        <v>8</v>
      </c>
      <c r="D347" s="1">
        <v>4</v>
      </c>
      <c r="E347" s="1">
        <v>5</v>
      </c>
      <c r="F347" s="1">
        <v>4</v>
      </c>
      <c r="G347" s="1">
        <v>7</v>
      </c>
      <c r="H347" s="1">
        <v>6</v>
      </c>
      <c r="I347" s="1">
        <v>10</v>
      </c>
      <c r="J347" s="1">
        <v>10</v>
      </c>
      <c r="K347" s="1">
        <v>16</v>
      </c>
      <c r="L347" s="1">
        <v>18</v>
      </c>
      <c r="M347" s="1">
        <v>13</v>
      </c>
      <c r="N347" s="1">
        <v>17</v>
      </c>
      <c r="O347" s="1">
        <v>16</v>
      </c>
      <c r="P347" s="1">
        <v>24</v>
      </c>
      <c r="Q347" s="1">
        <v>10</v>
      </c>
      <c r="R347" s="1">
        <v>20</v>
      </c>
      <c r="S347" s="1">
        <v>21</v>
      </c>
      <c r="T347" s="1">
        <v>22</v>
      </c>
      <c r="U347" s="1">
        <v>14</v>
      </c>
      <c r="V347" s="1">
        <v>8</v>
      </c>
      <c r="W347" s="1">
        <v>8</v>
      </c>
      <c r="X347" s="1">
        <v>13</v>
      </c>
      <c r="Y347" s="1">
        <v>11</v>
      </c>
    </row>
    <row r="348" spans="1:25" x14ac:dyDescent="0.3">
      <c r="A348" s="2">
        <v>43416</v>
      </c>
      <c r="B348" s="1">
        <v>8</v>
      </c>
      <c r="C348" s="1">
        <v>6</v>
      </c>
      <c r="D348" s="1">
        <v>2</v>
      </c>
      <c r="E348" s="1">
        <v>11</v>
      </c>
      <c r="F348" s="1">
        <v>7</v>
      </c>
      <c r="G348" s="1">
        <v>9</v>
      </c>
      <c r="H348" s="1">
        <v>8</v>
      </c>
      <c r="I348" s="1">
        <v>19</v>
      </c>
      <c r="J348" s="1">
        <v>21</v>
      </c>
      <c r="K348" s="1">
        <v>16</v>
      </c>
      <c r="L348" s="1">
        <v>31</v>
      </c>
      <c r="M348" s="1">
        <v>36</v>
      </c>
      <c r="N348" s="1">
        <v>25</v>
      </c>
      <c r="O348" s="1">
        <v>21</v>
      </c>
      <c r="P348" s="1">
        <v>25</v>
      </c>
      <c r="Q348" s="1">
        <v>27</v>
      </c>
      <c r="R348" s="1">
        <v>33</v>
      </c>
      <c r="S348" s="1">
        <v>31</v>
      </c>
      <c r="T348" s="1">
        <v>21</v>
      </c>
      <c r="U348" s="1">
        <v>9</v>
      </c>
      <c r="V348" s="1">
        <v>17</v>
      </c>
      <c r="W348" s="1">
        <v>26</v>
      </c>
      <c r="X348" s="1">
        <v>15</v>
      </c>
      <c r="Y348" s="1">
        <v>14</v>
      </c>
    </row>
    <row r="349" spans="1:25" x14ac:dyDescent="0.3">
      <c r="A349" s="2">
        <v>43417</v>
      </c>
      <c r="B349" s="1">
        <v>4</v>
      </c>
      <c r="C349" s="1">
        <v>8</v>
      </c>
      <c r="D349" s="1">
        <v>11</v>
      </c>
      <c r="E349" s="1">
        <v>5</v>
      </c>
      <c r="F349" s="1">
        <v>4</v>
      </c>
      <c r="G349" s="1">
        <v>9</v>
      </c>
      <c r="H349" s="1">
        <v>15</v>
      </c>
      <c r="I349" s="1">
        <v>42</v>
      </c>
      <c r="J349" s="1">
        <v>41</v>
      </c>
      <c r="K349" s="1">
        <v>20</v>
      </c>
      <c r="L349" s="1">
        <v>20</v>
      </c>
      <c r="M349" s="1">
        <v>24</v>
      </c>
      <c r="N349" s="1">
        <v>18</v>
      </c>
      <c r="O349" s="1">
        <v>35</v>
      </c>
      <c r="P349" s="1">
        <v>24</v>
      </c>
      <c r="Q349" s="1">
        <v>31</v>
      </c>
      <c r="R349" s="1">
        <v>22</v>
      </c>
      <c r="S349" s="1">
        <v>32</v>
      </c>
      <c r="T349" s="1">
        <v>14</v>
      </c>
      <c r="U349" s="1">
        <v>24</v>
      </c>
      <c r="V349" s="1">
        <v>11</v>
      </c>
      <c r="W349" s="1">
        <v>10</v>
      </c>
      <c r="X349" s="1">
        <v>7</v>
      </c>
      <c r="Y349" s="1">
        <v>6</v>
      </c>
    </row>
    <row r="350" spans="1:25" x14ac:dyDescent="0.3">
      <c r="A350" s="2">
        <v>43418</v>
      </c>
      <c r="B350" s="1">
        <v>5</v>
      </c>
      <c r="C350" s="1">
        <v>8</v>
      </c>
      <c r="D350" s="1">
        <v>1</v>
      </c>
      <c r="E350" s="1">
        <v>4</v>
      </c>
      <c r="F350" s="1">
        <v>3</v>
      </c>
      <c r="G350" s="1">
        <v>4</v>
      </c>
      <c r="H350" s="1">
        <v>11</v>
      </c>
      <c r="I350" s="1">
        <v>24</v>
      </c>
      <c r="J350" s="1">
        <v>14</v>
      </c>
      <c r="K350" s="1">
        <v>18</v>
      </c>
      <c r="L350" s="1">
        <v>22</v>
      </c>
      <c r="M350" s="1">
        <v>40</v>
      </c>
      <c r="N350" s="1">
        <v>17</v>
      </c>
      <c r="O350" s="1">
        <v>19</v>
      </c>
      <c r="P350" s="1">
        <v>25</v>
      </c>
      <c r="Q350" s="1">
        <v>35</v>
      </c>
      <c r="R350" s="1">
        <v>21</v>
      </c>
      <c r="S350" s="1">
        <v>32</v>
      </c>
      <c r="T350" s="1">
        <v>26</v>
      </c>
      <c r="U350" s="1">
        <v>20</v>
      </c>
      <c r="V350" s="1">
        <v>13</v>
      </c>
      <c r="W350" s="1">
        <v>16</v>
      </c>
      <c r="X350" s="1">
        <v>9</v>
      </c>
      <c r="Y350" s="1">
        <v>14</v>
      </c>
    </row>
    <row r="351" spans="1:25" x14ac:dyDescent="0.3">
      <c r="A351" s="2">
        <v>43419</v>
      </c>
      <c r="B351" s="1">
        <v>8</v>
      </c>
      <c r="C351" s="1">
        <v>14</v>
      </c>
      <c r="D351" s="1">
        <v>5</v>
      </c>
      <c r="E351" s="1">
        <v>11</v>
      </c>
      <c r="F351" s="1">
        <v>6</v>
      </c>
      <c r="G351" s="1">
        <v>2</v>
      </c>
      <c r="H351" s="1">
        <v>10</v>
      </c>
      <c r="I351" s="1">
        <v>15</v>
      </c>
      <c r="J351" s="1">
        <v>14</v>
      </c>
      <c r="K351" s="1">
        <v>16</v>
      </c>
      <c r="L351" s="1">
        <v>30</v>
      </c>
      <c r="M351" s="1">
        <v>35</v>
      </c>
      <c r="N351" s="1">
        <v>223</v>
      </c>
      <c r="O351" s="1">
        <v>302</v>
      </c>
      <c r="P351" s="1">
        <v>223</v>
      </c>
      <c r="Q351" s="1">
        <v>180</v>
      </c>
      <c r="R351" s="1">
        <v>143</v>
      </c>
      <c r="S351" s="1">
        <v>145</v>
      </c>
      <c r="T351" s="1">
        <v>98</v>
      </c>
      <c r="U351" s="1">
        <v>73</v>
      </c>
      <c r="V351" s="1">
        <v>35</v>
      </c>
      <c r="W351" s="1">
        <v>21</v>
      </c>
      <c r="X351" s="1">
        <v>35</v>
      </c>
      <c r="Y351" s="1">
        <v>18</v>
      </c>
    </row>
    <row r="352" spans="1:25" x14ac:dyDescent="0.3">
      <c r="A352" s="2">
        <v>43420</v>
      </c>
      <c r="B352" s="1">
        <v>16</v>
      </c>
      <c r="C352" s="1">
        <v>7</v>
      </c>
      <c r="D352" s="1">
        <v>4</v>
      </c>
      <c r="E352" s="1">
        <v>4</v>
      </c>
      <c r="F352" s="1">
        <v>7</v>
      </c>
      <c r="G352" s="1">
        <v>20</v>
      </c>
      <c r="H352" s="1">
        <v>29</v>
      </c>
      <c r="I352" s="1">
        <v>25</v>
      </c>
      <c r="J352" s="1">
        <v>50</v>
      </c>
      <c r="K352" s="1">
        <v>43</v>
      </c>
      <c r="L352" s="1">
        <v>41</v>
      </c>
      <c r="M352" s="1">
        <v>25</v>
      </c>
      <c r="N352" s="1">
        <v>20</v>
      </c>
      <c r="O352" s="1">
        <v>12</v>
      </c>
      <c r="P352" s="1">
        <v>31</v>
      </c>
      <c r="Q352" s="1">
        <v>34</v>
      </c>
      <c r="R352" s="1">
        <v>39</v>
      </c>
      <c r="S352" s="1">
        <v>44</v>
      </c>
      <c r="T352" s="1">
        <v>26</v>
      </c>
      <c r="U352" s="1">
        <v>11</v>
      </c>
      <c r="V352" s="1">
        <v>19</v>
      </c>
      <c r="W352" s="1">
        <v>15</v>
      </c>
      <c r="X352" s="1">
        <v>14</v>
      </c>
      <c r="Y352" s="1">
        <v>8</v>
      </c>
    </row>
    <row r="353" spans="1:25" x14ac:dyDescent="0.3">
      <c r="A353" s="2">
        <v>43421</v>
      </c>
      <c r="B353" s="1">
        <v>3</v>
      </c>
      <c r="C353" s="1">
        <v>2</v>
      </c>
      <c r="D353" s="1">
        <v>14</v>
      </c>
      <c r="E353" s="1">
        <v>11</v>
      </c>
      <c r="F353" s="1">
        <v>7</v>
      </c>
      <c r="G353" s="1">
        <v>5</v>
      </c>
      <c r="H353" s="1">
        <v>2</v>
      </c>
      <c r="I353" s="1">
        <v>7</v>
      </c>
      <c r="J353" s="1">
        <v>12</v>
      </c>
      <c r="K353" s="1">
        <v>30</v>
      </c>
      <c r="L353" s="1">
        <v>18</v>
      </c>
      <c r="M353" s="1">
        <v>20</v>
      </c>
      <c r="N353" s="1">
        <v>16</v>
      </c>
      <c r="O353" s="1">
        <v>14</v>
      </c>
      <c r="P353" s="1">
        <v>18</v>
      </c>
      <c r="Q353" s="1">
        <v>24</v>
      </c>
      <c r="R353" s="1">
        <v>18</v>
      </c>
      <c r="S353" s="1">
        <v>14</v>
      </c>
      <c r="T353" s="1">
        <v>25</v>
      </c>
      <c r="U353" s="1">
        <v>16</v>
      </c>
      <c r="V353" s="1">
        <v>13</v>
      </c>
      <c r="W353" s="1">
        <v>13</v>
      </c>
      <c r="X353" s="1">
        <v>18</v>
      </c>
      <c r="Y353" s="1">
        <v>15</v>
      </c>
    </row>
    <row r="354" spans="1:25" x14ac:dyDescent="0.3">
      <c r="A354" s="2">
        <v>43422</v>
      </c>
      <c r="B354" s="1">
        <v>8</v>
      </c>
      <c r="C354" s="1">
        <v>7</v>
      </c>
      <c r="D354" s="1">
        <v>5</v>
      </c>
      <c r="E354" s="1">
        <v>7</v>
      </c>
      <c r="F354" s="1">
        <v>1</v>
      </c>
      <c r="G354" s="1">
        <v>3</v>
      </c>
      <c r="H354" s="1">
        <v>8</v>
      </c>
      <c r="I354" s="1">
        <v>13</v>
      </c>
      <c r="J354" s="1">
        <v>10</v>
      </c>
      <c r="K354" s="1">
        <v>22</v>
      </c>
      <c r="L354" s="1">
        <v>15</v>
      </c>
      <c r="M354" s="1">
        <v>15</v>
      </c>
      <c r="N354" s="1">
        <v>23</v>
      </c>
      <c r="O354" s="1">
        <v>18</v>
      </c>
      <c r="P354" s="1">
        <v>19</v>
      </c>
      <c r="Q354" s="1">
        <v>19</v>
      </c>
      <c r="R354" s="1">
        <v>12</v>
      </c>
      <c r="S354" s="1">
        <v>15</v>
      </c>
      <c r="T354" s="1">
        <v>13</v>
      </c>
      <c r="U354" s="1">
        <v>17</v>
      </c>
      <c r="V354" s="1">
        <v>20</v>
      </c>
      <c r="W354" s="1">
        <v>8</v>
      </c>
      <c r="X354" s="1">
        <v>14</v>
      </c>
      <c r="Y354" s="1">
        <v>7</v>
      </c>
    </row>
    <row r="355" spans="1:25" x14ac:dyDescent="0.3">
      <c r="A355" s="2">
        <v>43423</v>
      </c>
      <c r="B355" s="1">
        <v>13</v>
      </c>
      <c r="C355" s="1">
        <v>6</v>
      </c>
      <c r="D355" s="1">
        <v>7</v>
      </c>
      <c r="E355" s="1">
        <v>1</v>
      </c>
      <c r="F355" s="1">
        <v>9</v>
      </c>
      <c r="G355" s="1">
        <v>7</v>
      </c>
      <c r="H355" s="1">
        <v>5</v>
      </c>
      <c r="I355" s="1">
        <v>19</v>
      </c>
      <c r="J355" s="1">
        <v>23</v>
      </c>
      <c r="K355" s="1">
        <v>34</v>
      </c>
      <c r="L355" s="1">
        <v>23</v>
      </c>
      <c r="M355" s="1">
        <v>22</v>
      </c>
      <c r="N355" s="1">
        <v>19</v>
      </c>
      <c r="O355" s="1">
        <v>38</v>
      </c>
      <c r="P355" s="1">
        <v>29</v>
      </c>
      <c r="Q355" s="1">
        <v>16</v>
      </c>
      <c r="R355" s="1">
        <v>27</v>
      </c>
      <c r="S355" s="1">
        <v>30</v>
      </c>
      <c r="T355" s="1">
        <v>33</v>
      </c>
      <c r="U355" s="1">
        <v>20</v>
      </c>
      <c r="V355" s="1">
        <v>10</v>
      </c>
      <c r="W355" s="1">
        <v>12</v>
      </c>
      <c r="X355" s="1">
        <v>6</v>
      </c>
      <c r="Y355" s="1">
        <v>6</v>
      </c>
    </row>
    <row r="356" spans="1:25" x14ac:dyDescent="0.3">
      <c r="A356" s="2">
        <v>43424</v>
      </c>
      <c r="B356" s="1">
        <v>10</v>
      </c>
      <c r="C356" s="1">
        <v>10</v>
      </c>
      <c r="D356" s="1">
        <v>4</v>
      </c>
      <c r="E356" s="1">
        <v>6</v>
      </c>
      <c r="F356" s="1">
        <v>6</v>
      </c>
      <c r="G356" s="1">
        <v>6</v>
      </c>
      <c r="H356" s="1">
        <v>10</v>
      </c>
      <c r="I356" s="1">
        <v>25</v>
      </c>
      <c r="J356" s="1">
        <v>26</v>
      </c>
      <c r="K356" s="1">
        <v>21</v>
      </c>
      <c r="L356" s="1">
        <v>25</v>
      </c>
      <c r="M356" s="1">
        <v>29</v>
      </c>
      <c r="N356" s="1">
        <v>22</v>
      </c>
      <c r="O356" s="1">
        <v>23</v>
      </c>
      <c r="P356" s="1">
        <v>23</v>
      </c>
      <c r="Q356" s="1">
        <v>29</v>
      </c>
      <c r="R356" s="1">
        <v>20</v>
      </c>
      <c r="S356" s="1">
        <v>41</v>
      </c>
      <c r="T356" s="1">
        <v>20</v>
      </c>
      <c r="U356" s="1">
        <v>24</v>
      </c>
      <c r="V356" s="1">
        <v>11</v>
      </c>
      <c r="W356" s="1">
        <v>17</v>
      </c>
      <c r="X356" s="1">
        <v>7</v>
      </c>
      <c r="Y356" s="1">
        <v>6</v>
      </c>
    </row>
    <row r="357" spans="1:25" x14ac:dyDescent="0.3">
      <c r="A357" s="2">
        <v>43425</v>
      </c>
      <c r="B357" s="1">
        <v>3</v>
      </c>
      <c r="C357" s="1">
        <v>6</v>
      </c>
      <c r="D357" s="1">
        <v>9</v>
      </c>
      <c r="E357" s="1">
        <v>6</v>
      </c>
      <c r="F357" s="1">
        <v>1</v>
      </c>
      <c r="G357" s="1">
        <v>6</v>
      </c>
      <c r="H357" s="1">
        <v>14</v>
      </c>
      <c r="I357" s="1">
        <v>16</v>
      </c>
      <c r="J357" s="1">
        <v>22</v>
      </c>
      <c r="K357" s="1">
        <v>16</v>
      </c>
      <c r="L357" s="1">
        <v>23</v>
      </c>
      <c r="M357" s="1">
        <v>24</v>
      </c>
      <c r="N357" s="1">
        <v>13</v>
      </c>
      <c r="O357" s="1">
        <v>24</v>
      </c>
      <c r="P357" s="1">
        <v>24</v>
      </c>
      <c r="Q357" s="1">
        <v>31</v>
      </c>
      <c r="R357" s="1">
        <v>17</v>
      </c>
      <c r="S357" s="1">
        <v>45</v>
      </c>
      <c r="T357" s="1">
        <v>23</v>
      </c>
      <c r="U357" s="1">
        <v>17</v>
      </c>
      <c r="V357" s="1">
        <v>21</v>
      </c>
      <c r="W357" s="1">
        <v>13</v>
      </c>
      <c r="X357" s="1">
        <v>20</v>
      </c>
      <c r="Y357" s="1">
        <v>15</v>
      </c>
    </row>
    <row r="358" spans="1:25" x14ac:dyDescent="0.3">
      <c r="A358" s="2">
        <v>43426</v>
      </c>
      <c r="B358" s="1">
        <v>15</v>
      </c>
      <c r="C358" s="1">
        <v>8</v>
      </c>
      <c r="D358" s="1">
        <v>7</v>
      </c>
      <c r="E358" s="1">
        <v>9</v>
      </c>
      <c r="F358" s="1">
        <v>5</v>
      </c>
      <c r="G358" s="1">
        <v>4</v>
      </c>
      <c r="H358" s="1">
        <v>8</v>
      </c>
      <c r="I358" s="1">
        <v>7</v>
      </c>
      <c r="J358" s="1">
        <v>13</v>
      </c>
      <c r="K358" s="1">
        <v>20</v>
      </c>
      <c r="L358" s="1">
        <v>9</v>
      </c>
      <c r="M358" s="1">
        <v>13</v>
      </c>
      <c r="N358" s="1">
        <v>9</v>
      </c>
      <c r="O358" s="1">
        <v>10</v>
      </c>
      <c r="P358" s="1">
        <v>16</v>
      </c>
      <c r="Q358" s="1">
        <v>31</v>
      </c>
      <c r="R358" s="1">
        <v>20</v>
      </c>
      <c r="S358" s="1">
        <v>25</v>
      </c>
      <c r="T358" s="1">
        <v>14</v>
      </c>
      <c r="U358" s="1">
        <v>24</v>
      </c>
      <c r="V358" s="1">
        <v>21</v>
      </c>
      <c r="W358" s="1">
        <v>12</v>
      </c>
      <c r="X358" s="1">
        <v>14</v>
      </c>
      <c r="Y358" s="1">
        <v>22</v>
      </c>
    </row>
    <row r="359" spans="1:25" x14ac:dyDescent="0.3">
      <c r="A359" s="2">
        <v>43427</v>
      </c>
      <c r="B359" s="1">
        <v>2</v>
      </c>
      <c r="C359" s="1">
        <v>8</v>
      </c>
      <c r="D359" s="1">
        <v>6</v>
      </c>
      <c r="E359" s="1">
        <v>3</v>
      </c>
      <c r="F359" s="1">
        <v>9</v>
      </c>
      <c r="G359" s="1">
        <v>11</v>
      </c>
      <c r="H359" s="1">
        <v>14</v>
      </c>
      <c r="I359" s="1">
        <v>14</v>
      </c>
      <c r="J359" s="1">
        <v>32</v>
      </c>
      <c r="K359" s="1">
        <v>18</v>
      </c>
      <c r="L359" s="1">
        <v>28</v>
      </c>
      <c r="M359" s="1">
        <v>24</v>
      </c>
      <c r="N359" s="1">
        <v>38</v>
      </c>
      <c r="O359" s="1">
        <v>26</v>
      </c>
      <c r="P359" s="1">
        <v>26</v>
      </c>
      <c r="Q359" s="1">
        <v>26</v>
      </c>
      <c r="R359" s="1">
        <v>31</v>
      </c>
      <c r="S359" s="1">
        <v>45</v>
      </c>
      <c r="T359" s="1">
        <v>12</v>
      </c>
      <c r="U359" s="1">
        <v>27</v>
      </c>
      <c r="V359" s="1">
        <v>23</v>
      </c>
      <c r="W359" s="1">
        <v>19</v>
      </c>
      <c r="X359" s="1">
        <v>19</v>
      </c>
      <c r="Y359" s="1">
        <v>15</v>
      </c>
    </row>
    <row r="360" spans="1:25" x14ac:dyDescent="0.3">
      <c r="A360" s="2">
        <v>43428</v>
      </c>
      <c r="B360" s="1">
        <v>8</v>
      </c>
      <c r="C360" s="1">
        <v>11</v>
      </c>
      <c r="D360" s="1">
        <v>4</v>
      </c>
      <c r="E360" s="1">
        <v>4</v>
      </c>
      <c r="F360" s="1">
        <v>5</v>
      </c>
      <c r="G360" s="1">
        <v>3</v>
      </c>
      <c r="H360" s="1">
        <v>7</v>
      </c>
      <c r="I360" s="1">
        <v>10</v>
      </c>
      <c r="J360" s="1">
        <v>15</v>
      </c>
      <c r="K360" s="1">
        <v>14</v>
      </c>
      <c r="L360" s="1">
        <v>15</v>
      </c>
      <c r="M360" s="1">
        <v>19</v>
      </c>
      <c r="N360" s="1">
        <v>23</v>
      </c>
      <c r="O360" s="1">
        <v>25</v>
      </c>
      <c r="P360" s="1">
        <v>30</v>
      </c>
      <c r="Q360" s="1">
        <v>23</v>
      </c>
      <c r="R360" s="1">
        <v>30</v>
      </c>
      <c r="S360" s="1">
        <v>20</v>
      </c>
      <c r="T360" s="1">
        <v>28</v>
      </c>
      <c r="U360" s="1">
        <v>19</v>
      </c>
      <c r="V360" s="1">
        <v>30</v>
      </c>
      <c r="W360" s="1">
        <v>38</v>
      </c>
      <c r="X360" s="1">
        <v>44</v>
      </c>
      <c r="Y360" s="1">
        <v>33</v>
      </c>
    </row>
    <row r="361" spans="1:25" x14ac:dyDescent="0.3">
      <c r="A361" s="2">
        <v>43429</v>
      </c>
      <c r="B361" s="1">
        <v>26</v>
      </c>
      <c r="C361" s="1">
        <v>20</v>
      </c>
      <c r="D361" s="1">
        <v>5</v>
      </c>
      <c r="E361" s="1">
        <v>13</v>
      </c>
      <c r="F361" s="1">
        <v>9</v>
      </c>
      <c r="G361" s="1">
        <v>5</v>
      </c>
      <c r="H361" s="1">
        <v>10</v>
      </c>
      <c r="I361" s="1">
        <v>18</v>
      </c>
      <c r="J361" s="1">
        <v>13</v>
      </c>
      <c r="K361" s="1">
        <v>24</v>
      </c>
      <c r="L361" s="1">
        <v>19</v>
      </c>
      <c r="M361" s="1">
        <v>19</v>
      </c>
      <c r="N361" s="1">
        <v>24</v>
      </c>
      <c r="O361" s="1">
        <v>17</v>
      </c>
      <c r="P361" s="1">
        <v>19</v>
      </c>
      <c r="Q361" s="1">
        <v>21</v>
      </c>
      <c r="R361" s="1">
        <v>23</v>
      </c>
      <c r="S361" s="1">
        <v>25</v>
      </c>
      <c r="T361" s="1">
        <v>24</v>
      </c>
      <c r="U361" s="1">
        <v>8</v>
      </c>
      <c r="V361" s="1">
        <v>19</v>
      </c>
      <c r="W361" s="1">
        <v>11</v>
      </c>
      <c r="X361" s="1">
        <v>6</v>
      </c>
      <c r="Y361" s="1">
        <v>11</v>
      </c>
    </row>
    <row r="362" spans="1:25" x14ac:dyDescent="0.3">
      <c r="A362" s="2">
        <v>43430</v>
      </c>
      <c r="B362" s="1">
        <v>10</v>
      </c>
      <c r="C362" s="1">
        <v>6</v>
      </c>
      <c r="D362" s="1">
        <v>12</v>
      </c>
      <c r="E362" s="1">
        <v>9</v>
      </c>
      <c r="F362" s="1">
        <v>12</v>
      </c>
      <c r="G362" s="1">
        <v>5</v>
      </c>
      <c r="H362" s="1">
        <v>17</v>
      </c>
      <c r="I362" s="1">
        <v>18</v>
      </c>
      <c r="J362" s="1">
        <v>32</v>
      </c>
      <c r="K362" s="1">
        <v>21</v>
      </c>
      <c r="L362" s="1">
        <v>15</v>
      </c>
      <c r="M362" s="1">
        <v>23</v>
      </c>
      <c r="N362" s="1">
        <v>28</v>
      </c>
      <c r="O362" s="1">
        <v>23</v>
      </c>
      <c r="P362" s="1">
        <v>34</v>
      </c>
      <c r="Q362" s="1">
        <v>38</v>
      </c>
      <c r="R362" s="1">
        <v>34</v>
      </c>
      <c r="S362" s="1">
        <v>33</v>
      </c>
      <c r="T362" s="1">
        <v>25</v>
      </c>
      <c r="U362" s="1">
        <v>24</v>
      </c>
      <c r="V362" s="1">
        <v>19</v>
      </c>
      <c r="W362" s="1">
        <v>17</v>
      </c>
      <c r="X362" s="1">
        <v>18</v>
      </c>
      <c r="Y362" s="1">
        <v>13</v>
      </c>
    </row>
    <row r="363" spans="1:25" x14ac:dyDescent="0.3">
      <c r="A363" s="2">
        <v>43431</v>
      </c>
      <c r="B363" s="1">
        <v>13</v>
      </c>
      <c r="C363" s="1">
        <v>8</v>
      </c>
      <c r="D363" s="1">
        <v>10</v>
      </c>
      <c r="E363" s="1">
        <v>3</v>
      </c>
      <c r="F363" s="1">
        <v>5</v>
      </c>
      <c r="G363" s="1">
        <v>13</v>
      </c>
      <c r="H363" s="1">
        <v>6</v>
      </c>
      <c r="I363" s="1">
        <v>15</v>
      </c>
      <c r="J363" s="1">
        <v>26</v>
      </c>
      <c r="K363" s="1">
        <v>19</v>
      </c>
      <c r="L363" s="1">
        <v>39</v>
      </c>
      <c r="M363" s="1">
        <v>22</v>
      </c>
      <c r="N363" s="1">
        <v>21</v>
      </c>
      <c r="O363" s="1">
        <v>26</v>
      </c>
      <c r="P363" s="1">
        <v>16</v>
      </c>
      <c r="Q363" s="1">
        <v>17</v>
      </c>
      <c r="R363" s="1">
        <v>27</v>
      </c>
      <c r="S363" s="1">
        <v>30</v>
      </c>
      <c r="T363" s="1">
        <v>23</v>
      </c>
      <c r="U363" s="1">
        <v>19</v>
      </c>
      <c r="V363" s="1">
        <v>16</v>
      </c>
      <c r="W363" s="1">
        <v>14</v>
      </c>
      <c r="X363" s="1">
        <v>17</v>
      </c>
      <c r="Y363" s="1">
        <v>6</v>
      </c>
    </row>
    <row r="364" spans="1:25" x14ac:dyDescent="0.3">
      <c r="A364" s="2">
        <v>43432</v>
      </c>
      <c r="B364" s="1">
        <v>9</v>
      </c>
      <c r="C364" s="1">
        <v>4</v>
      </c>
      <c r="D364" s="1">
        <v>2</v>
      </c>
      <c r="E364" s="1">
        <v>5</v>
      </c>
      <c r="F364" s="1">
        <v>8</v>
      </c>
      <c r="G364" s="1">
        <v>11</v>
      </c>
      <c r="H364" s="1">
        <v>7</v>
      </c>
      <c r="I364" s="1">
        <v>16</v>
      </c>
      <c r="J364" s="1">
        <v>17</v>
      </c>
      <c r="K364" s="1">
        <v>30</v>
      </c>
      <c r="L364" s="1">
        <v>25</v>
      </c>
      <c r="M364" s="1">
        <v>30</v>
      </c>
      <c r="N364" s="1">
        <v>25</v>
      </c>
      <c r="O364" s="1">
        <v>28</v>
      </c>
      <c r="P364" s="1">
        <v>19</v>
      </c>
      <c r="Q364" s="1">
        <v>24</v>
      </c>
      <c r="R364" s="1">
        <v>24</v>
      </c>
      <c r="S364" s="1">
        <v>34</v>
      </c>
      <c r="T364" s="1">
        <v>36</v>
      </c>
      <c r="U364" s="1">
        <v>20</v>
      </c>
      <c r="V364" s="1">
        <v>12</v>
      </c>
      <c r="W364" s="1">
        <v>16</v>
      </c>
      <c r="X364" s="1">
        <v>11</v>
      </c>
      <c r="Y364" s="1">
        <v>3</v>
      </c>
    </row>
    <row r="365" spans="1:25" x14ac:dyDescent="0.3">
      <c r="A365" s="2">
        <v>43433</v>
      </c>
      <c r="B365" s="1">
        <v>12</v>
      </c>
      <c r="C365" s="1">
        <v>6</v>
      </c>
      <c r="D365" s="1">
        <v>7</v>
      </c>
      <c r="E365" s="1">
        <v>2</v>
      </c>
      <c r="F365" s="1">
        <v>3</v>
      </c>
      <c r="G365" s="1">
        <v>10</v>
      </c>
      <c r="H365" s="1">
        <v>14</v>
      </c>
      <c r="I365" s="1">
        <v>20</v>
      </c>
      <c r="J365" s="1">
        <v>24</v>
      </c>
      <c r="K365" s="1">
        <v>37</v>
      </c>
      <c r="L365" s="1">
        <v>33</v>
      </c>
      <c r="M365" s="1">
        <v>30</v>
      </c>
      <c r="N365" s="1">
        <v>18</v>
      </c>
      <c r="O365" s="1">
        <v>25</v>
      </c>
      <c r="P365" s="1">
        <v>19</v>
      </c>
      <c r="Q365" s="1">
        <v>28</v>
      </c>
      <c r="R365" s="1">
        <v>28</v>
      </c>
      <c r="S365" s="1">
        <v>32</v>
      </c>
      <c r="T365" s="1">
        <v>24</v>
      </c>
      <c r="U365" s="1">
        <v>14</v>
      </c>
      <c r="V365" s="1">
        <v>14</v>
      </c>
      <c r="W365" s="1">
        <v>17</v>
      </c>
      <c r="X365" s="1">
        <v>7</v>
      </c>
      <c r="Y365" s="1">
        <v>10</v>
      </c>
    </row>
    <row r="366" spans="1:25" x14ac:dyDescent="0.3">
      <c r="A366" s="2">
        <v>43434</v>
      </c>
      <c r="B366" s="1">
        <v>6</v>
      </c>
      <c r="C366" s="1">
        <v>7</v>
      </c>
      <c r="D366" s="1">
        <v>4</v>
      </c>
      <c r="E366" s="1">
        <v>7</v>
      </c>
      <c r="F366" s="1">
        <v>1</v>
      </c>
      <c r="G366" s="1">
        <v>4</v>
      </c>
      <c r="H366" s="1">
        <v>12</v>
      </c>
      <c r="I366" s="1">
        <v>22</v>
      </c>
      <c r="J366" s="1">
        <v>20</v>
      </c>
      <c r="K366" s="1">
        <v>19</v>
      </c>
      <c r="L366" s="1">
        <v>29</v>
      </c>
      <c r="M366" s="1">
        <v>34</v>
      </c>
      <c r="N366" s="1">
        <v>20</v>
      </c>
      <c r="O366" s="1">
        <v>12</v>
      </c>
      <c r="P366" s="1">
        <v>24</v>
      </c>
      <c r="Q366" s="1">
        <v>21</v>
      </c>
      <c r="R366" s="1">
        <v>22</v>
      </c>
      <c r="S366" s="1">
        <v>46</v>
      </c>
      <c r="T366" s="1">
        <v>36</v>
      </c>
      <c r="U366" s="1">
        <v>17</v>
      </c>
      <c r="V366" s="1">
        <v>18</v>
      </c>
      <c r="W366" s="1">
        <v>21</v>
      </c>
      <c r="X366" s="1">
        <v>13</v>
      </c>
      <c r="Y366" s="1">
        <v>5</v>
      </c>
    </row>
    <row r="367" spans="1:25" x14ac:dyDescent="0.3">
      <c r="A367" s="2">
        <v>43435</v>
      </c>
      <c r="B367" s="1">
        <v>13</v>
      </c>
      <c r="C367" s="1">
        <v>6</v>
      </c>
      <c r="D367" s="1">
        <v>5</v>
      </c>
      <c r="E367" s="1">
        <v>1</v>
      </c>
      <c r="F367" s="1">
        <v>7</v>
      </c>
      <c r="G367" s="1">
        <v>5</v>
      </c>
      <c r="H367" s="1">
        <v>8</v>
      </c>
      <c r="I367" s="1">
        <v>9</v>
      </c>
      <c r="J367" s="1">
        <v>21</v>
      </c>
      <c r="K367" s="1">
        <v>17</v>
      </c>
      <c r="L367" s="1">
        <v>21</v>
      </c>
      <c r="M367" s="1">
        <v>19</v>
      </c>
      <c r="N367" s="1">
        <v>26</v>
      </c>
      <c r="O367" s="1">
        <v>22</v>
      </c>
      <c r="P367" s="1">
        <v>19</v>
      </c>
      <c r="Q367" s="1">
        <v>19</v>
      </c>
      <c r="R367" s="1">
        <v>24</v>
      </c>
      <c r="S367" s="1">
        <v>21</v>
      </c>
      <c r="T367" s="1">
        <v>13</v>
      </c>
      <c r="U367" s="1">
        <v>18</v>
      </c>
      <c r="V367" s="1">
        <v>23</v>
      </c>
      <c r="W367" s="1">
        <v>21</v>
      </c>
      <c r="X367" s="1">
        <v>15</v>
      </c>
      <c r="Y367" s="1">
        <v>16</v>
      </c>
    </row>
    <row r="368" spans="1:25" x14ac:dyDescent="0.3">
      <c r="A368" s="2">
        <v>43436</v>
      </c>
      <c r="B368" s="1">
        <v>14</v>
      </c>
      <c r="C368" s="1">
        <v>11</v>
      </c>
      <c r="D368" s="1">
        <v>3</v>
      </c>
      <c r="E368" s="1">
        <v>14</v>
      </c>
      <c r="F368" s="1">
        <v>3</v>
      </c>
      <c r="G368" s="1">
        <v>8</v>
      </c>
      <c r="H368" s="1">
        <v>8</v>
      </c>
      <c r="I368" s="1">
        <v>7</v>
      </c>
      <c r="J368" s="1">
        <v>14</v>
      </c>
      <c r="K368" s="1">
        <v>17</v>
      </c>
      <c r="L368" s="1">
        <v>25</v>
      </c>
      <c r="M368" s="1">
        <v>21</v>
      </c>
      <c r="N368" s="1">
        <v>15</v>
      </c>
      <c r="O368" s="1">
        <v>30</v>
      </c>
      <c r="P368" s="1">
        <v>21</v>
      </c>
      <c r="Q368" s="1">
        <v>12</v>
      </c>
      <c r="R368" s="1">
        <v>11</v>
      </c>
      <c r="S368" s="1">
        <v>24</v>
      </c>
      <c r="T368" s="1">
        <v>10</v>
      </c>
      <c r="U368" s="1">
        <v>13</v>
      </c>
      <c r="V368" s="1">
        <v>12</v>
      </c>
      <c r="W368" s="1">
        <v>20</v>
      </c>
      <c r="X368" s="1">
        <v>14</v>
      </c>
      <c r="Y368" s="1">
        <v>15</v>
      </c>
    </row>
    <row r="369" spans="1:25" x14ac:dyDescent="0.3">
      <c r="A369" s="2">
        <v>43437</v>
      </c>
      <c r="B369" s="1">
        <v>3</v>
      </c>
      <c r="C369" s="1">
        <v>5</v>
      </c>
      <c r="D369" s="1">
        <v>6</v>
      </c>
      <c r="E369" s="1">
        <v>9</v>
      </c>
      <c r="F369" s="1">
        <v>5</v>
      </c>
      <c r="G369" s="1">
        <v>9</v>
      </c>
      <c r="H369" s="1">
        <v>17</v>
      </c>
      <c r="I369" s="1">
        <v>18</v>
      </c>
      <c r="J369" s="1">
        <v>23</v>
      </c>
      <c r="K369" s="1">
        <v>20</v>
      </c>
      <c r="L369" s="1">
        <v>22</v>
      </c>
      <c r="M369" s="1">
        <v>21</v>
      </c>
      <c r="N369" s="1">
        <v>30</v>
      </c>
      <c r="O369" s="1">
        <v>21</v>
      </c>
      <c r="P369" s="1">
        <v>33</v>
      </c>
      <c r="Q369" s="1">
        <v>13</v>
      </c>
      <c r="R369" s="1">
        <v>28</v>
      </c>
      <c r="S369" s="1">
        <v>32</v>
      </c>
      <c r="T369" s="1">
        <v>25</v>
      </c>
      <c r="U369" s="1">
        <v>9</v>
      </c>
      <c r="V369" s="1">
        <v>17</v>
      </c>
      <c r="W369" s="1">
        <v>19</v>
      </c>
      <c r="X369" s="1">
        <v>8</v>
      </c>
      <c r="Y369" s="1">
        <v>9</v>
      </c>
    </row>
    <row r="370" spans="1:25" x14ac:dyDescent="0.3">
      <c r="A370" s="2">
        <v>43438</v>
      </c>
      <c r="B370" s="1">
        <v>6</v>
      </c>
      <c r="C370" s="1">
        <v>6</v>
      </c>
      <c r="D370" s="1">
        <v>4</v>
      </c>
      <c r="E370" s="1">
        <v>7</v>
      </c>
      <c r="F370" s="1">
        <v>3</v>
      </c>
      <c r="G370" s="1">
        <v>7</v>
      </c>
      <c r="H370" s="1">
        <v>7</v>
      </c>
      <c r="I370" s="1">
        <v>23</v>
      </c>
      <c r="J370" s="1">
        <v>24</v>
      </c>
      <c r="K370" s="1">
        <v>24</v>
      </c>
      <c r="L370" s="1">
        <v>29</v>
      </c>
      <c r="M370" s="1">
        <v>33</v>
      </c>
      <c r="N370" s="1">
        <v>29</v>
      </c>
      <c r="O370" s="1">
        <v>10</v>
      </c>
      <c r="P370" s="1">
        <v>13</v>
      </c>
      <c r="Q370" s="1">
        <v>21</v>
      </c>
      <c r="R370" s="1">
        <v>17</v>
      </c>
      <c r="S370" s="1">
        <v>27</v>
      </c>
      <c r="T370" s="1">
        <v>26</v>
      </c>
      <c r="U370" s="1">
        <v>19</v>
      </c>
      <c r="V370" s="1">
        <v>13</v>
      </c>
      <c r="W370" s="1">
        <v>10</v>
      </c>
      <c r="X370" s="1">
        <v>7</v>
      </c>
      <c r="Y370" s="1">
        <v>5</v>
      </c>
    </row>
    <row r="371" spans="1:25" x14ac:dyDescent="0.3">
      <c r="A371" s="2">
        <v>43439</v>
      </c>
      <c r="B371" s="1">
        <v>8</v>
      </c>
      <c r="C371" s="1">
        <v>6</v>
      </c>
      <c r="D371" s="1">
        <v>3</v>
      </c>
      <c r="E371" s="1">
        <v>8</v>
      </c>
      <c r="F371" s="1">
        <v>6</v>
      </c>
      <c r="G371" s="1">
        <v>9</v>
      </c>
      <c r="H371" s="1">
        <v>18</v>
      </c>
      <c r="I371" s="1">
        <v>36</v>
      </c>
      <c r="J371" s="1">
        <v>35</v>
      </c>
      <c r="K371" s="1">
        <v>24</v>
      </c>
      <c r="L371" s="1">
        <v>18</v>
      </c>
      <c r="M371" s="1">
        <v>24</v>
      </c>
      <c r="N371" s="1">
        <v>12</v>
      </c>
      <c r="O371" s="1">
        <v>19</v>
      </c>
      <c r="P371" s="1">
        <v>21</v>
      </c>
      <c r="Q371" s="1">
        <v>10</v>
      </c>
      <c r="R371" s="1">
        <v>33</v>
      </c>
      <c r="S371" s="1">
        <v>38</v>
      </c>
      <c r="T371" s="1">
        <v>19</v>
      </c>
      <c r="U371" s="1">
        <v>19</v>
      </c>
      <c r="V371" s="1">
        <v>16</v>
      </c>
      <c r="W371" s="1">
        <v>9</v>
      </c>
      <c r="X371" s="1">
        <v>11</v>
      </c>
      <c r="Y371" s="1">
        <v>11</v>
      </c>
    </row>
    <row r="372" spans="1:25" x14ac:dyDescent="0.3">
      <c r="A372" s="2">
        <v>43440</v>
      </c>
      <c r="B372" s="1">
        <v>5</v>
      </c>
      <c r="C372" s="1">
        <v>3</v>
      </c>
      <c r="D372" s="1">
        <v>6</v>
      </c>
      <c r="E372" s="1">
        <v>4</v>
      </c>
      <c r="F372" s="1">
        <v>5</v>
      </c>
      <c r="G372" s="1">
        <v>4</v>
      </c>
      <c r="H372" s="1">
        <v>12</v>
      </c>
      <c r="I372" s="1">
        <v>10</v>
      </c>
      <c r="J372" s="1">
        <v>29</v>
      </c>
      <c r="K372" s="1">
        <v>28</v>
      </c>
      <c r="L372" s="1">
        <v>27</v>
      </c>
      <c r="M372" s="1">
        <v>29</v>
      </c>
      <c r="N372" s="1">
        <v>24</v>
      </c>
      <c r="O372" s="1">
        <v>18</v>
      </c>
      <c r="P372" s="1">
        <v>25</v>
      </c>
      <c r="Q372" s="1">
        <v>24</v>
      </c>
      <c r="R372" s="1">
        <v>21</v>
      </c>
      <c r="S372" s="1">
        <v>24</v>
      </c>
      <c r="T372" s="1">
        <v>26</v>
      </c>
      <c r="U372" s="1">
        <v>27</v>
      </c>
      <c r="V372" s="1">
        <v>19</v>
      </c>
      <c r="W372" s="1">
        <v>6</v>
      </c>
      <c r="X372" s="1">
        <v>16</v>
      </c>
      <c r="Y372" s="1">
        <v>7</v>
      </c>
    </row>
    <row r="373" spans="1:25" x14ac:dyDescent="0.3">
      <c r="A373" s="2">
        <v>43441</v>
      </c>
      <c r="B373" s="1">
        <v>7</v>
      </c>
      <c r="C373" s="1">
        <v>6</v>
      </c>
      <c r="D373" s="1">
        <v>7</v>
      </c>
      <c r="E373" s="1">
        <v>6</v>
      </c>
      <c r="F373" s="1">
        <v>6</v>
      </c>
      <c r="G373" s="1">
        <v>8</v>
      </c>
      <c r="H373" s="1">
        <v>7</v>
      </c>
      <c r="I373" s="1">
        <v>21</v>
      </c>
      <c r="J373" s="1">
        <v>14</v>
      </c>
      <c r="K373" s="1">
        <v>12</v>
      </c>
      <c r="L373" s="1">
        <v>24</v>
      </c>
      <c r="M373" s="1">
        <v>34</v>
      </c>
      <c r="N373" s="1">
        <v>22</v>
      </c>
      <c r="O373" s="1">
        <v>29</v>
      </c>
      <c r="P373" s="1">
        <v>39</v>
      </c>
      <c r="Q373" s="1">
        <v>29</v>
      </c>
      <c r="R373" s="1">
        <v>22</v>
      </c>
      <c r="S373" s="1">
        <v>34</v>
      </c>
      <c r="T373" s="1">
        <v>21</v>
      </c>
      <c r="U373" s="1">
        <v>17</v>
      </c>
      <c r="V373" s="1">
        <v>13</v>
      </c>
      <c r="W373" s="1">
        <v>17</v>
      </c>
      <c r="X373" s="1">
        <v>15</v>
      </c>
      <c r="Y373" s="1">
        <v>9</v>
      </c>
    </row>
    <row r="374" spans="1:25" x14ac:dyDescent="0.3">
      <c r="A374" s="2">
        <v>43442</v>
      </c>
      <c r="B374" s="1">
        <v>11</v>
      </c>
      <c r="C374" s="1">
        <v>18</v>
      </c>
      <c r="D374" s="1">
        <v>16</v>
      </c>
      <c r="E374" s="1">
        <v>7</v>
      </c>
      <c r="F374" s="1">
        <v>12</v>
      </c>
      <c r="G374" s="1">
        <v>6</v>
      </c>
      <c r="H374" s="1">
        <v>5</v>
      </c>
      <c r="I374" s="1">
        <v>6</v>
      </c>
      <c r="J374" s="1">
        <v>13</v>
      </c>
      <c r="K374" s="1">
        <v>14</v>
      </c>
      <c r="L374" s="1">
        <v>13</v>
      </c>
      <c r="M374" s="1">
        <v>28</v>
      </c>
      <c r="N374" s="1">
        <v>21</v>
      </c>
      <c r="O374" s="1">
        <v>22</v>
      </c>
      <c r="P374" s="1">
        <v>16</v>
      </c>
      <c r="Q374" s="1">
        <v>22</v>
      </c>
      <c r="R374" s="1">
        <v>13</v>
      </c>
      <c r="S374" s="1">
        <v>22</v>
      </c>
      <c r="T374" s="1">
        <v>19</v>
      </c>
      <c r="U374" s="1">
        <v>16</v>
      </c>
      <c r="V374" s="1">
        <v>7</v>
      </c>
      <c r="W374" s="1">
        <v>22</v>
      </c>
      <c r="X374" s="1">
        <v>7</v>
      </c>
      <c r="Y374" s="1">
        <v>8</v>
      </c>
    </row>
    <row r="375" spans="1:25" x14ac:dyDescent="0.3">
      <c r="A375" s="2">
        <v>43443</v>
      </c>
      <c r="B375" s="1">
        <v>12</v>
      </c>
      <c r="C375" s="1">
        <v>4</v>
      </c>
      <c r="D375" s="1">
        <v>7</v>
      </c>
      <c r="E375" s="1">
        <v>4</v>
      </c>
      <c r="F375" s="1">
        <v>4</v>
      </c>
      <c r="G375" s="1">
        <v>6</v>
      </c>
      <c r="H375" s="1">
        <v>2</v>
      </c>
      <c r="I375" s="1">
        <v>7</v>
      </c>
      <c r="J375" s="1">
        <v>11</v>
      </c>
      <c r="K375" s="1">
        <v>7</v>
      </c>
      <c r="L375" s="1">
        <v>24</v>
      </c>
      <c r="M375" s="1">
        <v>23</v>
      </c>
      <c r="N375" s="1">
        <v>17</v>
      </c>
      <c r="O375" s="1">
        <v>26</v>
      </c>
      <c r="P375" s="1">
        <v>25</v>
      </c>
      <c r="Q375" s="1">
        <v>20</v>
      </c>
      <c r="R375" s="1">
        <v>18</v>
      </c>
      <c r="S375" s="1">
        <v>20</v>
      </c>
      <c r="T375" s="1">
        <v>20</v>
      </c>
      <c r="U375" s="1">
        <v>14</v>
      </c>
      <c r="V375" s="1">
        <v>12</v>
      </c>
      <c r="W375" s="1">
        <v>18</v>
      </c>
      <c r="X375" s="1">
        <v>10</v>
      </c>
      <c r="Y375" s="1">
        <v>7</v>
      </c>
    </row>
    <row r="376" spans="1:25" x14ac:dyDescent="0.3">
      <c r="A376" s="2">
        <v>43444</v>
      </c>
      <c r="B376" s="1">
        <v>9</v>
      </c>
      <c r="C376" s="1">
        <v>6</v>
      </c>
      <c r="D376" s="1">
        <v>10</v>
      </c>
      <c r="E376" s="1">
        <v>5</v>
      </c>
      <c r="F376" s="1">
        <v>8</v>
      </c>
      <c r="G376" s="1">
        <v>8</v>
      </c>
      <c r="H376" s="1">
        <v>16</v>
      </c>
      <c r="I376" s="1">
        <v>23</v>
      </c>
      <c r="J376" s="1">
        <v>32</v>
      </c>
      <c r="K376" s="1">
        <v>26</v>
      </c>
      <c r="L376" s="1">
        <v>32</v>
      </c>
      <c r="M376" s="1">
        <v>23</v>
      </c>
      <c r="N376" s="1">
        <v>21</v>
      </c>
      <c r="O376" s="1">
        <v>27</v>
      </c>
      <c r="P376" s="1">
        <v>19</v>
      </c>
      <c r="Q376" s="1">
        <v>41</v>
      </c>
      <c r="R376" s="1">
        <v>22</v>
      </c>
      <c r="S376" s="1">
        <v>35</v>
      </c>
      <c r="T376" s="1">
        <v>28</v>
      </c>
      <c r="U376" s="1">
        <v>21</v>
      </c>
      <c r="V376" s="1">
        <v>18</v>
      </c>
      <c r="W376" s="1">
        <v>14</v>
      </c>
      <c r="X376" s="1">
        <v>15</v>
      </c>
      <c r="Y376" s="1">
        <v>7</v>
      </c>
    </row>
    <row r="377" spans="1:25" x14ac:dyDescent="0.3">
      <c r="A377" s="2">
        <v>43445</v>
      </c>
      <c r="B377" s="1">
        <v>4</v>
      </c>
      <c r="C377" s="1">
        <v>7</v>
      </c>
      <c r="D377" s="1">
        <v>9</v>
      </c>
      <c r="E377" s="1">
        <v>3</v>
      </c>
      <c r="F377" s="1">
        <v>7</v>
      </c>
      <c r="G377" s="1">
        <v>19</v>
      </c>
      <c r="H377" s="1">
        <v>26</v>
      </c>
      <c r="I377" s="1">
        <v>32</v>
      </c>
      <c r="J377" s="1">
        <v>28</v>
      </c>
      <c r="K377" s="1">
        <v>21</v>
      </c>
      <c r="L377" s="1">
        <v>31</v>
      </c>
      <c r="M377" s="1">
        <v>22</v>
      </c>
      <c r="N377" s="1">
        <v>16</v>
      </c>
      <c r="O377" s="1">
        <v>30</v>
      </c>
      <c r="P377" s="1">
        <v>29</v>
      </c>
      <c r="Q377" s="1">
        <v>32</v>
      </c>
      <c r="R377" s="1">
        <v>23</v>
      </c>
      <c r="S377" s="1">
        <v>38</v>
      </c>
      <c r="T377" s="1">
        <v>13</v>
      </c>
      <c r="U377" s="1">
        <v>12</v>
      </c>
      <c r="V377" s="1">
        <v>11</v>
      </c>
      <c r="W377" s="1">
        <v>8</v>
      </c>
      <c r="X377" s="1">
        <v>16</v>
      </c>
      <c r="Y377" s="1">
        <v>15</v>
      </c>
    </row>
    <row r="378" spans="1:25" x14ac:dyDescent="0.3">
      <c r="A378" s="2">
        <v>43446</v>
      </c>
      <c r="B378" s="1">
        <v>12</v>
      </c>
      <c r="C378" s="1">
        <v>5</v>
      </c>
      <c r="D378" s="1">
        <v>4</v>
      </c>
      <c r="E378" s="1">
        <v>9</v>
      </c>
      <c r="F378" s="1">
        <v>4</v>
      </c>
      <c r="G378" s="1">
        <v>9</v>
      </c>
      <c r="H378" s="1">
        <v>11</v>
      </c>
      <c r="I378" s="1">
        <v>16</v>
      </c>
      <c r="J378" s="1">
        <v>22</v>
      </c>
      <c r="K378" s="1">
        <v>31</v>
      </c>
      <c r="L378" s="1">
        <v>19</v>
      </c>
      <c r="M378" s="1">
        <v>33</v>
      </c>
      <c r="N378" s="1">
        <v>26</v>
      </c>
      <c r="O378" s="1">
        <v>23</v>
      </c>
      <c r="P378" s="1">
        <v>25</v>
      </c>
      <c r="Q378" s="1">
        <v>25</v>
      </c>
      <c r="R378" s="1">
        <v>41</v>
      </c>
      <c r="S378" s="1">
        <v>26</v>
      </c>
      <c r="T378" s="1">
        <v>26</v>
      </c>
      <c r="U378" s="1">
        <v>15</v>
      </c>
      <c r="V378" s="1">
        <v>17</v>
      </c>
      <c r="W378" s="1">
        <v>11</v>
      </c>
      <c r="X378" s="1">
        <v>13</v>
      </c>
      <c r="Y378" s="1">
        <v>11</v>
      </c>
    </row>
    <row r="379" spans="1:25" x14ac:dyDescent="0.3">
      <c r="A379" s="2">
        <v>43447</v>
      </c>
      <c r="B379" s="1">
        <v>5</v>
      </c>
      <c r="C379" s="1">
        <v>6</v>
      </c>
      <c r="D379" s="1">
        <v>2</v>
      </c>
      <c r="E379" s="1">
        <v>4</v>
      </c>
      <c r="F379" s="1">
        <v>3</v>
      </c>
      <c r="G379" s="1">
        <v>9</v>
      </c>
      <c r="H379" s="1">
        <v>18</v>
      </c>
      <c r="I379" s="1">
        <v>13</v>
      </c>
      <c r="J379" s="1">
        <v>22</v>
      </c>
      <c r="K379" s="1">
        <v>17</v>
      </c>
      <c r="L379" s="1">
        <v>13</v>
      </c>
      <c r="M379" s="1">
        <v>30</v>
      </c>
      <c r="N379" s="1">
        <v>28</v>
      </c>
      <c r="O379" s="1">
        <v>14</v>
      </c>
      <c r="P379" s="1">
        <v>27</v>
      </c>
      <c r="Q379" s="1">
        <v>27</v>
      </c>
      <c r="R379" s="1">
        <v>19</v>
      </c>
      <c r="S379" s="1">
        <v>34</v>
      </c>
      <c r="T379" s="1">
        <v>18</v>
      </c>
      <c r="U379" s="1">
        <v>15</v>
      </c>
      <c r="V379" s="1">
        <v>11</v>
      </c>
      <c r="W379" s="1">
        <v>14</v>
      </c>
      <c r="X379" s="1">
        <v>6</v>
      </c>
      <c r="Y379" s="1">
        <v>9</v>
      </c>
    </row>
    <row r="380" spans="1:25" x14ac:dyDescent="0.3">
      <c r="A380" s="2">
        <v>43448</v>
      </c>
      <c r="B380" s="1">
        <v>7</v>
      </c>
      <c r="C380" s="1">
        <v>10</v>
      </c>
      <c r="D380" s="1">
        <v>3</v>
      </c>
      <c r="E380" s="1">
        <v>5</v>
      </c>
      <c r="F380" s="1">
        <v>11</v>
      </c>
      <c r="G380" s="1">
        <v>1</v>
      </c>
      <c r="H380" s="1">
        <v>7</v>
      </c>
      <c r="I380" s="1">
        <v>10</v>
      </c>
      <c r="J380" s="1">
        <v>11</v>
      </c>
      <c r="K380" s="1">
        <v>18</v>
      </c>
      <c r="L380" s="1">
        <v>34</v>
      </c>
      <c r="M380" s="1">
        <v>23</v>
      </c>
      <c r="N380" s="1">
        <v>22</v>
      </c>
      <c r="O380" s="1">
        <v>28</v>
      </c>
      <c r="P380" s="1">
        <v>30</v>
      </c>
      <c r="Q380" s="1">
        <v>19</v>
      </c>
      <c r="R380" s="1">
        <v>27</v>
      </c>
      <c r="S380" s="1">
        <v>54</v>
      </c>
      <c r="T380" s="1">
        <v>32</v>
      </c>
      <c r="U380" s="1">
        <v>24</v>
      </c>
      <c r="V380" s="1">
        <v>24</v>
      </c>
      <c r="W380" s="1">
        <v>31</v>
      </c>
      <c r="X380" s="1">
        <v>11</v>
      </c>
      <c r="Y380" s="1">
        <v>17</v>
      </c>
    </row>
    <row r="381" spans="1:25" x14ac:dyDescent="0.3">
      <c r="A381" s="2">
        <v>43449</v>
      </c>
      <c r="B381" s="1">
        <v>8</v>
      </c>
      <c r="C381" s="1">
        <v>10</v>
      </c>
      <c r="D381" s="1">
        <v>10</v>
      </c>
      <c r="E381" s="1">
        <v>5</v>
      </c>
      <c r="F381" s="1">
        <v>9</v>
      </c>
      <c r="G381" s="1">
        <v>6</v>
      </c>
      <c r="H381" s="1">
        <v>4</v>
      </c>
      <c r="I381" s="1">
        <v>10</v>
      </c>
      <c r="J381" s="1">
        <v>14</v>
      </c>
      <c r="K381" s="1">
        <v>9</v>
      </c>
      <c r="L381" s="1">
        <v>15</v>
      </c>
      <c r="M381" s="1">
        <v>27</v>
      </c>
      <c r="N381" s="1">
        <v>32</v>
      </c>
      <c r="O381" s="1">
        <v>22</v>
      </c>
      <c r="P381" s="1">
        <v>20</v>
      </c>
      <c r="Q381" s="1">
        <v>28</v>
      </c>
      <c r="R381" s="1">
        <v>29</v>
      </c>
      <c r="S381" s="1">
        <v>39</v>
      </c>
      <c r="T381" s="1">
        <v>27</v>
      </c>
      <c r="U381" s="1">
        <v>23</v>
      </c>
      <c r="V381" s="1">
        <v>16</v>
      </c>
      <c r="W381" s="1">
        <v>24</v>
      </c>
      <c r="X381" s="1">
        <v>9</v>
      </c>
      <c r="Y381" s="1">
        <v>15</v>
      </c>
    </row>
    <row r="382" spans="1:25" x14ac:dyDescent="0.3">
      <c r="A382" s="2">
        <v>43450</v>
      </c>
      <c r="B382" s="1">
        <v>12</v>
      </c>
      <c r="C382" s="1">
        <v>18</v>
      </c>
      <c r="D382" s="1">
        <v>26</v>
      </c>
      <c r="E382" s="1">
        <v>12</v>
      </c>
      <c r="F382" s="1">
        <v>13</v>
      </c>
      <c r="G382" s="1">
        <v>8</v>
      </c>
      <c r="H382" s="1">
        <v>14</v>
      </c>
      <c r="I382" s="1">
        <v>8</v>
      </c>
      <c r="J382" s="1">
        <v>12</v>
      </c>
      <c r="K382" s="1">
        <v>9</v>
      </c>
      <c r="L382" s="1">
        <v>25</v>
      </c>
      <c r="M382" s="1">
        <v>14</v>
      </c>
      <c r="N382" s="1">
        <v>26</v>
      </c>
      <c r="O382" s="1">
        <v>19</v>
      </c>
      <c r="P382" s="1">
        <v>24</v>
      </c>
      <c r="Q382" s="1">
        <v>21</v>
      </c>
      <c r="R382" s="1">
        <v>21</v>
      </c>
      <c r="S382" s="1">
        <v>24</v>
      </c>
      <c r="T382" s="1">
        <v>20</v>
      </c>
      <c r="U382" s="1">
        <v>20</v>
      </c>
      <c r="V382" s="1">
        <v>19</v>
      </c>
      <c r="W382" s="1">
        <v>15</v>
      </c>
      <c r="X382" s="1">
        <v>11</v>
      </c>
      <c r="Y382" s="1">
        <v>3</v>
      </c>
    </row>
    <row r="383" spans="1:25" x14ac:dyDescent="0.3">
      <c r="A383" s="2">
        <v>43451</v>
      </c>
      <c r="B383" s="1">
        <v>8</v>
      </c>
      <c r="C383" s="1">
        <v>11</v>
      </c>
      <c r="D383" s="1">
        <v>8</v>
      </c>
      <c r="E383" s="1">
        <v>4</v>
      </c>
      <c r="F383" s="1">
        <v>1</v>
      </c>
      <c r="G383" s="1">
        <v>5</v>
      </c>
      <c r="H383" s="1">
        <v>15</v>
      </c>
      <c r="I383" s="1">
        <v>26</v>
      </c>
      <c r="J383" s="1">
        <v>26</v>
      </c>
      <c r="K383" s="1">
        <v>27</v>
      </c>
      <c r="L383" s="1">
        <v>22</v>
      </c>
      <c r="M383" s="1">
        <v>13</v>
      </c>
      <c r="N383" s="1">
        <v>21</v>
      </c>
      <c r="O383" s="1">
        <v>23</v>
      </c>
      <c r="P383" s="1">
        <v>24</v>
      </c>
      <c r="Q383" s="1">
        <v>30</v>
      </c>
      <c r="R383" s="1">
        <v>34</v>
      </c>
      <c r="S383" s="1">
        <v>31</v>
      </c>
      <c r="T383" s="1">
        <v>17</v>
      </c>
      <c r="U383" s="1">
        <v>19</v>
      </c>
      <c r="V383" s="1">
        <v>14</v>
      </c>
      <c r="W383" s="1">
        <v>15</v>
      </c>
      <c r="X383" s="1">
        <v>12</v>
      </c>
      <c r="Y383" s="1">
        <v>4</v>
      </c>
    </row>
    <row r="384" spans="1:25" x14ac:dyDescent="0.3">
      <c r="A384" s="2">
        <v>43452</v>
      </c>
      <c r="B384" s="1">
        <v>11</v>
      </c>
      <c r="C384" s="1">
        <v>3</v>
      </c>
      <c r="D384" s="1">
        <v>3</v>
      </c>
      <c r="E384" s="1">
        <v>4</v>
      </c>
      <c r="F384" s="1">
        <v>3</v>
      </c>
      <c r="G384" s="1">
        <v>10</v>
      </c>
      <c r="H384" s="1">
        <v>7</v>
      </c>
      <c r="I384" s="1">
        <v>28</v>
      </c>
      <c r="J384" s="1">
        <v>17</v>
      </c>
      <c r="K384" s="1">
        <v>29</v>
      </c>
      <c r="L384" s="1">
        <v>25</v>
      </c>
      <c r="M384" s="1">
        <v>32</v>
      </c>
      <c r="N384" s="1">
        <v>36</v>
      </c>
      <c r="O384" s="1">
        <v>28</v>
      </c>
      <c r="P384" s="1">
        <v>18</v>
      </c>
      <c r="Q384" s="1">
        <v>35</v>
      </c>
      <c r="R384" s="1">
        <v>33</v>
      </c>
      <c r="S384" s="1">
        <v>46</v>
      </c>
      <c r="T384" s="1">
        <v>20</v>
      </c>
      <c r="U384" s="1">
        <v>18</v>
      </c>
      <c r="V384" s="1">
        <v>14</v>
      </c>
      <c r="W384" s="1">
        <v>13</v>
      </c>
      <c r="X384" s="1">
        <v>18</v>
      </c>
      <c r="Y384" s="1">
        <v>13</v>
      </c>
    </row>
    <row r="385" spans="1:25" x14ac:dyDescent="0.3">
      <c r="A385" s="2">
        <v>43453</v>
      </c>
      <c r="B385" s="1">
        <v>11</v>
      </c>
      <c r="C385" s="1">
        <v>7</v>
      </c>
      <c r="D385" s="1">
        <v>5</v>
      </c>
      <c r="E385" s="1">
        <v>4</v>
      </c>
      <c r="F385" s="1">
        <v>2</v>
      </c>
      <c r="G385" s="1">
        <v>5</v>
      </c>
      <c r="H385" s="1">
        <v>11</v>
      </c>
      <c r="I385" s="1">
        <v>30</v>
      </c>
      <c r="J385" s="1">
        <v>25</v>
      </c>
      <c r="K385" s="1">
        <v>40</v>
      </c>
      <c r="L385" s="1">
        <v>23</v>
      </c>
      <c r="M385" s="1">
        <v>18</v>
      </c>
      <c r="N385" s="1">
        <v>15</v>
      </c>
      <c r="O385" s="1">
        <v>23</v>
      </c>
      <c r="P385" s="1">
        <v>22</v>
      </c>
      <c r="Q385" s="1">
        <v>38</v>
      </c>
      <c r="R385" s="1">
        <v>24</v>
      </c>
      <c r="S385" s="1">
        <v>37</v>
      </c>
      <c r="T385" s="1">
        <v>20</v>
      </c>
      <c r="U385" s="1">
        <v>16</v>
      </c>
      <c r="V385" s="1">
        <v>14</v>
      </c>
      <c r="W385" s="1">
        <v>6</v>
      </c>
      <c r="X385" s="1">
        <v>11</v>
      </c>
      <c r="Y385" s="1">
        <v>7</v>
      </c>
    </row>
    <row r="386" spans="1:25" x14ac:dyDescent="0.3">
      <c r="A386" s="2">
        <v>43454</v>
      </c>
      <c r="B386" s="1">
        <v>6</v>
      </c>
      <c r="C386" s="1">
        <v>14</v>
      </c>
      <c r="D386" s="1">
        <v>2</v>
      </c>
      <c r="E386" s="1">
        <v>4</v>
      </c>
      <c r="F386" s="1">
        <v>10</v>
      </c>
      <c r="G386" s="1">
        <v>13</v>
      </c>
      <c r="H386" s="1">
        <v>11</v>
      </c>
      <c r="I386" s="1">
        <v>7</v>
      </c>
      <c r="J386" s="1">
        <v>21</v>
      </c>
      <c r="K386" s="1">
        <v>15</v>
      </c>
      <c r="L386" s="1">
        <v>21</v>
      </c>
      <c r="M386" s="1">
        <v>19</v>
      </c>
      <c r="N386" s="1">
        <v>19</v>
      </c>
      <c r="O386" s="1">
        <v>27</v>
      </c>
      <c r="P386" s="1">
        <v>33</v>
      </c>
      <c r="Q386" s="1">
        <v>35</v>
      </c>
      <c r="R386" s="1">
        <v>33</v>
      </c>
      <c r="S386" s="1">
        <v>53</v>
      </c>
      <c r="T386" s="1">
        <v>40</v>
      </c>
      <c r="U386" s="1">
        <v>25</v>
      </c>
      <c r="V386" s="1">
        <v>18</v>
      </c>
      <c r="W386" s="1">
        <v>18</v>
      </c>
      <c r="X386" s="1">
        <v>12</v>
      </c>
      <c r="Y386" s="1">
        <v>9</v>
      </c>
    </row>
    <row r="387" spans="1:25" x14ac:dyDescent="0.3">
      <c r="A387" s="2">
        <v>43455</v>
      </c>
      <c r="B387" s="1">
        <v>11</v>
      </c>
      <c r="C387" s="1">
        <v>16</v>
      </c>
      <c r="D387" s="1">
        <v>9</v>
      </c>
      <c r="E387" s="1">
        <v>15</v>
      </c>
      <c r="F387" s="1">
        <v>14</v>
      </c>
      <c r="G387" s="1">
        <v>28</v>
      </c>
      <c r="H387" s="1">
        <v>21</v>
      </c>
      <c r="I387" s="1">
        <v>28</v>
      </c>
      <c r="J387" s="1">
        <v>27</v>
      </c>
      <c r="K387" s="1">
        <v>32</v>
      </c>
      <c r="L387" s="1">
        <v>21</v>
      </c>
      <c r="M387" s="1">
        <v>41</v>
      </c>
      <c r="N387" s="1">
        <v>36</v>
      </c>
      <c r="O387" s="1">
        <v>34</v>
      </c>
      <c r="P387" s="1">
        <v>31</v>
      </c>
      <c r="Q387" s="1">
        <v>28</v>
      </c>
      <c r="R387" s="1">
        <v>36</v>
      </c>
      <c r="S387" s="1">
        <v>33</v>
      </c>
      <c r="T387" s="1">
        <v>24</v>
      </c>
      <c r="U387" s="1">
        <v>22</v>
      </c>
      <c r="V387" s="1">
        <v>22</v>
      </c>
      <c r="W387" s="1">
        <v>20</v>
      </c>
      <c r="X387" s="1">
        <v>13</v>
      </c>
      <c r="Y387" s="1">
        <v>10</v>
      </c>
    </row>
    <row r="388" spans="1:25" x14ac:dyDescent="0.3">
      <c r="A388" s="2">
        <v>43456</v>
      </c>
      <c r="B388" s="1">
        <v>15</v>
      </c>
      <c r="C388" s="1">
        <v>8</v>
      </c>
      <c r="D388" s="1">
        <v>8</v>
      </c>
      <c r="E388" s="1">
        <v>9</v>
      </c>
      <c r="F388" s="1">
        <v>3</v>
      </c>
      <c r="G388" s="1">
        <v>6</v>
      </c>
      <c r="H388" s="1">
        <v>8</v>
      </c>
      <c r="I388" s="1">
        <v>7</v>
      </c>
      <c r="J388" s="1">
        <v>9</v>
      </c>
      <c r="K388" s="1">
        <v>16</v>
      </c>
      <c r="L388" s="1">
        <v>27</v>
      </c>
      <c r="M388" s="1">
        <v>20</v>
      </c>
      <c r="N388" s="1">
        <v>18</v>
      </c>
      <c r="O388" s="1">
        <v>26</v>
      </c>
      <c r="P388" s="1">
        <v>29</v>
      </c>
      <c r="Q388" s="1">
        <v>20</v>
      </c>
      <c r="R388" s="1">
        <v>16</v>
      </c>
      <c r="S388" s="1">
        <v>30</v>
      </c>
      <c r="T388" s="1">
        <v>25</v>
      </c>
      <c r="U388" s="1">
        <v>12</v>
      </c>
      <c r="V388" s="1">
        <v>14</v>
      </c>
      <c r="W388" s="1">
        <v>18</v>
      </c>
      <c r="X388" s="1">
        <v>14</v>
      </c>
      <c r="Y388" s="1">
        <v>12</v>
      </c>
    </row>
    <row r="389" spans="1:25" x14ac:dyDescent="0.3">
      <c r="A389" s="2">
        <v>43457</v>
      </c>
      <c r="B389" s="1">
        <v>3</v>
      </c>
      <c r="C389" s="1">
        <v>11</v>
      </c>
      <c r="D389" s="1">
        <v>7</v>
      </c>
      <c r="E389" s="1">
        <v>8</v>
      </c>
      <c r="F389" s="1">
        <v>5</v>
      </c>
      <c r="G389" s="1">
        <v>6</v>
      </c>
      <c r="H389" s="1">
        <v>9</v>
      </c>
      <c r="I389" s="1">
        <v>6</v>
      </c>
      <c r="J389" s="1">
        <v>7</v>
      </c>
      <c r="K389" s="1">
        <v>18</v>
      </c>
      <c r="L389" s="1">
        <v>19</v>
      </c>
      <c r="M389" s="1">
        <v>19</v>
      </c>
      <c r="N389" s="1">
        <v>18</v>
      </c>
      <c r="O389" s="1">
        <v>28</v>
      </c>
      <c r="P389" s="1">
        <v>18</v>
      </c>
      <c r="Q389" s="1">
        <v>19</v>
      </c>
      <c r="R389" s="1">
        <v>27</v>
      </c>
      <c r="S389" s="1">
        <v>17</v>
      </c>
      <c r="T389" s="1">
        <v>20</v>
      </c>
      <c r="U389" s="1">
        <v>16</v>
      </c>
      <c r="V389" s="1">
        <v>9</v>
      </c>
      <c r="W389" s="1">
        <v>19</v>
      </c>
      <c r="X389" s="1">
        <v>14</v>
      </c>
      <c r="Y389" s="1">
        <v>9</v>
      </c>
    </row>
    <row r="390" spans="1:25" x14ac:dyDescent="0.3">
      <c r="A390" s="2">
        <v>43458</v>
      </c>
      <c r="B390" s="1">
        <v>4</v>
      </c>
      <c r="C390" s="1">
        <v>6</v>
      </c>
      <c r="D390" s="1">
        <v>2</v>
      </c>
      <c r="E390" s="1">
        <v>9</v>
      </c>
      <c r="F390" s="1">
        <v>5</v>
      </c>
      <c r="G390" s="1">
        <v>8</v>
      </c>
      <c r="H390" s="1">
        <v>6</v>
      </c>
      <c r="I390" s="1">
        <v>9</v>
      </c>
      <c r="J390" s="1">
        <v>18</v>
      </c>
      <c r="K390" s="1">
        <v>21</v>
      </c>
      <c r="L390" s="1">
        <v>16</v>
      </c>
      <c r="M390" s="1">
        <v>25</v>
      </c>
      <c r="N390" s="1">
        <v>25</v>
      </c>
      <c r="O390" s="1">
        <v>22</v>
      </c>
      <c r="P390" s="1">
        <v>18</v>
      </c>
      <c r="Q390" s="1">
        <v>15</v>
      </c>
      <c r="R390" s="1">
        <v>18</v>
      </c>
      <c r="S390" s="1">
        <v>27</v>
      </c>
      <c r="T390" s="1">
        <v>16</v>
      </c>
      <c r="U390" s="1">
        <v>15</v>
      </c>
      <c r="V390" s="1">
        <v>21</v>
      </c>
      <c r="W390" s="1">
        <v>13</v>
      </c>
      <c r="X390" s="1">
        <v>7</v>
      </c>
      <c r="Y390" s="1">
        <v>5</v>
      </c>
    </row>
    <row r="391" spans="1:25" x14ac:dyDescent="0.3">
      <c r="A391" s="2">
        <v>43459</v>
      </c>
      <c r="B391" s="1">
        <v>9</v>
      </c>
      <c r="C391" s="1">
        <v>6</v>
      </c>
      <c r="D391" s="1">
        <v>7</v>
      </c>
      <c r="E391" s="1">
        <v>5</v>
      </c>
      <c r="F391" s="1">
        <v>4</v>
      </c>
      <c r="G391" s="1">
        <v>4</v>
      </c>
      <c r="H391" s="1">
        <v>7</v>
      </c>
      <c r="I391" s="1">
        <v>12</v>
      </c>
      <c r="J391" s="1">
        <v>14</v>
      </c>
      <c r="K391" s="1">
        <v>11</v>
      </c>
      <c r="L391" s="1">
        <v>6</v>
      </c>
      <c r="M391" s="1">
        <v>10</v>
      </c>
      <c r="N391" s="1">
        <v>13</v>
      </c>
      <c r="O391" s="1">
        <v>14</v>
      </c>
      <c r="P391" s="1">
        <v>11</v>
      </c>
      <c r="Q391" s="1">
        <v>12</v>
      </c>
      <c r="R391" s="1">
        <v>21</v>
      </c>
      <c r="S391" s="1">
        <v>6</v>
      </c>
      <c r="T391" s="1">
        <v>10</v>
      </c>
      <c r="U391" s="1">
        <v>15</v>
      </c>
      <c r="V391" s="1">
        <v>16</v>
      </c>
      <c r="W391" s="1">
        <v>9</v>
      </c>
      <c r="X391" s="1">
        <v>9</v>
      </c>
      <c r="Y391" s="1">
        <v>8</v>
      </c>
    </row>
    <row r="392" spans="1:25" x14ac:dyDescent="0.3">
      <c r="A392" s="2">
        <v>43460</v>
      </c>
      <c r="B392" s="1">
        <v>4</v>
      </c>
      <c r="C392" s="1">
        <v>5</v>
      </c>
      <c r="D392" s="1">
        <v>7</v>
      </c>
      <c r="E392" s="1">
        <v>8</v>
      </c>
      <c r="F392" s="1">
        <v>5</v>
      </c>
      <c r="G392" s="1">
        <v>7</v>
      </c>
      <c r="H392" s="1">
        <v>16</v>
      </c>
      <c r="I392" s="1">
        <v>7</v>
      </c>
      <c r="J392" s="1">
        <v>15</v>
      </c>
      <c r="K392" s="1">
        <v>15</v>
      </c>
      <c r="L392" s="1">
        <v>15</v>
      </c>
      <c r="M392" s="1">
        <v>18</v>
      </c>
      <c r="N392" s="1">
        <v>28</v>
      </c>
      <c r="O392" s="1">
        <v>20</v>
      </c>
      <c r="P392" s="1">
        <v>14</v>
      </c>
      <c r="Q392" s="1">
        <v>17</v>
      </c>
      <c r="R392" s="1">
        <v>25</v>
      </c>
      <c r="S392" s="1">
        <v>23</v>
      </c>
      <c r="T392" s="1">
        <v>16</v>
      </c>
      <c r="U392" s="1">
        <v>10</v>
      </c>
      <c r="V392" s="1">
        <v>7</v>
      </c>
      <c r="W392" s="1">
        <v>12</v>
      </c>
      <c r="X392" s="1">
        <v>17</v>
      </c>
      <c r="Y392" s="1">
        <v>10</v>
      </c>
    </row>
    <row r="393" spans="1:25" x14ac:dyDescent="0.3">
      <c r="A393" s="2">
        <v>43461</v>
      </c>
      <c r="B393" s="1">
        <v>6</v>
      </c>
      <c r="C393" s="1">
        <v>1</v>
      </c>
      <c r="D393" s="1">
        <v>8</v>
      </c>
      <c r="E393" s="1">
        <v>4</v>
      </c>
      <c r="F393" s="1">
        <v>2</v>
      </c>
      <c r="G393" s="1">
        <v>6</v>
      </c>
      <c r="H393" s="1">
        <v>10</v>
      </c>
      <c r="I393" s="1">
        <v>20</v>
      </c>
      <c r="J393" s="1">
        <v>18</v>
      </c>
      <c r="K393" s="1">
        <v>21</v>
      </c>
      <c r="L393" s="1">
        <v>24</v>
      </c>
      <c r="M393" s="1">
        <v>22</v>
      </c>
      <c r="N393" s="1">
        <v>26</v>
      </c>
      <c r="O393" s="1">
        <v>15</v>
      </c>
      <c r="P393" s="1">
        <v>22</v>
      </c>
      <c r="Q393" s="1">
        <v>14</v>
      </c>
      <c r="R393" s="1">
        <v>15</v>
      </c>
      <c r="S393" s="1">
        <v>25</v>
      </c>
      <c r="T393" s="1">
        <v>13</v>
      </c>
      <c r="U393" s="1">
        <v>27</v>
      </c>
      <c r="V393" s="1">
        <v>14</v>
      </c>
      <c r="W393" s="1">
        <v>17</v>
      </c>
      <c r="X393" s="1">
        <v>13</v>
      </c>
      <c r="Y393" s="1">
        <v>10</v>
      </c>
    </row>
    <row r="394" spans="1:25" x14ac:dyDescent="0.3">
      <c r="A394" s="2">
        <v>43462</v>
      </c>
      <c r="B394" s="1">
        <v>14</v>
      </c>
      <c r="C394" s="1">
        <v>7</v>
      </c>
      <c r="D394" s="1">
        <v>4</v>
      </c>
      <c r="E394" s="1">
        <v>14</v>
      </c>
      <c r="F394" s="1">
        <v>2</v>
      </c>
      <c r="G394" s="1">
        <v>5</v>
      </c>
      <c r="H394" s="1">
        <v>16</v>
      </c>
      <c r="I394" s="1">
        <v>18</v>
      </c>
      <c r="J394" s="1">
        <v>21</v>
      </c>
      <c r="K394" s="1">
        <v>28</v>
      </c>
      <c r="L394" s="1">
        <v>30</v>
      </c>
      <c r="M394" s="1">
        <v>27</v>
      </c>
      <c r="N394" s="1">
        <v>28</v>
      </c>
      <c r="O394" s="1">
        <v>40</v>
      </c>
      <c r="P394" s="1">
        <v>30</v>
      </c>
      <c r="Q394" s="1">
        <v>38</v>
      </c>
      <c r="R394" s="1">
        <v>39</v>
      </c>
      <c r="S394" s="1">
        <v>34</v>
      </c>
      <c r="T394" s="1">
        <v>20</v>
      </c>
      <c r="U394" s="1">
        <v>22</v>
      </c>
      <c r="V394" s="1">
        <v>14</v>
      </c>
      <c r="W394" s="1">
        <v>11</v>
      </c>
      <c r="X394" s="1">
        <v>12</v>
      </c>
      <c r="Y394" s="1">
        <v>16</v>
      </c>
    </row>
    <row r="395" spans="1:25" x14ac:dyDescent="0.3">
      <c r="A395" s="2">
        <v>43463</v>
      </c>
      <c r="B395" s="1">
        <v>11</v>
      </c>
      <c r="C395" s="1">
        <v>9</v>
      </c>
      <c r="D395" s="1">
        <v>5</v>
      </c>
      <c r="E395" s="1">
        <v>10</v>
      </c>
      <c r="F395" s="1">
        <v>6</v>
      </c>
      <c r="G395" s="1">
        <v>7</v>
      </c>
      <c r="H395" s="1">
        <v>11</v>
      </c>
      <c r="I395" s="1">
        <v>15</v>
      </c>
      <c r="J395" s="1">
        <v>20</v>
      </c>
      <c r="K395" s="1">
        <v>12</v>
      </c>
      <c r="L395" s="1">
        <v>19</v>
      </c>
      <c r="M395" s="1">
        <v>24</v>
      </c>
      <c r="N395" s="1">
        <v>16</v>
      </c>
      <c r="O395" s="1">
        <v>14</v>
      </c>
      <c r="P395" s="1">
        <v>20</v>
      </c>
      <c r="Q395" s="1">
        <v>27</v>
      </c>
      <c r="R395" s="1">
        <v>26</v>
      </c>
      <c r="S395" s="1">
        <v>25</v>
      </c>
      <c r="T395" s="1">
        <v>21</v>
      </c>
      <c r="U395" s="1">
        <v>12</v>
      </c>
      <c r="V395" s="1">
        <v>8</v>
      </c>
      <c r="W395" s="1">
        <v>19</v>
      </c>
      <c r="X395" s="1">
        <v>8</v>
      </c>
      <c r="Y395" s="1">
        <v>9</v>
      </c>
    </row>
    <row r="396" spans="1:25" x14ac:dyDescent="0.3">
      <c r="A396" s="2">
        <v>43464</v>
      </c>
      <c r="B396" s="1">
        <v>6</v>
      </c>
      <c r="C396" s="1">
        <v>6</v>
      </c>
      <c r="D396" s="1">
        <v>3</v>
      </c>
      <c r="E396" s="1">
        <v>8</v>
      </c>
      <c r="F396" s="1">
        <v>4</v>
      </c>
      <c r="G396" s="1">
        <v>5</v>
      </c>
      <c r="H396" s="1">
        <v>3</v>
      </c>
      <c r="I396" s="1">
        <v>10</v>
      </c>
      <c r="J396" s="1">
        <v>12</v>
      </c>
      <c r="K396" s="1">
        <v>15</v>
      </c>
      <c r="L396" s="1">
        <v>13</v>
      </c>
      <c r="M396" s="1">
        <v>9</v>
      </c>
      <c r="N396" s="1">
        <v>19</v>
      </c>
      <c r="O396" s="1">
        <v>13</v>
      </c>
      <c r="P396" s="1">
        <v>15</v>
      </c>
      <c r="Q396" s="1">
        <v>20</v>
      </c>
      <c r="R396" s="1">
        <v>25</v>
      </c>
      <c r="S396" s="1">
        <v>22</v>
      </c>
      <c r="T396" s="1">
        <v>11</v>
      </c>
      <c r="U396" s="1">
        <v>11</v>
      </c>
      <c r="V396" s="1">
        <v>8</v>
      </c>
      <c r="W396" s="1">
        <v>11</v>
      </c>
      <c r="X396" s="1">
        <v>8</v>
      </c>
      <c r="Y396" s="1">
        <v>5</v>
      </c>
    </row>
    <row r="397" spans="1:25" x14ac:dyDescent="0.3">
      <c r="A397" s="2">
        <v>43465</v>
      </c>
      <c r="B397" s="1">
        <v>3</v>
      </c>
      <c r="C397" s="1">
        <v>7</v>
      </c>
      <c r="D397" s="1">
        <v>8</v>
      </c>
      <c r="E397" s="1">
        <v>6</v>
      </c>
      <c r="F397" s="1">
        <v>5</v>
      </c>
      <c r="G397" s="1">
        <v>5</v>
      </c>
      <c r="H397" s="1">
        <v>10</v>
      </c>
      <c r="I397" s="1">
        <v>13</v>
      </c>
      <c r="J397" s="1">
        <v>14</v>
      </c>
      <c r="K397" s="1">
        <v>18</v>
      </c>
      <c r="L397" s="1">
        <v>22</v>
      </c>
      <c r="M397" s="1">
        <v>20</v>
      </c>
      <c r="N397" s="1">
        <v>36</v>
      </c>
      <c r="O397" s="1">
        <v>17</v>
      </c>
      <c r="P397" s="1">
        <v>23</v>
      </c>
      <c r="Q397" s="1">
        <v>15</v>
      </c>
      <c r="R397" s="1">
        <v>32</v>
      </c>
      <c r="S397" s="1">
        <v>21</v>
      </c>
      <c r="T397" s="1">
        <v>26</v>
      </c>
      <c r="U397" s="1">
        <v>24</v>
      </c>
      <c r="V397" s="1">
        <v>18</v>
      </c>
      <c r="W397" s="1">
        <v>25</v>
      </c>
      <c r="X397" s="1">
        <v>23</v>
      </c>
      <c r="Y397" s="1">
        <v>20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97"/>
  <sheetViews>
    <sheetView zoomScale="70" zoomScaleNormal="70" workbookViewId="0"/>
  </sheetViews>
  <sheetFormatPr defaultRowHeight="14" x14ac:dyDescent="0.3"/>
  <cols>
    <col min="1" max="1" width="19" customWidth="1"/>
    <col min="2" max="2" width="12.08203125" customWidth="1"/>
    <col min="3" max="3" width="14.58203125" customWidth="1"/>
    <col min="4" max="4" width="12.08203125" customWidth="1"/>
    <col min="5" max="5" width="14.58203125" customWidth="1"/>
    <col min="6" max="6" width="12.08203125" customWidth="1"/>
    <col min="7" max="7" width="14.58203125" customWidth="1"/>
    <col min="8" max="8" width="12.08203125" customWidth="1"/>
    <col min="9" max="9" width="14.58203125" customWidth="1"/>
    <col min="10" max="10" width="12.08203125" customWidth="1"/>
    <col min="11" max="11" width="14.58203125" customWidth="1"/>
    <col min="12" max="12" width="12.08203125" customWidth="1"/>
    <col min="13" max="13" width="14.58203125" customWidth="1"/>
    <col min="14" max="14" width="12.08203125" customWidth="1"/>
    <col min="15" max="15" width="14.58203125" customWidth="1"/>
    <col min="16" max="25" width="5.58203125" customWidth="1"/>
  </cols>
  <sheetData>
    <row r="1" spans="1:15" x14ac:dyDescent="0.3">
      <c r="A1" s="9"/>
      <c r="B1" s="10" t="s">
        <v>8</v>
      </c>
      <c r="C1" s="10" t="s">
        <v>9</v>
      </c>
      <c r="D1" s="10" t="s">
        <v>10</v>
      </c>
      <c r="E1" s="10" t="s">
        <v>11</v>
      </c>
      <c r="F1" s="10" t="s">
        <v>12</v>
      </c>
      <c r="G1" s="10" t="s">
        <v>13</v>
      </c>
      <c r="H1" s="10" t="s">
        <v>14</v>
      </c>
      <c r="I1" s="10" t="s">
        <v>15</v>
      </c>
      <c r="J1" s="10" t="s">
        <v>16</v>
      </c>
      <c r="K1" s="11" t="s">
        <v>17</v>
      </c>
      <c r="L1" s="1"/>
      <c r="M1" s="1"/>
      <c r="N1" s="1"/>
      <c r="O1" s="1"/>
    </row>
    <row r="2" spans="1:15" x14ac:dyDescent="0.3">
      <c r="A2" s="12" t="s">
        <v>18</v>
      </c>
      <c r="B2" s="1">
        <v>3</v>
      </c>
      <c r="C2" s="1">
        <v>3</v>
      </c>
      <c r="D2" s="1">
        <v>6</v>
      </c>
      <c r="E2" s="1">
        <v>6</v>
      </c>
      <c r="F2" s="1">
        <v>9</v>
      </c>
      <c r="G2" s="1">
        <v>9</v>
      </c>
      <c r="H2" s="1">
        <v>12</v>
      </c>
      <c r="I2" s="1">
        <v>12</v>
      </c>
      <c r="J2" s="1">
        <v>15</v>
      </c>
      <c r="K2" s="13">
        <v>15</v>
      </c>
      <c r="L2" s="1"/>
      <c r="M2" s="1"/>
      <c r="N2" s="1"/>
      <c r="O2" s="1"/>
    </row>
    <row r="3" spans="1:15" x14ac:dyDescent="0.3">
      <c r="A3" s="12">
        <v>0</v>
      </c>
      <c r="B3" s="14">
        <f>1-_xlfn.BETA.DIST(VLOOKUP($A3,NB_p!$A$2:$G$25,5,FALSE),VLOOKUP($A3,NB_r!$A$2:$G$25,5,FALSE),B$2,TRUE)</f>
        <v>0.96245452627087813</v>
      </c>
      <c r="C3" s="14">
        <f>COUNTIF(INDEX($B$33:$Y$397,0,MATCH($A3,$B$32:$Y$32,0)),"&gt;="&amp;C$2)/ROWS($A$33:$A$397)</f>
        <v>0.96986301369863015</v>
      </c>
      <c r="D3" s="14">
        <f>1-_xlfn.BETA.DIST(VLOOKUP($A3,NB_p!$A$2:$G$25,5,FALSE),VLOOKUP($A3,NB_r!$A$2:$G$25,5,FALSE),D$2,TRUE)</f>
        <v>0.72455530725522554</v>
      </c>
      <c r="E3" s="14">
        <f>COUNTIF(INDEX($B$33:$Y$397,0,MATCH($A3,$B$32:$Y$32,0)),"&gt;="&amp;E$2)/ROWS($A$33:$A$397)</f>
        <v>0.72876712328767124</v>
      </c>
      <c r="F3" s="14">
        <f>1-_xlfn.BETA.DIST(VLOOKUP($A3,NB_p!$A$2:$G$25,5,FALSE),VLOOKUP($A3,NB_r!$A$2:$G$25,5,FALSE),F$2,TRUE)</f>
        <v>0.36742138573218641</v>
      </c>
      <c r="G3" s="14">
        <f>COUNTIF(INDEX($B$33:$Y$397,0,MATCH($A3,$B$32:$Y$32,0)),"&gt;="&amp;G$2)/ROWS($A$33:$A$397)</f>
        <v>0.34794520547945207</v>
      </c>
      <c r="H3" s="14">
        <f>1-_xlfn.BETA.DIST(VLOOKUP($A3,NB_p!$A$2:$G$25,5,FALSE),VLOOKUP($A3,NB_r!$A$2:$G$25,5,FALSE),H$2,TRUE)</f>
        <v>0.12790093615646791</v>
      </c>
      <c r="I3" s="14">
        <f>COUNTIF(INDEX($B$33:$Y$397,0,MATCH($A3,$B$32:$Y$32,0)),"&gt;="&amp;I$2)/ROWS($A$33:$A$397)</f>
        <v>0.12602739726027398</v>
      </c>
      <c r="J3" s="14">
        <f>1-_xlfn.BETA.DIST(VLOOKUP($A3,NB_p!$A$2:$G$25,5,FALSE),VLOOKUP($A3,NB_r!$A$2:$G$25,5,FALSE),J$2,TRUE)</f>
        <v>3.2693725239373306E-2</v>
      </c>
      <c r="K3" s="14">
        <f>COUNTIF(INDEX($B$33:$Y$397,0,MATCH($A3,$B$32:$Y$32,0)),"&gt;="&amp;K$2)/ROWS($A$33:$A$397)</f>
        <v>4.1095890410958902E-2</v>
      </c>
      <c r="L3" s="1"/>
      <c r="M3" s="1"/>
      <c r="N3" s="1"/>
      <c r="O3" s="1"/>
    </row>
    <row r="4" spans="1:15" x14ac:dyDescent="0.3">
      <c r="A4" s="12">
        <v>1</v>
      </c>
      <c r="B4" s="14">
        <f>1-_xlfn.BETA.DIST(VLOOKUP($A4,NB_p!$A$2:$G$25,5,FALSE),VLOOKUP($A4,NB_r!$A$2:$G$25,5,FALSE),B$2,TRUE)</f>
        <v>0.92262738097502528</v>
      </c>
      <c r="C4" s="14">
        <f t="shared" ref="C4:K10" si="0">COUNTIF(INDEX($B$33:$Y$397,0,MATCH($A4,$B$32:$Y$32,0)),"&gt;="&amp;C$2)/ROWS($A$33:$A$397)</f>
        <v>0.9342465753424658</v>
      </c>
      <c r="D4" s="14">
        <f>1-_xlfn.BETA.DIST(VLOOKUP($A4,NB_p!$A$2:$G$25,5,FALSE),VLOOKUP($A4,NB_r!$A$2:$G$25,5,FALSE),D$2,TRUE)</f>
        <v>0.60852437966076012</v>
      </c>
      <c r="E4" s="14">
        <f t="shared" si="0"/>
        <v>0.60547945205479448</v>
      </c>
      <c r="F4" s="14">
        <f>1-_xlfn.BETA.DIST(VLOOKUP($A4,NB_p!$A$2:$G$25,5,FALSE),VLOOKUP($A4,NB_r!$A$2:$G$25,5,FALSE),F$2,TRUE)</f>
        <v>0.26956524366686119</v>
      </c>
      <c r="G4" s="14">
        <f t="shared" si="0"/>
        <v>0.25753424657534246</v>
      </c>
      <c r="H4" s="14">
        <f>1-_xlfn.BETA.DIST(VLOOKUP($A4,NB_p!$A$2:$G$25,5,FALSE),VLOOKUP($A4,NB_r!$A$2:$G$25,5,FALSE),H$2,TRUE)</f>
        <v>8.6296670385490604E-2</v>
      </c>
      <c r="I4" s="14">
        <f t="shared" si="0"/>
        <v>7.6712328767123292E-2</v>
      </c>
      <c r="J4" s="14">
        <f>1-_xlfn.BETA.DIST(VLOOKUP($A4,NB_p!$A$2:$G$25,5,FALSE),VLOOKUP($A4,NB_r!$A$2:$G$25,5,FALSE),J$2,TRUE)</f>
        <v>2.1577680708184555E-2</v>
      </c>
      <c r="K4" s="14">
        <f t="shared" si="0"/>
        <v>2.1917808219178082E-2</v>
      </c>
      <c r="L4" s="1"/>
      <c r="M4" s="1"/>
      <c r="N4" s="1"/>
      <c r="O4" s="1"/>
    </row>
    <row r="5" spans="1:15" x14ac:dyDescent="0.3">
      <c r="A5" s="12">
        <v>2</v>
      </c>
      <c r="B5" s="14">
        <f>1-_xlfn.BETA.DIST(VLOOKUP($A5,NB_p!$A$2:$G$25,5,FALSE),VLOOKUP($A5,NB_r!$A$2:$G$25,5,FALSE),B$2,TRUE)</f>
        <v>0.88691050866448928</v>
      </c>
      <c r="C5" s="14">
        <f t="shared" si="0"/>
        <v>0.89315068493150684</v>
      </c>
      <c r="D5" s="14">
        <f>1-_xlfn.BETA.DIST(VLOOKUP($A5,NB_p!$A$2:$G$25,5,FALSE),VLOOKUP($A5,NB_r!$A$2:$G$25,5,FALSE),D$2,TRUE)</f>
        <v>0.55493952106872302</v>
      </c>
      <c r="E5" s="14">
        <f t="shared" si="0"/>
        <v>0.55068493150684927</v>
      </c>
      <c r="F5" s="14">
        <f>1-_xlfn.BETA.DIST(VLOOKUP($A5,NB_p!$A$2:$G$25,5,FALSE),VLOOKUP($A5,NB_r!$A$2:$G$25,5,FALSE),F$2,TRUE)</f>
        <v>0.24972256015337846</v>
      </c>
      <c r="G5" s="14">
        <f t="shared" si="0"/>
        <v>0.23561643835616439</v>
      </c>
      <c r="H5" s="14">
        <f>1-_xlfn.BETA.DIST(VLOOKUP($A5,NB_p!$A$2:$G$25,5,FALSE),VLOOKUP($A5,NB_r!$A$2:$G$25,5,FALSE),H$2,TRUE)</f>
        <v>8.8108966552798762E-2</v>
      </c>
      <c r="I5" s="14">
        <f t="shared" si="0"/>
        <v>8.7671232876712329E-2</v>
      </c>
      <c r="J5" s="14">
        <f>1-_xlfn.BETA.DIST(VLOOKUP($A5,NB_p!$A$2:$G$25,5,FALSE),VLOOKUP($A5,NB_r!$A$2:$G$25,5,FALSE),J$2,TRUE)</f>
        <v>2.6061776376065326E-2</v>
      </c>
      <c r="K5" s="14">
        <f t="shared" si="0"/>
        <v>3.0136986301369864E-2</v>
      </c>
      <c r="L5" s="1"/>
      <c r="M5" s="1"/>
      <c r="N5" s="1"/>
      <c r="O5" s="1"/>
    </row>
    <row r="6" spans="1:15" x14ac:dyDescent="0.3">
      <c r="A6" s="12">
        <v>3</v>
      </c>
      <c r="B6" s="14">
        <f>1-_xlfn.BETA.DIST(VLOOKUP($A6,NB_p!$A$2:$G$25,5,FALSE),VLOOKUP($A6,NB_r!$A$2:$G$25,5,FALSE),B$2,TRUE)</f>
        <v>0.87526313558795676</v>
      </c>
      <c r="C6" s="14">
        <f t="shared" si="0"/>
        <v>0.84657534246575339</v>
      </c>
      <c r="D6" s="14">
        <f>1-_xlfn.BETA.DIST(VLOOKUP($A6,NB_p!$A$2:$G$25,5,FALSE),VLOOKUP($A6,NB_r!$A$2:$G$25,5,FALSE),D$2,TRUE)</f>
        <v>0.45488469178731861</v>
      </c>
      <c r="E6" s="14">
        <f t="shared" si="0"/>
        <v>0.46301369863013697</v>
      </c>
      <c r="F6" s="14">
        <f>1-_xlfn.BETA.DIST(VLOOKUP($A6,NB_p!$A$2:$G$25,5,FALSE),VLOOKUP($A6,NB_r!$A$2:$G$25,5,FALSE),F$2,TRUE)</f>
        <v>0.13322553851861219</v>
      </c>
      <c r="G6" s="14">
        <f t="shared" si="0"/>
        <v>0.11780821917808219</v>
      </c>
      <c r="H6" s="14">
        <f>1-_xlfn.BETA.DIST(VLOOKUP($A6,NB_p!$A$2:$G$25,5,FALSE),VLOOKUP($A6,NB_r!$A$2:$G$25,5,FALSE),H$2,TRUE)</f>
        <v>2.4871166451290838E-2</v>
      </c>
      <c r="I6" s="14">
        <f t="shared" si="0"/>
        <v>2.7397260273972601E-2</v>
      </c>
      <c r="J6" s="14">
        <f>1-_xlfn.BETA.DIST(VLOOKUP($A6,NB_p!$A$2:$G$25,5,FALSE),VLOOKUP($A6,NB_r!$A$2:$G$25,5,FALSE),J$2,TRUE)</f>
        <v>3.3087638976712075E-3</v>
      </c>
      <c r="K6" s="14">
        <f t="shared" si="0"/>
        <v>0</v>
      </c>
      <c r="L6" s="1"/>
      <c r="M6" s="1"/>
      <c r="N6" s="1"/>
      <c r="O6" s="1"/>
    </row>
    <row r="7" spans="1:15" x14ac:dyDescent="0.3">
      <c r="A7" s="12">
        <v>4</v>
      </c>
      <c r="B7" s="14">
        <f>1-_xlfn.BETA.DIST(VLOOKUP($A7,NB_p!$A$2:$G$25,5,FALSE),VLOOKUP($A7,NB_r!$A$2:$G$25,5,FALSE),B$2,TRUE)</f>
        <v>0.82339059636360901</v>
      </c>
      <c r="C7" s="14">
        <f t="shared" si="0"/>
        <v>0.852054794520548</v>
      </c>
      <c r="D7" s="14">
        <f>1-_xlfn.BETA.DIST(VLOOKUP($A7,NB_p!$A$2:$G$25,5,FALSE),VLOOKUP($A7,NB_r!$A$2:$G$25,5,FALSE),D$2,TRUE)</f>
        <v>0.41661074019020283</v>
      </c>
      <c r="E7" s="14">
        <f t="shared" si="0"/>
        <v>0.40547945205479452</v>
      </c>
      <c r="F7" s="14">
        <f>1-_xlfn.BETA.DIST(VLOOKUP($A7,NB_p!$A$2:$G$25,5,FALSE),VLOOKUP($A7,NB_r!$A$2:$G$25,5,FALSE),F$2,TRUE)</f>
        <v>0.14016641012171471</v>
      </c>
      <c r="G7" s="14">
        <f t="shared" si="0"/>
        <v>0.10136986301369863</v>
      </c>
      <c r="H7" s="14">
        <f>1-_xlfn.BETA.DIST(VLOOKUP($A7,NB_p!$A$2:$G$25,5,FALSE),VLOOKUP($A7,NB_r!$A$2:$G$25,5,FALSE),H$2,TRUE)</f>
        <v>3.5500993664650204E-2</v>
      </c>
      <c r="I7" s="14">
        <f t="shared" si="0"/>
        <v>3.8356164383561646E-2</v>
      </c>
      <c r="J7" s="14">
        <f>1-_xlfn.BETA.DIST(VLOOKUP($A7,NB_p!$A$2:$G$25,5,FALSE),VLOOKUP($A7,NB_r!$A$2:$G$25,5,FALSE),J$2,TRUE)</f>
        <v>7.3607767751341369E-3</v>
      </c>
      <c r="K7" s="14">
        <f t="shared" si="0"/>
        <v>5.4794520547945206E-3</v>
      </c>
      <c r="L7" s="1"/>
      <c r="M7" s="1"/>
      <c r="N7" s="1"/>
      <c r="O7" s="1"/>
    </row>
    <row r="8" spans="1:15" x14ac:dyDescent="0.3">
      <c r="A8" s="12">
        <v>5</v>
      </c>
      <c r="B8" s="14">
        <f>1-_xlfn.BETA.DIST(VLOOKUP($A8,NB_p!$A$2:$G$25,5,FALSE),VLOOKUP($A8,NB_r!$A$2:$G$25,5,FALSE),B$2,TRUE)</f>
        <v>0.89669646629016653</v>
      </c>
      <c r="C8" s="14">
        <f t="shared" si="0"/>
        <v>0.9397260273972603</v>
      </c>
      <c r="D8" s="14">
        <f>1-_xlfn.BETA.DIST(VLOOKUP($A8,NB_p!$A$2:$G$25,5,FALSE),VLOOKUP($A8,NB_r!$A$2:$G$25,5,FALSE),D$2,TRUE)</f>
        <v>0.59065971196509537</v>
      </c>
      <c r="E8" s="14">
        <f t="shared" si="0"/>
        <v>0.58356164383561648</v>
      </c>
      <c r="F8" s="14">
        <f>1-_xlfn.BETA.DIST(VLOOKUP($A8,NB_p!$A$2:$G$25,5,FALSE),VLOOKUP($A8,NB_r!$A$2:$G$25,5,FALSE),F$2,TRUE)</f>
        <v>0.2910560926260729</v>
      </c>
      <c r="G8" s="14">
        <f t="shared" si="0"/>
        <v>0.25205479452054796</v>
      </c>
      <c r="H8" s="14">
        <f>1-_xlfn.BETA.DIST(VLOOKUP($A8,NB_p!$A$2:$G$25,5,FALSE),VLOOKUP($A8,NB_r!$A$2:$G$25,5,FALSE),H$2,TRUE)</f>
        <v>0.11568351525956277</v>
      </c>
      <c r="I8" s="14">
        <f t="shared" si="0"/>
        <v>8.7671232876712329E-2</v>
      </c>
      <c r="J8" s="14">
        <f>1-_xlfn.BETA.DIST(VLOOKUP($A8,NB_p!$A$2:$G$25,5,FALSE),VLOOKUP($A8,NB_r!$A$2:$G$25,5,FALSE),J$2,TRUE)</f>
        <v>3.9330494742947919E-2</v>
      </c>
      <c r="K8" s="14">
        <f t="shared" si="0"/>
        <v>3.287671232876712E-2</v>
      </c>
      <c r="L8" s="1"/>
      <c r="M8" s="1"/>
      <c r="N8" s="1"/>
      <c r="O8" s="1"/>
    </row>
    <row r="9" spans="1:15" x14ac:dyDescent="0.3">
      <c r="A9" s="12">
        <v>6</v>
      </c>
      <c r="B9" s="14">
        <f>1-_xlfn.BETA.DIST(VLOOKUP($A9,NB_p!$A$2:$G$25,5,FALSE),VLOOKUP($A9,NB_r!$A$2:$G$25,5,FALSE),B$2,TRUE)</f>
        <v>0.95850862368409395</v>
      </c>
      <c r="C9" s="14">
        <f t="shared" si="0"/>
        <v>0.9780821917808219</v>
      </c>
      <c r="D9" s="14">
        <f>1-_xlfn.BETA.DIST(VLOOKUP($A9,NB_p!$A$2:$G$25,5,FALSE),VLOOKUP($A9,NB_r!$A$2:$G$25,5,FALSE),D$2,TRUE)</f>
        <v>0.79990372538306409</v>
      </c>
      <c r="E9" s="14">
        <f t="shared" si="0"/>
        <v>0.8575342465753425</v>
      </c>
      <c r="F9" s="14">
        <f>1-_xlfn.BETA.DIST(VLOOKUP($A9,NB_p!$A$2:$G$25,5,FALSE),VLOOKUP($A9,NB_r!$A$2:$G$25,5,FALSE),F$2,TRUE)</f>
        <v>0.57140522486799261</v>
      </c>
      <c r="G9" s="14">
        <f t="shared" si="0"/>
        <v>0.57808219178082187</v>
      </c>
      <c r="H9" s="14">
        <f>1-_xlfn.BETA.DIST(VLOOKUP($A9,NB_p!$A$2:$G$25,5,FALSE),VLOOKUP($A9,NB_r!$A$2:$G$25,5,FALSE),H$2,TRUE)</f>
        <v>0.35838143928183785</v>
      </c>
      <c r="I9" s="14">
        <f t="shared" si="0"/>
        <v>0.31780821917808222</v>
      </c>
      <c r="J9" s="14">
        <f>1-_xlfn.BETA.DIST(VLOOKUP($A9,NB_p!$A$2:$G$25,5,FALSE),VLOOKUP($A9,NB_r!$A$2:$G$25,5,FALSE),J$2,TRUE)</f>
        <v>0.20302528272977949</v>
      </c>
      <c r="K9" s="14">
        <f t="shared" si="0"/>
        <v>0.16164383561643836</v>
      </c>
      <c r="L9" s="1"/>
      <c r="M9" s="1"/>
      <c r="N9" s="1"/>
      <c r="O9" s="1"/>
    </row>
    <row r="10" spans="1:15" x14ac:dyDescent="0.3">
      <c r="A10" s="12">
        <v>23</v>
      </c>
      <c r="B10" s="14">
        <f>1-_xlfn.BETA.DIST(VLOOKUP($A10,NB_p!$A$2:$G$25,5,FALSE),VLOOKUP($A10,NB_r!$A$2:$G$25,5,FALSE),B$2,TRUE)</f>
        <v>0.97929270236177313</v>
      </c>
      <c r="C10" s="14">
        <f t="shared" si="0"/>
        <v>1</v>
      </c>
      <c r="D10" s="14">
        <f>1-_xlfn.BETA.DIST(VLOOKUP($A10,NB_p!$A$2:$G$25,5,FALSE),VLOOKUP($A10,NB_r!$A$2:$G$25,5,FALSE),D$2,TRUE)</f>
        <v>0.83774511840066956</v>
      </c>
      <c r="E10" s="14">
        <f t="shared" si="0"/>
        <v>0.84383561643835614</v>
      </c>
      <c r="F10" s="14">
        <f>1-_xlfn.BETA.DIST(VLOOKUP($A10,NB_p!$A$2:$G$25,5,FALSE),VLOOKUP($A10,NB_r!$A$2:$G$25,5,FALSE),F$2,TRUE)</f>
        <v>0.56770796939159851</v>
      </c>
      <c r="G10" s="14">
        <f t="shared" si="0"/>
        <v>0.59452054794520548</v>
      </c>
      <c r="H10" s="14">
        <f>1-_xlfn.BETA.DIST(VLOOKUP($A10,NB_p!$A$2:$G$25,5,FALSE),VLOOKUP($A10,NB_r!$A$2:$G$25,5,FALSE),H$2,TRUE)</f>
        <v>0.30351740839483465</v>
      </c>
      <c r="I10" s="14">
        <f t="shared" si="0"/>
        <v>0.26849315068493151</v>
      </c>
      <c r="J10" s="14">
        <f>1-_xlfn.BETA.DIST(VLOOKUP($A10,NB_p!$A$2:$G$25,5,FALSE),VLOOKUP($A10,NB_r!$A$2:$G$25,5,FALSE),J$2,TRUE)</f>
        <v>0.13258216076090013</v>
      </c>
      <c r="K10" s="14">
        <f t="shared" si="0"/>
        <v>9.8630136986301367E-2</v>
      </c>
      <c r="L10" s="1"/>
      <c r="M10" s="1"/>
      <c r="N10" s="1"/>
      <c r="O10" s="1"/>
    </row>
    <row r="11" spans="1:15" x14ac:dyDescent="0.3">
      <c r="A11" s="9"/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16</v>
      </c>
      <c r="G11" s="10" t="s">
        <v>17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1" t="s">
        <v>28</v>
      </c>
      <c r="N11" s="1"/>
      <c r="O11" s="1"/>
    </row>
    <row r="12" spans="1:15" x14ac:dyDescent="0.3">
      <c r="A12" s="12" t="s">
        <v>29</v>
      </c>
      <c r="B12" s="1">
        <v>5</v>
      </c>
      <c r="C12" s="1">
        <v>5</v>
      </c>
      <c r="D12" s="1">
        <v>10</v>
      </c>
      <c r="E12" s="1">
        <v>10</v>
      </c>
      <c r="F12" s="1">
        <v>15</v>
      </c>
      <c r="G12" s="1">
        <v>15</v>
      </c>
      <c r="H12" s="1">
        <v>20</v>
      </c>
      <c r="I12" s="1">
        <v>20</v>
      </c>
      <c r="J12" s="1">
        <v>25</v>
      </c>
      <c r="K12" s="1">
        <v>25</v>
      </c>
      <c r="L12" s="1">
        <v>30</v>
      </c>
      <c r="M12" s="13">
        <v>30</v>
      </c>
      <c r="N12" s="1"/>
      <c r="O12" s="1"/>
    </row>
    <row r="13" spans="1:15" x14ac:dyDescent="0.3">
      <c r="A13" s="12">
        <v>7</v>
      </c>
      <c r="B13" s="14">
        <f>1-_xlfn.BETA.DIST(VLOOKUP($A13,NB_p!$A$2:$G$25,5,FALSE),VLOOKUP($A13,NB_r!$A$2:$G$25,5,FALSE),B$12,TRUE)</f>
        <v>0.97362885773420793</v>
      </c>
      <c r="C13" s="14">
        <f>COUNTIF(INDEX($B$33:$Y$397,0,MATCH($A13,$B$32:$Y$32,0)),"&gt;="&amp;C$12)/ROWS($A$33:$A$397)</f>
        <v>0.98082191780821915</v>
      </c>
      <c r="D13" s="14">
        <f>1-_xlfn.BETA.DIST(VLOOKUP($A13,NB_p!$A$2:$G$25,5,FALSE),VLOOKUP($A13,NB_r!$A$2:$G$25,5,FALSE),D$12,TRUE)</f>
        <v>0.80506004316850166</v>
      </c>
      <c r="E13" s="14">
        <f>COUNTIF(INDEX($B$33:$Y$397,0,MATCH($A13,$B$32:$Y$32,0)),"&gt;="&amp;E$12)/ROWS($A$33:$A$397)</f>
        <v>0.8</v>
      </c>
      <c r="F13" s="14">
        <f>1-_xlfn.BETA.DIST(VLOOKUP($A13,NB_p!$A$2:$G$25,5,FALSE),VLOOKUP($A13,NB_r!$A$2:$G$25,5,FALSE),F$12,TRUE)</f>
        <v>0.52536493426854414</v>
      </c>
      <c r="G13" s="14">
        <f>COUNTIF(INDEX($B$33:$Y$397,0,MATCH($A13,$B$32:$Y$32,0)),"&gt;="&amp;G$12)/ROWS($A$33:$A$397)</f>
        <v>0.55890410958904113</v>
      </c>
      <c r="H13" s="14">
        <f>1-_xlfn.BETA.DIST(VLOOKUP($A13,NB_p!$A$2:$G$25,5,FALSE),VLOOKUP($A13,NB_r!$A$2:$G$25,5,FALSE),H$12,TRUE)</f>
        <v>0.27805430270183917</v>
      </c>
      <c r="I13" s="14">
        <f>COUNTIF(INDEX($B$33:$Y$397,0,MATCH($A13,$B$32:$Y$32,0)),"&gt;="&amp;I$12)/ROWS($A$33:$A$397)</f>
        <v>0.27397260273972601</v>
      </c>
      <c r="J13" s="14">
        <f>1-_xlfn.BETA.DIST(VLOOKUP($A13,NB_p!$A$2:$G$25,5,FALSE),VLOOKUP($A13,NB_r!$A$2:$G$25,5,FALSE),J$12,TRUE)</f>
        <v>0.12496379965400295</v>
      </c>
      <c r="K13" s="14">
        <f>COUNTIF(INDEX($B$33:$Y$397,0,MATCH($A13,$B$32:$Y$32,0)),"&gt;="&amp;K$12)/ROWS($A$33:$A$397)</f>
        <v>0.12328767123287671</v>
      </c>
      <c r="L13" s="14">
        <f>1-_xlfn.BETA.DIST(VLOOKUP($A13,NB_p!$A$2:$G$25,5,FALSE),VLOOKUP($A13,NB_r!$A$2:$G$25,5,FALSE),L$12,TRUE)</f>
        <v>4.9532320758171489E-2</v>
      </c>
      <c r="M13" s="14">
        <f>COUNTIF(INDEX($B$33:$Y$397,0,MATCH($A13,$B$32:$Y$32,0)),"&gt;="&amp;M$12)/ROWS($A$33:$A$397)</f>
        <v>3.287671232876712E-2</v>
      </c>
      <c r="N13" s="1"/>
      <c r="O13" s="1"/>
    </row>
    <row r="14" spans="1:15" x14ac:dyDescent="0.3">
      <c r="A14" s="12">
        <v>8</v>
      </c>
      <c r="B14" s="14">
        <f>1-_xlfn.BETA.DIST(VLOOKUP($A14,NB_p!$A$2:$G$25,5,FALSE),VLOOKUP($A14,NB_r!$A$2:$G$25,5,FALSE),B$12,TRUE)</f>
        <v>0.99480434265185624</v>
      </c>
      <c r="C14" s="14">
        <f t="shared" ref="C14:M18" si="1">COUNTIF(INDEX($B$33:$Y$397,0,MATCH($A14,$B$32:$Y$32,0)),"&gt;="&amp;C$12)/ROWS($A$33:$A$397)</f>
        <v>0.99726027397260275</v>
      </c>
      <c r="D14" s="14">
        <f>1-_xlfn.BETA.DIST(VLOOKUP($A14,NB_p!$A$2:$G$25,5,FALSE),VLOOKUP($A14,NB_r!$A$2:$G$25,5,FALSE),D$12,TRUE)</f>
        <v>0.92302762203468991</v>
      </c>
      <c r="E14" s="14">
        <f t="shared" si="1"/>
        <v>0.9068493150684932</v>
      </c>
      <c r="F14" s="14">
        <f>1-_xlfn.BETA.DIST(VLOOKUP($A14,NB_p!$A$2:$G$25,5,FALSE),VLOOKUP($A14,NB_r!$A$2:$G$25,5,FALSE),F$12,TRUE)</f>
        <v>0.71562436679999819</v>
      </c>
      <c r="G14" s="14">
        <f t="shared" si="1"/>
        <v>0.70410958904109588</v>
      </c>
      <c r="H14" s="14">
        <f>1-_xlfn.BETA.DIST(VLOOKUP($A14,NB_p!$A$2:$G$25,5,FALSE),VLOOKUP($A14,NB_r!$A$2:$G$25,5,FALSE),H$12,TRUE)</f>
        <v>0.44528874579845645</v>
      </c>
      <c r="I14" s="14">
        <f t="shared" si="1"/>
        <v>0.48219178082191783</v>
      </c>
      <c r="J14" s="14">
        <f>1-_xlfn.BETA.DIST(VLOOKUP($A14,NB_p!$A$2:$G$25,5,FALSE),VLOOKUP($A14,NB_r!$A$2:$G$25,5,FALSE),J$12,TRUE)</f>
        <v>0.22656847990302331</v>
      </c>
      <c r="K14" s="14">
        <f t="shared" si="1"/>
        <v>0.21095890410958903</v>
      </c>
      <c r="L14" s="14">
        <f>1-_xlfn.BETA.DIST(VLOOKUP($A14,NB_p!$A$2:$G$25,5,FALSE),VLOOKUP($A14,NB_r!$A$2:$G$25,5,FALSE),L$12,TRUE)</f>
        <v>9.7508939689107454E-2</v>
      </c>
      <c r="M14" s="14">
        <f t="shared" si="1"/>
        <v>9.0410958904109592E-2</v>
      </c>
      <c r="N14" s="1"/>
      <c r="O14" s="1"/>
    </row>
    <row r="15" spans="1:15" x14ac:dyDescent="0.3">
      <c r="A15" s="12">
        <v>19</v>
      </c>
      <c r="B15" s="14">
        <f>1-_xlfn.BETA.DIST(VLOOKUP($A15,NB_p!$A$2:$G$25,5,FALSE),VLOOKUP($A15,NB_r!$A$2:$G$25,5,FALSE),B$12,TRUE)</f>
        <v>0.99870102336883682</v>
      </c>
      <c r="C15" s="14">
        <f t="shared" si="1"/>
        <v>0.99726027397260275</v>
      </c>
      <c r="D15" s="14">
        <f>1-_xlfn.BETA.DIST(VLOOKUP($A15,NB_p!$A$2:$G$25,5,FALSE),VLOOKUP($A15,NB_r!$A$2:$G$25,5,FALSE),D$12,TRUE)</f>
        <v>0.95337559459124932</v>
      </c>
      <c r="E15" s="14">
        <f t="shared" si="1"/>
        <v>0.95342465753424654</v>
      </c>
      <c r="F15" s="14">
        <f>1-_xlfn.BETA.DIST(VLOOKUP($A15,NB_p!$A$2:$G$25,5,FALSE),VLOOKUP($A15,NB_r!$A$2:$G$25,5,FALSE),F$12,TRUE)</f>
        <v>0.73633593151905408</v>
      </c>
      <c r="G15" s="14">
        <f t="shared" si="1"/>
        <v>0.75068493150684934</v>
      </c>
      <c r="H15" s="14">
        <f>1-_xlfn.BETA.DIST(VLOOKUP($A15,NB_p!$A$2:$G$25,5,FALSE),VLOOKUP($A15,NB_r!$A$2:$G$25,5,FALSE),H$12,TRUE)</f>
        <v>0.39948259986140755</v>
      </c>
      <c r="I15" s="14">
        <f t="shared" si="1"/>
        <v>0.36712328767123287</v>
      </c>
      <c r="J15" s="14">
        <f>1-_xlfn.BETA.DIST(VLOOKUP($A15,NB_p!$A$2:$G$25,5,FALSE),VLOOKUP($A15,NB_r!$A$2:$G$25,5,FALSE),J$12,TRUE)</f>
        <v>0.15021717812666913</v>
      </c>
      <c r="K15" s="14">
        <f t="shared" si="1"/>
        <v>0.14520547945205478</v>
      </c>
      <c r="L15" s="14">
        <f>1-_xlfn.BETA.DIST(VLOOKUP($A15,NB_p!$A$2:$G$25,5,FALSE),VLOOKUP($A15,NB_r!$A$2:$G$25,5,FALSE),L$12,TRUE)</f>
        <v>4.0984060982554249E-2</v>
      </c>
      <c r="M15" s="14">
        <f t="shared" si="1"/>
        <v>4.6575342465753428E-2</v>
      </c>
      <c r="N15" s="1"/>
      <c r="O15" s="1"/>
    </row>
    <row r="16" spans="1:15" x14ac:dyDescent="0.3">
      <c r="A16" s="12">
        <v>20</v>
      </c>
      <c r="B16" s="14">
        <f>1-_xlfn.BETA.DIST(VLOOKUP($A16,NB_p!$A$2:$G$25,5,FALSE),VLOOKUP($A16,NB_r!$A$2:$G$25,5,FALSE),B$12,TRUE)</f>
        <v>0.99492549020432652</v>
      </c>
      <c r="C16" s="14">
        <f t="shared" si="1"/>
        <v>0.9945205479452055</v>
      </c>
      <c r="D16" s="14">
        <f>1-_xlfn.BETA.DIST(VLOOKUP($A16,NB_p!$A$2:$G$25,5,FALSE),VLOOKUP($A16,NB_r!$A$2:$G$25,5,FALSE),D$12,TRUE)</f>
        <v>0.89414174056265638</v>
      </c>
      <c r="E16" s="14">
        <f t="shared" si="1"/>
        <v>0.93150684931506844</v>
      </c>
      <c r="F16" s="14">
        <f>1-_xlfn.BETA.DIST(VLOOKUP($A16,NB_p!$A$2:$G$25,5,FALSE),VLOOKUP($A16,NB_r!$A$2:$G$25,5,FALSE),F$12,TRUE)</f>
        <v>0.5880918721906252</v>
      </c>
      <c r="G16" s="14">
        <f t="shared" si="1"/>
        <v>0.60821917808219184</v>
      </c>
      <c r="H16" s="14">
        <f>1-_xlfn.BETA.DIST(VLOOKUP($A16,NB_p!$A$2:$G$25,5,FALSE),VLOOKUP($A16,NB_r!$A$2:$G$25,5,FALSE),H$12,TRUE)</f>
        <v>0.2606657173252126</v>
      </c>
      <c r="I16" s="14">
        <f t="shared" si="1"/>
        <v>0.23013698630136986</v>
      </c>
      <c r="J16" s="14">
        <f>1-_xlfn.BETA.DIST(VLOOKUP($A16,NB_p!$A$2:$G$25,5,FALSE),VLOOKUP($A16,NB_r!$A$2:$G$25,5,FALSE),J$12,TRUE)</f>
        <v>8.0962826819645839E-2</v>
      </c>
      <c r="K16" s="14">
        <f t="shared" si="1"/>
        <v>6.575342465753424E-2</v>
      </c>
      <c r="L16" s="14">
        <f>1-_xlfn.BETA.DIST(VLOOKUP($A16,NB_p!$A$2:$G$25,5,FALSE),VLOOKUP($A16,NB_r!$A$2:$G$25,5,FALSE),L$12,TRUE)</f>
        <v>1.880093096653801E-2</v>
      </c>
      <c r="M16" s="14">
        <f t="shared" si="1"/>
        <v>1.0958904109589041E-2</v>
      </c>
      <c r="N16" s="1"/>
      <c r="O16" s="1"/>
    </row>
    <row r="17" spans="1:25" x14ac:dyDescent="0.3">
      <c r="A17" s="12">
        <v>21</v>
      </c>
      <c r="B17" s="14">
        <f>1-_xlfn.BETA.DIST(VLOOKUP($A17,NB_p!$A$2:$G$25,5,FALSE),VLOOKUP($A17,NB_r!$A$2:$G$25,5,FALSE),B$12,TRUE)</f>
        <v>0.99378725963525494</v>
      </c>
      <c r="C17" s="14">
        <f t="shared" si="1"/>
        <v>0.99178082191780825</v>
      </c>
      <c r="D17" s="14">
        <f>1-_xlfn.BETA.DIST(VLOOKUP($A17,NB_p!$A$2:$G$25,5,FALSE),VLOOKUP($A17,NB_r!$A$2:$G$25,5,FALSE),D$12,TRUE)</f>
        <v>0.84031053563014091</v>
      </c>
      <c r="E17" s="14">
        <f t="shared" si="1"/>
        <v>0.84383561643835614</v>
      </c>
      <c r="F17" s="14">
        <f>1-_xlfn.BETA.DIST(VLOOKUP($A17,NB_p!$A$2:$G$25,5,FALSE),VLOOKUP($A17,NB_r!$A$2:$G$25,5,FALSE),F$12,TRUE)</f>
        <v>0.41750708298104544</v>
      </c>
      <c r="G17" s="14">
        <f t="shared" si="1"/>
        <v>0.41095890410958902</v>
      </c>
      <c r="H17" s="14">
        <f>1-_xlfn.BETA.DIST(VLOOKUP($A17,NB_p!$A$2:$G$25,5,FALSE),VLOOKUP($A17,NB_r!$A$2:$G$25,5,FALSE),H$12,TRUE)</f>
        <v>0.1070011155726589</v>
      </c>
      <c r="I17" s="14">
        <f t="shared" si="1"/>
        <v>0.10410958904109589</v>
      </c>
      <c r="J17" s="14">
        <f>1-_xlfn.BETA.DIST(VLOOKUP($A17,NB_p!$A$2:$G$25,5,FALSE),VLOOKUP($A17,NB_r!$A$2:$G$25,5,FALSE),J$12,TRUE)</f>
        <v>1.5280559754074829E-2</v>
      </c>
      <c r="K17" s="14">
        <f t="shared" si="1"/>
        <v>1.643835616438356E-2</v>
      </c>
      <c r="L17" s="14">
        <f>1-_xlfn.BETA.DIST(VLOOKUP($A17,NB_p!$A$2:$G$25,5,FALSE),VLOOKUP($A17,NB_r!$A$2:$G$25,5,FALSE),L$12,TRUE)</f>
        <v>1.3551767098820555E-3</v>
      </c>
      <c r="M17" s="14">
        <f t="shared" si="1"/>
        <v>0</v>
      </c>
      <c r="N17" s="1"/>
      <c r="O17" s="1"/>
    </row>
    <row r="18" spans="1:25" x14ac:dyDescent="0.3">
      <c r="A18" s="12">
        <v>22</v>
      </c>
      <c r="B18" s="14">
        <f>1-_xlfn.BETA.DIST(VLOOKUP($A18,NB_p!$A$2:$G$25,5,FALSE),VLOOKUP($A18,NB_r!$A$2:$G$25,5,FALSE),B$12,TRUE)</f>
        <v>0.9616475551158622</v>
      </c>
      <c r="C18" s="14">
        <f t="shared" si="1"/>
        <v>0.9671232876712329</v>
      </c>
      <c r="D18" s="14">
        <f>1-_xlfn.BETA.DIST(VLOOKUP($A18,NB_p!$A$2:$G$25,5,FALSE),VLOOKUP($A18,NB_r!$A$2:$G$25,5,FALSE),D$12,TRUE)</f>
        <v>0.65017708183154288</v>
      </c>
      <c r="E18" s="14">
        <f t="shared" si="1"/>
        <v>0.65205479452054793</v>
      </c>
      <c r="F18" s="14">
        <f>1-_xlfn.BETA.DIST(VLOOKUP($A18,NB_p!$A$2:$G$25,5,FALSE),VLOOKUP($A18,NB_r!$A$2:$G$25,5,FALSE),F$12,TRUE)</f>
        <v>0.24746959954850634</v>
      </c>
      <c r="G18" s="14">
        <f t="shared" si="1"/>
        <v>0.22739726027397261</v>
      </c>
      <c r="H18" s="14">
        <f>1-_xlfn.BETA.DIST(VLOOKUP($A18,NB_p!$A$2:$G$25,5,FALSE),VLOOKUP($A18,NB_r!$A$2:$G$25,5,FALSE),H$12,TRUE)</f>
        <v>5.7147565804014921E-2</v>
      </c>
      <c r="I18" s="14">
        <f t="shared" si="1"/>
        <v>6.0273972602739728E-2</v>
      </c>
      <c r="J18" s="14">
        <f>1-_xlfn.BETA.DIST(VLOOKUP($A18,NB_p!$A$2:$G$25,5,FALSE),VLOOKUP($A18,NB_r!$A$2:$G$25,5,FALSE),J$12,TRUE)</f>
        <v>9.0394444028405463E-3</v>
      </c>
      <c r="K18" s="14">
        <f t="shared" si="1"/>
        <v>8.21917808219178E-3</v>
      </c>
      <c r="L18" s="14">
        <f>1-_xlfn.BETA.DIST(VLOOKUP($A18,NB_p!$A$2:$G$25,5,FALSE),VLOOKUP($A18,NB_r!$A$2:$G$25,5,FALSE),L$12,TRUE)</f>
        <v>1.0751896537608552E-3</v>
      </c>
      <c r="M18" s="14">
        <f t="shared" si="1"/>
        <v>2.7397260273972603E-3</v>
      </c>
      <c r="N18" s="1"/>
      <c r="O18" s="1"/>
    </row>
    <row r="19" spans="1:25" x14ac:dyDescent="0.3">
      <c r="A19" s="9"/>
      <c r="B19" s="10" t="s">
        <v>21</v>
      </c>
      <c r="C19" s="10" t="s">
        <v>22</v>
      </c>
      <c r="D19" s="10" t="s">
        <v>16</v>
      </c>
      <c r="E19" s="10" t="s">
        <v>17</v>
      </c>
      <c r="F19" s="10" t="s">
        <v>23</v>
      </c>
      <c r="G19" s="10" t="s">
        <v>24</v>
      </c>
      <c r="H19" s="10" t="s">
        <v>25</v>
      </c>
      <c r="I19" s="10" t="s">
        <v>26</v>
      </c>
      <c r="J19" s="10" t="s">
        <v>27</v>
      </c>
      <c r="K19" s="10" t="s">
        <v>28</v>
      </c>
      <c r="L19" s="10" t="s">
        <v>30</v>
      </c>
      <c r="M19" s="10" t="s">
        <v>31</v>
      </c>
      <c r="N19" s="10" t="s">
        <v>32</v>
      </c>
      <c r="O19" s="11" t="s">
        <v>33</v>
      </c>
    </row>
    <row r="20" spans="1:25" x14ac:dyDescent="0.3">
      <c r="A20" s="12" t="s">
        <v>34</v>
      </c>
      <c r="B20" s="1">
        <v>10</v>
      </c>
      <c r="C20" s="1">
        <v>10</v>
      </c>
      <c r="D20" s="1">
        <v>15</v>
      </c>
      <c r="E20" s="1">
        <v>15</v>
      </c>
      <c r="F20" s="1">
        <v>20</v>
      </c>
      <c r="G20" s="1">
        <v>20</v>
      </c>
      <c r="H20" s="1">
        <v>25</v>
      </c>
      <c r="I20" s="1">
        <v>25</v>
      </c>
      <c r="J20" s="1">
        <v>30</v>
      </c>
      <c r="K20" s="1">
        <v>30</v>
      </c>
      <c r="L20" s="1">
        <v>35</v>
      </c>
      <c r="M20" s="1">
        <v>35</v>
      </c>
      <c r="N20" s="1">
        <v>40</v>
      </c>
      <c r="O20" s="13">
        <v>40</v>
      </c>
    </row>
    <row r="21" spans="1:25" x14ac:dyDescent="0.3">
      <c r="A21" s="12">
        <v>9</v>
      </c>
      <c r="B21" s="14">
        <f>1-_xlfn.BETA.DIST(VLOOKUP($A21,NB_p!$A$2:$G$25,5,FALSE),VLOOKUP($A21,NB_r!$A$2:$G$25,5,FALSE),B$20,TRUE)</f>
        <v>0.96262898310135037</v>
      </c>
      <c r="C21" s="14">
        <f>COUNTIF(INDEX($B$33:$Y$397,0,MATCH($A21,$B$32:$Y$32,0)),"&gt;="&amp;C$20)/ROWS($A$33:$A$397)</f>
        <v>0.9671232876712329</v>
      </c>
      <c r="D21" s="14">
        <f>1-_xlfn.BETA.DIST(VLOOKUP($A21,NB_p!$A$2:$G$25,5,FALSE),VLOOKUP($A21,NB_r!$A$2:$G$25,5,FALSE),D$20,TRUE)</f>
        <v>0.79989230612727169</v>
      </c>
      <c r="E21" s="14">
        <f>COUNTIF(INDEX($B$33:$Y$397,0,MATCH($A21,$B$32:$Y$32,0)),"&gt;="&amp;E$20)/ROWS($A$33:$A$397)</f>
        <v>0.83013698630136989</v>
      </c>
      <c r="F21" s="14">
        <f>1-_xlfn.BETA.DIST(VLOOKUP($A21,NB_p!$A$2:$G$25,5,FALSE),VLOOKUP($A21,NB_r!$A$2:$G$25,5,FALSE),F$20,TRUE)</f>
        <v>0.52143832097148546</v>
      </c>
      <c r="G21" s="14">
        <f>COUNTIF(INDEX($B$33:$Y$397,0,MATCH($A21,$B$32:$Y$32,0)),"&gt;="&amp;G$20)/ROWS($A$33:$A$397)</f>
        <v>0.49863013698630138</v>
      </c>
      <c r="H21" s="14">
        <f>1-_xlfn.BETA.DIST(VLOOKUP($A21,NB_p!$A$2:$G$25,5,FALSE),VLOOKUP($A21,NB_r!$A$2:$G$25,5,FALSE),H$20,TRUE)</f>
        <v>0.26315557593727457</v>
      </c>
      <c r="I21" s="14">
        <f>COUNTIF(INDEX($B$33:$Y$397,0,MATCH($A21,$B$32:$Y$32,0)),"&gt;="&amp;I$20)/ROWS($A$33:$A$397)</f>
        <v>0.27123287671232876</v>
      </c>
      <c r="J21" s="14">
        <f>1-_xlfn.BETA.DIST(VLOOKUP($A21,NB_p!$A$2:$G$25,5,FALSE),VLOOKUP($A21,NB_r!$A$2:$G$25,5,FALSE),J$20,TRUE)</f>
        <v>0.10576499080168533</v>
      </c>
      <c r="K21" s="14">
        <f>COUNTIF(INDEX($B$33:$Y$397,0,MATCH($A21,$B$32:$Y$32,0)),"&gt;="&amp;K$20)/ROWS($A$33:$A$397)</f>
        <v>9.5890410958904104E-2</v>
      </c>
      <c r="L21" s="14">
        <f>1-_xlfn.BETA.DIST(VLOOKUP($A21,NB_p!$A$2:$G$25,5,FALSE),VLOOKUP($A21,NB_r!$A$2:$G$25,5,FALSE),L$20,TRUE)</f>
        <v>3.5098668200987948E-2</v>
      </c>
      <c r="M21" s="14">
        <f>COUNTIF(INDEX($B$33:$Y$397,0,MATCH($A21,$B$32:$Y$32,0)),"&gt;="&amp;M$20)/ROWS($A$33:$A$397)</f>
        <v>2.4657534246575342E-2</v>
      </c>
      <c r="N21" s="14">
        <f>1-_xlfn.BETA.DIST(VLOOKUP($A21,NB_p!$A$2:$G$25,5,FALSE),VLOOKUP($A21,NB_r!$A$2:$G$25,5,FALSE),N$20,TRUE)</f>
        <v>9.9342460202507255E-3</v>
      </c>
      <c r="O21" s="17">
        <f>COUNTIF(INDEX($B$33:$Y$397,0,MATCH($A21,$B$32:$Y$32,0)),"&gt;="&amp;O$20)/ROWS($A$33:$A$397)</f>
        <v>1.3698630136986301E-2</v>
      </c>
    </row>
    <row r="22" spans="1:25" x14ac:dyDescent="0.3">
      <c r="A22" s="12">
        <v>10</v>
      </c>
      <c r="B22" s="14">
        <f>1-_xlfn.BETA.DIST(VLOOKUP($A22,NB_p!$A$2:$G$25,5,FALSE),VLOOKUP($A22,NB_r!$A$2:$G$25,5,FALSE),B$20,TRUE)</f>
        <v>0.97953092629053118</v>
      </c>
      <c r="C22" s="14">
        <f t="shared" ref="C22:O30" si="2">COUNTIF(INDEX($B$33:$Y$397,0,MATCH($A22,$B$32:$Y$32,0)),"&gt;="&amp;C$20)/ROWS($A$33:$A$397)</f>
        <v>0.9780821917808219</v>
      </c>
      <c r="D22" s="14">
        <f>1-_xlfn.BETA.DIST(VLOOKUP($A22,NB_p!$A$2:$G$25,5,FALSE),VLOOKUP($A22,NB_r!$A$2:$G$25,5,FALSE),D$20,TRUE)</f>
        <v>0.8591290646947517</v>
      </c>
      <c r="E22" s="14">
        <f t="shared" si="2"/>
        <v>0.8904109589041096</v>
      </c>
      <c r="F22" s="14">
        <f>1-_xlfn.BETA.DIST(VLOOKUP($A22,NB_p!$A$2:$G$25,5,FALSE),VLOOKUP($A22,NB_r!$A$2:$G$25,5,FALSE),F$20,TRUE)</f>
        <v>0.60327237914897425</v>
      </c>
      <c r="G22" s="14">
        <f t="shared" si="2"/>
        <v>0.60547945205479448</v>
      </c>
      <c r="H22" s="14">
        <f>1-_xlfn.BETA.DIST(VLOOKUP($A22,NB_p!$A$2:$G$25,5,FALSE),VLOOKUP($A22,NB_r!$A$2:$G$25,5,FALSE),H$20,TRUE)</f>
        <v>0.32566287722400356</v>
      </c>
      <c r="I22" s="14">
        <f t="shared" si="2"/>
        <v>0.29863013698630136</v>
      </c>
      <c r="J22" s="14">
        <f>1-_xlfn.BETA.DIST(VLOOKUP($A22,NB_p!$A$2:$G$25,5,FALSE),VLOOKUP($A22,NB_r!$A$2:$G$25,5,FALSE),J$20,TRUE)</f>
        <v>0.13721170665198379</v>
      </c>
      <c r="K22" s="14">
        <f t="shared" si="2"/>
        <v>0.12602739726027398</v>
      </c>
      <c r="L22" s="14">
        <f>1-_xlfn.BETA.DIST(VLOOKUP($A22,NB_p!$A$2:$G$25,5,FALSE),VLOOKUP($A22,NB_r!$A$2:$G$25,5,FALSE),L$20,TRUE)</f>
        <v>4.6634564925360555E-2</v>
      </c>
      <c r="M22" s="14">
        <f t="shared" si="2"/>
        <v>4.1095890410958902E-2</v>
      </c>
      <c r="N22" s="14">
        <f>1-_xlfn.BETA.DIST(VLOOKUP($A22,NB_p!$A$2:$G$25,5,FALSE),VLOOKUP($A22,NB_r!$A$2:$G$25,5,FALSE),N$20,TRUE)</f>
        <v>1.3218153453353754E-2</v>
      </c>
      <c r="O22" s="17">
        <f t="shared" si="2"/>
        <v>1.9178082191780823E-2</v>
      </c>
    </row>
    <row r="23" spans="1:25" x14ac:dyDescent="0.3">
      <c r="A23" s="12">
        <v>11</v>
      </c>
      <c r="B23" s="14">
        <f>1-_xlfn.BETA.DIST(VLOOKUP($A23,NB_p!$A$2:$G$25,5,FALSE),VLOOKUP($A23,NB_r!$A$2:$G$25,5,FALSE),B$20,TRUE)</f>
        <v>0.98614939752759334</v>
      </c>
      <c r="C23" s="14">
        <f t="shared" si="2"/>
        <v>0.98630136986301364</v>
      </c>
      <c r="D23" s="14">
        <f>1-_xlfn.BETA.DIST(VLOOKUP($A23,NB_p!$A$2:$G$25,5,FALSE),VLOOKUP($A23,NB_r!$A$2:$G$25,5,FALSE),D$20,TRUE)</f>
        <v>0.88582821386492361</v>
      </c>
      <c r="E23" s="14">
        <f t="shared" si="2"/>
        <v>0.8794520547945206</v>
      </c>
      <c r="F23" s="14">
        <f>1-_xlfn.BETA.DIST(VLOOKUP($A23,NB_p!$A$2:$G$25,5,FALSE),VLOOKUP($A23,NB_r!$A$2:$G$25,5,FALSE),F$20,TRUE)</f>
        <v>0.64099698797760052</v>
      </c>
      <c r="G23" s="14">
        <f t="shared" si="2"/>
        <v>0.65753424657534243</v>
      </c>
      <c r="H23" s="14">
        <f>1-_xlfn.BETA.DIST(VLOOKUP($A23,NB_p!$A$2:$G$25,5,FALSE),VLOOKUP($A23,NB_r!$A$2:$G$25,5,FALSE),H$20,TRUE)</f>
        <v>0.35172983647396894</v>
      </c>
      <c r="I23" s="14">
        <f t="shared" si="2"/>
        <v>0.35342465753424657</v>
      </c>
      <c r="J23" s="14">
        <f>1-_xlfn.BETA.DIST(VLOOKUP($A23,NB_p!$A$2:$G$25,5,FALSE),VLOOKUP($A23,NB_r!$A$2:$G$25,5,FALSE),J$20,TRUE)</f>
        <v>0.14717744786500675</v>
      </c>
      <c r="K23" s="14">
        <f t="shared" si="2"/>
        <v>0.13424657534246576</v>
      </c>
      <c r="L23" s="14">
        <f>1-_xlfn.BETA.DIST(VLOOKUP($A23,NB_p!$A$2:$G$25,5,FALSE),VLOOKUP($A23,NB_r!$A$2:$G$25,5,FALSE),L$20,TRUE)</f>
        <v>4.8463618412332377E-2</v>
      </c>
      <c r="M23" s="14">
        <f t="shared" si="2"/>
        <v>4.3835616438356165E-2</v>
      </c>
      <c r="N23" s="14">
        <f>1-_xlfn.BETA.DIST(VLOOKUP($A23,NB_p!$A$2:$G$25,5,FALSE),VLOOKUP($A23,NB_r!$A$2:$G$25,5,FALSE),N$20,TRUE)</f>
        <v>1.3004279646281813E-2</v>
      </c>
      <c r="O23" s="17">
        <f t="shared" si="2"/>
        <v>1.3698630136986301E-2</v>
      </c>
    </row>
    <row r="24" spans="1:25" x14ac:dyDescent="0.3">
      <c r="A24" s="12">
        <v>12</v>
      </c>
      <c r="B24" s="14">
        <f>1-_xlfn.BETA.DIST(VLOOKUP($A24,NB_p!$A$2:$G$25,5,FALSE),VLOOKUP($A24,NB_r!$A$2:$G$25,5,FALSE),B$20,TRUE)</f>
        <v>0.99268521590706305</v>
      </c>
      <c r="C24" s="14">
        <f t="shared" si="2"/>
        <v>0.9945205479452055</v>
      </c>
      <c r="D24" s="14">
        <f>1-_xlfn.BETA.DIST(VLOOKUP($A24,NB_p!$A$2:$G$25,5,FALSE),VLOOKUP($A24,NB_r!$A$2:$G$25,5,FALSE),D$20,TRUE)</f>
        <v>0.91720232112486488</v>
      </c>
      <c r="E24" s="14">
        <f t="shared" si="2"/>
        <v>0.93698630136986305</v>
      </c>
      <c r="F24" s="14">
        <f>1-_xlfn.BETA.DIST(VLOOKUP($A24,NB_p!$A$2:$G$25,5,FALSE),VLOOKUP($A24,NB_r!$A$2:$G$25,5,FALSE),F$20,TRUE)</f>
        <v>0.68601590517073274</v>
      </c>
      <c r="G24" s="14">
        <f t="shared" si="2"/>
        <v>0.70410958904109588</v>
      </c>
      <c r="H24" s="14">
        <f>1-_xlfn.BETA.DIST(VLOOKUP($A24,NB_p!$A$2:$G$25,5,FALSE),VLOOKUP($A24,NB_r!$A$2:$G$25,5,FALSE),H$20,TRUE)</f>
        <v>0.37658947282345512</v>
      </c>
      <c r="I24" s="14">
        <f t="shared" si="2"/>
        <v>0.36438356164383562</v>
      </c>
      <c r="J24" s="14">
        <f>1-_xlfn.BETA.DIST(VLOOKUP($A24,NB_p!$A$2:$G$25,5,FALSE),VLOOKUP($A24,NB_r!$A$2:$G$25,5,FALSE),J$20,TRUE)</f>
        <v>0.14962962275059655</v>
      </c>
      <c r="K24" s="14">
        <f t="shared" si="2"/>
        <v>0.14246575342465753</v>
      </c>
      <c r="L24" s="14">
        <f>1-_xlfn.BETA.DIST(VLOOKUP($A24,NB_p!$A$2:$G$25,5,FALSE),VLOOKUP($A24,NB_r!$A$2:$G$25,5,FALSE),L$20,TRUE)</f>
        <v>4.426946185765579E-2</v>
      </c>
      <c r="M24" s="14">
        <f t="shared" si="2"/>
        <v>4.6575342465753428E-2</v>
      </c>
      <c r="N24" s="14">
        <f>1-_xlfn.BETA.DIST(VLOOKUP($A24,NB_p!$A$2:$G$25,5,FALSE),VLOOKUP($A24,NB_r!$A$2:$G$25,5,FALSE),N$20,TRUE)</f>
        <v>1.0134871047960514E-2</v>
      </c>
      <c r="O24" s="17">
        <f t="shared" si="2"/>
        <v>2.1917808219178082E-2</v>
      </c>
    </row>
    <row r="25" spans="1:25" x14ac:dyDescent="0.3">
      <c r="A25" s="12">
        <v>13</v>
      </c>
      <c r="B25" s="14">
        <f>1-_xlfn.BETA.DIST(VLOOKUP($A25,NB_p!$A$2:$G$25,5,FALSE),VLOOKUP($A25,NB_r!$A$2:$G$25,5,FALSE),B$20,TRUE)</f>
        <v>0.98734540125440129</v>
      </c>
      <c r="C25" s="14">
        <f t="shared" si="2"/>
        <v>0.989041095890411</v>
      </c>
      <c r="D25" s="14">
        <f>1-_xlfn.BETA.DIST(VLOOKUP($A25,NB_p!$A$2:$G$25,5,FALSE),VLOOKUP($A25,NB_r!$A$2:$G$25,5,FALSE),D$20,TRUE)</f>
        <v>0.89608509761725108</v>
      </c>
      <c r="E25" s="14">
        <f t="shared" si="2"/>
        <v>0.8794520547945206</v>
      </c>
      <c r="F25" s="14">
        <f>1-_xlfn.BETA.DIST(VLOOKUP($A25,NB_p!$A$2:$G$25,5,FALSE),VLOOKUP($A25,NB_r!$A$2:$G$25,5,FALSE),F$20,TRUE)</f>
        <v>0.66809568931726426</v>
      </c>
      <c r="G25" s="14">
        <f t="shared" si="2"/>
        <v>0.69041095890410964</v>
      </c>
      <c r="H25" s="14">
        <f>1-_xlfn.BETA.DIST(VLOOKUP($A25,NB_p!$A$2:$G$25,5,FALSE),VLOOKUP($A25,NB_r!$A$2:$G$25,5,FALSE),H$20,TRUE)</f>
        <v>0.38607789429393025</v>
      </c>
      <c r="I25" s="14">
        <f t="shared" si="2"/>
        <v>0.39178082191780822</v>
      </c>
      <c r="J25" s="14">
        <f>1-_xlfn.BETA.DIST(VLOOKUP($A25,NB_p!$A$2:$G$25,5,FALSE),VLOOKUP($A25,NB_r!$A$2:$G$25,5,FALSE),J$20,TRUE)</f>
        <v>0.17337929352997727</v>
      </c>
      <c r="K25" s="14">
        <f t="shared" si="2"/>
        <v>0.16986301369863013</v>
      </c>
      <c r="L25" s="14">
        <f>1-_xlfn.BETA.DIST(VLOOKUP($A25,NB_p!$A$2:$G$25,5,FALSE),VLOOKUP($A25,NB_r!$A$2:$G$25,5,FALSE),L$20,TRUE)</f>
        <v>6.2217185216408399E-2</v>
      </c>
      <c r="M25" s="14">
        <f t="shared" si="2"/>
        <v>4.6575342465753428E-2</v>
      </c>
      <c r="N25" s="14">
        <f>1-_xlfn.BETA.DIST(VLOOKUP($A25,NB_p!$A$2:$G$25,5,FALSE),VLOOKUP($A25,NB_r!$A$2:$G$25,5,FALSE),N$20,TRUE)</f>
        <v>1.8420743114847427E-2</v>
      </c>
      <c r="O25" s="17">
        <f t="shared" si="2"/>
        <v>1.3698630136986301E-2</v>
      </c>
    </row>
    <row r="26" spans="1:25" x14ac:dyDescent="0.3">
      <c r="A26" s="12">
        <v>14</v>
      </c>
      <c r="B26" s="14">
        <f>1-_xlfn.BETA.DIST(VLOOKUP($A26,NB_p!$A$2:$G$25,5,FALSE),VLOOKUP($A26,NB_r!$A$2:$G$25,5,FALSE),B$20,TRUE)</f>
        <v>0.98750624982036073</v>
      </c>
      <c r="C26" s="14">
        <f t="shared" si="2"/>
        <v>0.98630136986301364</v>
      </c>
      <c r="D26" s="14">
        <f>1-_xlfn.BETA.DIST(VLOOKUP($A26,NB_p!$A$2:$G$25,5,FALSE),VLOOKUP($A26,NB_r!$A$2:$G$25,5,FALSE),D$20,TRUE)</f>
        <v>0.89961237156571494</v>
      </c>
      <c r="E26" s="14">
        <f t="shared" si="2"/>
        <v>0.9342465753424658</v>
      </c>
      <c r="F26" s="14">
        <f>1-_xlfn.BETA.DIST(VLOOKUP($A26,NB_p!$A$2:$G$25,5,FALSE),VLOOKUP($A26,NB_r!$A$2:$G$25,5,FALSE),F$20,TRUE)</f>
        <v>0.68029890448318397</v>
      </c>
      <c r="G26" s="14">
        <f t="shared" si="2"/>
        <v>0.69589041095890414</v>
      </c>
      <c r="H26" s="14">
        <f>1-_xlfn.BETA.DIST(VLOOKUP($A26,NB_p!$A$2:$G$25,5,FALSE),VLOOKUP($A26,NB_r!$A$2:$G$25,5,FALSE),H$20,TRUE)</f>
        <v>0.40425082461889517</v>
      </c>
      <c r="I26" s="14">
        <f t="shared" si="2"/>
        <v>0.39178082191780822</v>
      </c>
      <c r="J26" s="14">
        <f>1-_xlfn.BETA.DIST(VLOOKUP($A26,NB_p!$A$2:$G$25,5,FALSE),VLOOKUP($A26,NB_r!$A$2:$G$25,5,FALSE),J$20,TRUE)</f>
        <v>0.18913883185685176</v>
      </c>
      <c r="K26" s="14">
        <f t="shared" si="2"/>
        <v>0.18082191780821918</v>
      </c>
      <c r="L26" s="14">
        <f>1-_xlfn.BETA.DIST(VLOOKUP($A26,NB_p!$A$2:$G$25,5,FALSE),VLOOKUP($A26,NB_r!$A$2:$G$25,5,FALSE),L$20,TRUE)</f>
        <v>7.1514235240895285E-2</v>
      </c>
      <c r="M26" s="14">
        <f t="shared" si="2"/>
        <v>7.1232876712328766E-2</v>
      </c>
      <c r="N26" s="14">
        <f>1-_xlfn.BETA.DIST(VLOOKUP($A26,NB_p!$A$2:$G$25,5,FALSE),VLOOKUP($A26,NB_r!$A$2:$G$25,5,FALSE),N$20,TRUE)</f>
        <v>2.2521095849624362E-2</v>
      </c>
      <c r="O26" s="17">
        <f t="shared" si="2"/>
        <v>1.9178082191780823E-2</v>
      </c>
    </row>
    <row r="27" spans="1:25" x14ac:dyDescent="0.3">
      <c r="A27" s="12">
        <v>15</v>
      </c>
      <c r="B27" s="14">
        <f>1-_xlfn.BETA.DIST(VLOOKUP($A27,NB_p!$A$2:$G$25,5,FALSE),VLOOKUP($A27,NB_r!$A$2:$G$25,5,FALSE),B$20,TRUE)</f>
        <v>0.98573135979925464</v>
      </c>
      <c r="C27" s="14">
        <f t="shared" si="2"/>
        <v>0.98630136986301364</v>
      </c>
      <c r="D27" s="14">
        <f>1-_xlfn.BETA.DIST(VLOOKUP($A27,NB_p!$A$2:$G$25,5,FALSE),VLOOKUP($A27,NB_r!$A$2:$G$25,5,FALSE),D$20,TRUE)</f>
        <v>0.90249158670245144</v>
      </c>
      <c r="E27" s="14">
        <f t="shared" si="2"/>
        <v>0.9123287671232877</v>
      </c>
      <c r="F27" s="14">
        <f>1-_xlfn.BETA.DIST(VLOOKUP($A27,NB_p!$A$2:$G$25,5,FALSE),VLOOKUP($A27,NB_r!$A$2:$G$25,5,FALSE),F$20,TRUE)</f>
        <v>0.7086829739518884</v>
      </c>
      <c r="G27" s="14">
        <f t="shared" si="2"/>
        <v>0.74794520547945209</v>
      </c>
      <c r="H27" s="14">
        <f>1-_xlfn.BETA.DIST(VLOOKUP($A27,NB_p!$A$2:$G$25,5,FALSE),VLOOKUP($A27,NB_r!$A$2:$G$25,5,FALSE),H$20,TRUE)</f>
        <v>0.45989864992227603</v>
      </c>
      <c r="I27" s="14">
        <f t="shared" si="2"/>
        <v>0.46301369863013697</v>
      </c>
      <c r="J27" s="14">
        <f>1-_xlfn.BETA.DIST(VLOOKUP($A27,NB_p!$A$2:$G$25,5,FALSE),VLOOKUP($A27,NB_r!$A$2:$G$25,5,FALSE),J$20,TRUE)</f>
        <v>0.24755807074531044</v>
      </c>
      <c r="K27" s="14">
        <f t="shared" si="2"/>
        <v>0.21095890410958903</v>
      </c>
      <c r="L27" s="14">
        <f>1-_xlfn.BETA.DIST(VLOOKUP($A27,NB_p!$A$2:$G$25,5,FALSE),VLOOKUP($A27,NB_r!$A$2:$G$25,5,FALSE),L$20,TRUE)</f>
        <v>0.11283665610809068</v>
      </c>
      <c r="M27" s="14">
        <f t="shared" si="2"/>
        <v>6.3013698630136991E-2</v>
      </c>
      <c r="N27" s="14">
        <f>1-_xlfn.BETA.DIST(VLOOKUP($A27,NB_p!$A$2:$G$25,5,FALSE),VLOOKUP($A27,NB_r!$A$2:$G$25,5,FALSE),N$20,TRUE)</f>
        <v>4.4584852313727108E-2</v>
      </c>
      <c r="O27" s="17">
        <f t="shared" si="2"/>
        <v>1.9178082191780823E-2</v>
      </c>
    </row>
    <row r="28" spans="1:25" x14ac:dyDescent="0.3">
      <c r="A28" s="12">
        <v>16</v>
      </c>
      <c r="B28" s="14">
        <f>1-_xlfn.BETA.DIST(VLOOKUP($A28,NB_p!$A$2:$G$25,5,FALSE),VLOOKUP($A28,NB_r!$A$2:$G$25,5,FALSE),B$20,TRUE)</f>
        <v>0.96602644659108416</v>
      </c>
      <c r="C28" s="14">
        <f t="shared" si="2"/>
        <v>0.989041095890411</v>
      </c>
      <c r="D28" s="14">
        <f>1-_xlfn.BETA.DIST(VLOOKUP($A28,NB_p!$A$2:$G$25,5,FALSE),VLOOKUP($A28,NB_r!$A$2:$G$25,5,FALSE),D$20,TRUE)</f>
        <v>0.86152724365674416</v>
      </c>
      <c r="E28" s="14">
        <f t="shared" si="2"/>
        <v>0.91506849315068495</v>
      </c>
      <c r="F28" s="14">
        <f>1-_xlfn.BETA.DIST(VLOOKUP($A28,NB_p!$A$2:$G$25,5,FALSE),VLOOKUP($A28,NB_r!$A$2:$G$25,5,FALSE),F$20,TRUE)</f>
        <v>0.68569154134103283</v>
      </c>
      <c r="G28" s="14">
        <f t="shared" si="2"/>
        <v>0.73424657534246573</v>
      </c>
      <c r="H28" s="14">
        <f>1-_xlfn.BETA.DIST(VLOOKUP($A28,NB_p!$A$2:$G$25,5,FALSE),VLOOKUP($A28,NB_r!$A$2:$G$25,5,FALSE),H$20,TRUE)</f>
        <v>0.48599975506144166</v>
      </c>
      <c r="I28" s="14">
        <f t="shared" si="2"/>
        <v>0.51506849315068493</v>
      </c>
      <c r="J28" s="14">
        <f>1-_xlfn.BETA.DIST(VLOOKUP($A28,NB_p!$A$2:$G$25,5,FALSE),VLOOKUP($A28,NB_r!$A$2:$G$25,5,FALSE),J$20,TRUE)</f>
        <v>0.31040536967579047</v>
      </c>
      <c r="K28" s="14">
        <f t="shared" si="2"/>
        <v>0.26301369863013696</v>
      </c>
      <c r="L28" s="14">
        <f>1-_xlfn.BETA.DIST(VLOOKUP($A28,NB_p!$A$2:$G$25,5,FALSE),VLOOKUP($A28,NB_r!$A$2:$G$25,5,FALSE),L$20,TRUE)</f>
        <v>0.18135221208496388</v>
      </c>
      <c r="M28" s="14">
        <f t="shared" si="2"/>
        <v>0.11506849315068493</v>
      </c>
      <c r="N28" s="14">
        <f>1-_xlfn.BETA.DIST(VLOOKUP($A28,NB_p!$A$2:$G$25,5,FALSE),VLOOKUP($A28,NB_r!$A$2:$G$25,5,FALSE),N$20,TRUE)</f>
        <v>9.8281040997287183E-2</v>
      </c>
      <c r="O28" s="17">
        <f t="shared" si="2"/>
        <v>3.5616438356164383E-2</v>
      </c>
    </row>
    <row r="29" spans="1:25" x14ac:dyDescent="0.3">
      <c r="A29" s="12">
        <v>17</v>
      </c>
      <c r="B29" s="14">
        <f>1-_xlfn.BETA.DIST(VLOOKUP($A29,NB_p!$A$2:$G$25,5,FALSE),VLOOKUP($A29,NB_r!$A$2:$G$25,5,FALSE),B$20,TRUE)</f>
        <v>0.97289693758751505</v>
      </c>
      <c r="C29" s="14">
        <f t="shared" si="2"/>
        <v>0.98630136986301364</v>
      </c>
      <c r="D29" s="14">
        <f>1-_xlfn.BETA.DIST(VLOOKUP($A29,NB_p!$A$2:$G$25,5,FALSE),VLOOKUP($A29,NB_r!$A$2:$G$25,5,FALSE),D$20,TRUE)</f>
        <v>0.87429445969211628</v>
      </c>
      <c r="E29" s="14">
        <f t="shared" si="2"/>
        <v>0.9123287671232877</v>
      </c>
      <c r="F29" s="14">
        <f>1-_xlfn.BETA.DIST(VLOOKUP($A29,NB_p!$A$2:$G$25,5,FALSE),VLOOKUP($A29,NB_r!$A$2:$G$25,5,FALSE),F$20,TRUE)</f>
        <v>0.69404471478430274</v>
      </c>
      <c r="G29" s="14">
        <f t="shared" si="2"/>
        <v>0.75068493150684934</v>
      </c>
      <c r="H29" s="14">
        <f>1-_xlfn.BETA.DIST(VLOOKUP($A29,NB_p!$A$2:$G$25,5,FALSE),VLOOKUP($A29,NB_r!$A$2:$G$25,5,FALSE),H$20,TRUE)</f>
        <v>0.48238392934706331</v>
      </c>
      <c r="I29" s="14">
        <f t="shared" si="2"/>
        <v>0.51232876712328768</v>
      </c>
      <c r="J29" s="14">
        <f>1-_xlfn.BETA.DIST(VLOOKUP($A29,NB_p!$A$2:$G$25,5,FALSE),VLOOKUP($A29,NB_r!$A$2:$G$25,5,FALSE),J$20,TRUE)</f>
        <v>0.29672329357055349</v>
      </c>
      <c r="K29" s="14">
        <f t="shared" si="2"/>
        <v>0.24109589041095891</v>
      </c>
      <c r="L29" s="14">
        <f>1-_xlfn.BETA.DIST(VLOOKUP($A29,NB_p!$A$2:$G$25,5,FALSE),VLOOKUP($A29,NB_r!$A$2:$G$25,5,FALSE),L$20,TRUE)</f>
        <v>0.16422000772841361</v>
      </c>
      <c r="M29" s="14">
        <f t="shared" si="2"/>
        <v>9.8630136986301367E-2</v>
      </c>
      <c r="N29" s="14">
        <f>1-_xlfn.BETA.DIST(VLOOKUP($A29,NB_p!$A$2:$G$25,5,FALSE),VLOOKUP($A29,NB_r!$A$2:$G$25,5,FALSE),N$20,TRUE)</f>
        <v>8.3100309624726587E-2</v>
      </c>
      <c r="O29" s="17">
        <f t="shared" si="2"/>
        <v>5.7534246575342465E-2</v>
      </c>
    </row>
    <row r="30" spans="1:25" x14ac:dyDescent="0.3">
      <c r="A30" s="15">
        <v>18</v>
      </c>
      <c r="B30" s="16">
        <f>1-_xlfn.BETA.DIST(VLOOKUP($A30,NB_p!$A$2:$G$25,5,FALSE),VLOOKUP($A30,NB_r!$A$2:$G$25,5,FALSE),B$20,TRUE)</f>
        <v>0.96986305222378077</v>
      </c>
      <c r="C30" s="16">
        <f t="shared" si="2"/>
        <v>0.989041095890411</v>
      </c>
      <c r="D30" s="16">
        <f>1-_xlfn.BETA.DIST(VLOOKUP($A30,NB_p!$A$2:$G$25,5,FALSE),VLOOKUP($A30,NB_r!$A$2:$G$25,5,FALSE),D$20,TRUE)</f>
        <v>0.83511558692076882</v>
      </c>
      <c r="E30" s="16">
        <f t="shared" si="2"/>
        <v>0.87671232876712324</v>
      </c>
      <c r="F30" s="16">
        <f>1-_xlfn.BETA.DIST(VLOOKUP($A30,NB_p!$A$2:$G$25,5,FALSE),VLOOKUP($A30,NB_r!$A$2:$G$25,5,FALSE),F$20,TRUE)</f>
        <v>0.5872737771683918</v>
      </c>
      <c r="G30" s="16">
        <f t="shared" si="2"/>
        <v>0.58904109589041098</v>
      </c>
      <c r="H30" s="16">
        <f>1-_xlfn.BETA.DIST(VLOOKUP($A30,NB_p!$A$2:$G$25,5,FALSE),VLOOKUP($A30,NB_r!$A$2:$G$25,5,FALSE),H$20,TRUE)</f>
        <v>0.33141423119222901</v>
      </c>
      <c r="I30" s="16">
        <f t="shared" si="2"/>
        <v>0.28219178082191781</v>
      </c>
      <c r="J30" s="16">
        <f>1-_xlfn.BETA.DIST(VLOOKUP($A30,NB_p!$A$2:$G$25,5,FALSE),VLOOKUP($A30,NB_r!$A$2:$G$25,5,FALSE),J$20,TRUE)</f>
        <v>0.15315756838403416</v>
      </c>
      <c r="K30" s="16">
        <f t="shared" si="2"/>
        <v>0.13972602739726028</v>
      </c>
      <c r="L30" s="16">
        <f>1-_xlfn.BETA.DIST(VLOOKUP($A30,NB_p!$A$2:$G$25,5,FALSE),VLOOKUP($A30,NB_r!$A$2:$G$25,5,FALSE),L$20,TRUE)</f>
        <v>5.9703371225777513E-2</v>
      </c>
      <c r="M30" s="16">
        <f t="shared" si="2"/>
        <v>6.3013698630136991E-2</v>
      </c>
      <c r="N30" s="16">
        <f>1-_xlfn.BETA.DIST(VLOOKUP($A30,NB_p!$A$2:$G$25,5,FALSE),VLOOKUP($A30,NB_r!$A$2:$G$25,5,FALSE),N$20,TRUE)</f>
        <v>2.0183417975298212E-2</v>
      </c>
      <c r="O30" s="18">
        <f t="shared" si="2"/>
        <v>3.0136986301369864E-2</v>
      </c>
    </row>
    <row r="32" spans="1:25" x14ac:dyDescent="0.3">
      <c r="A32" s="1" t="s">
        <v>7</v>
      </c>
      <c r="B32" s="1">
        <v>0</v>
      </c>
      <c r="C32" s="1">
        <v>1</v>
      </c>
      <c r="D32" s="1">
        <v>2</v>
      </c>
      <c r="E32" s="1">
        <v>3</v>
      </c>
      <c r="F32" s="1">
        <v>4</v>
      </c>
      <c r="G32" s="1">
        <v>5</v>
      </c>
      <c r="H32" s="1">
        <v>6</v>
      </c>
      <c r="I32" s="1">
        <v>7</v>
      </c>
      <c r="J32" s="1">
        <v>8</v>
      </c>
      <c r="K32" s="1">
        <v>9</v>
      </c>
      <c r="L32" s="1">
        <v>10</v>
      </c>
      <c r="M32" s="1">
        <v>11</v>
      </c>
      <c r="N32" s="1">
        <v>12</v>
      </c>
      <c r="O32" s="1">
        <v>13</v>
      </c>
      <c r="P32" s="1">
        <v>14</v>
      </c>
      <c r="Q32" s="1">
        <v>15</v>
      </c>
      <c r="R32" s="1">
        <v>16</v>
      </c>
      <c r="S32" s="1">
        <v>17</v>
      </c>
      <c r="T32" s="1">
        <v>18</v>
      </c>
      <c r="U32" s="1">
        <v>19</v>
      </c>
      <c r="V32" s="1">
        <v>20</v>
      </c>
      <c r="W32" s="1">
        <v>21</v>
      </c>
      <c r="X32" s="1">
        <v>22</v>
      </c>
      <c r="Y32" s="1">
        <v>23</v>
      </c>
    </row>
    <row r="33" spans="1:25" x14ac:dyDescent="0.3">
      <c r="A33" s="2">
        <v>42736</v>
      </c>
      <c r="B33" s="1">
        <v>14</v>
      </c>
      <c r="C33" s="1">
        <v>13</v>
      </c>
      <c r="D33" s="1">
        <v>19</v>
      </c>
      <c r="E33" s="1">
        <v>11</v>
      </c>
      <c r="F33" s="1">
        <v>14</v>
      </c>
      <c r="G33" s="1">
        <v>13</v>
      </c>
      <c r="H33" s="1">
        <v>12</v>
      </c>
      <c r="I33" s="1">
        <v>7</v>
      </c>
      <c r="J33" s="1">
        <v>8</v>
      </c>
      <c r="K33" s="1">
        <v>13</v>
      </c>
      <c r="L33" s="1">
        <v>12</v>
      </c>
      <c r="M33" s="1">
        <v>15</v>
      </c>
      <c r="N33" s="1">
        <v>20</v>
      </c>
      <c r="O33" s="1">
        <v>16</v>
      </c>
      <c r="P33" s="1">
        <v>17</v>
      </c>
      <c r="Q33" s="1">
        <v>17</v>
      </c>
      <c r="R33" s="1">
        <v>15</v>
      </c>
      <c r="S33" s="1">
        <v>11</v>
      </c>
      <c r="T33" s="1">
        <v>15</v>
      </c>
      <c r="U33" s="1">
        <v>12</v>
      </c>
      <c r="V33" s="1">
        <v>12</v>
      </c>
      <c r="W33" s="1">
        <v>10</v>
      </c>
      <c r="X33" s="1">
        <v>5</v>
      </c>
      <c r="Y33" s="1">
        <v>7</v>
      </c>
    </row>
    <row r="34" spans="1:25" x14ac:dyDescent="0.3">
      <c r="A34" s="2">
        <v>42737</v>
      </c>
      <c r="B34" s="1">
        <v>9</v>
      </c>
      <c r="C34" s="1">
        <v>7</v>
      </c>
      <c r="D34" s="1">
        <v>7</v>
      </c>
      <c r="E34" s="1">
        <v>4</v>
      </c>
      <c r="F34" s="1">
        <v>4</v>
      </c>
      <c r="G34" s="1">
        <v>2</v>
      </c>
      <c r="H34" s="1">
        <v>4</v>
      </c>
      <c r="I34" s="1">
        <v>5</v>
      </c>
      <c r="J34" s="1">
        <v>16</v>
      </c>
      <c r="K34" s="1">
        <v>16</v>
      </c>
      <c r="L34" s="1">
        <v>16</v>
      </c>
      <c r="M34" s="1">
        <v>13</v>
      </c>
      <c r="N34" s="1">
        <v>19</v>
      </c>
      <c r="O34" s="1">
        <v>24</v>
      </c>
      <c r="P34" s="1">
        <v>16</v>
      </c>
      <c r="Q34" s="1">
        <v>25</v>
      </c>
      <c r="R34" s="1">
        <v>13</v>
      </c>
      <c r="S34" s="1">
        <v>19</v>
      </c>
      <c r="T34" s="1">
        <v>15</v>
      </c>
      <c r="U34" s="1">
        <v>21</v>
      </c>
      <c r="V34" s="1">
        <v>16</v>
      </c>
      <c r="W34" s="1">
        <v>14</v>
      </c>
      <c r="X34" s="1">
        <v>10</v>
      </c>
      <c r="Y34" s="1">
        <v>15</v>
      </c>
    </row>
    <row r="35" spans="1:25" x14ac:dyDescent="0.3">
      <c r="A35" s="2">
        <v>42738</v>
      </c>
      <c r="B35" s="1">
        <v>9</v>
      </c>
      <c r="C35" s="1">
        <v>4</v>
      </c>
      <c r="D35" s="1">
        <v>9</v>
      </c>
      <c r="E35" s="1">
        <v>8</v>
      </c>
      <c r="F35" s="1">
        <v>1</v>
      </c>
      <c r="G35" s="1">
        <v>8</v>
      </c>
      <c r="H35" s="1">
        <v>14</v>
      </c>
      <c r="I35" s="1">
        <v>14</v>
      </c>
      <c r="J35" s="1">
        <v>23</v>
      </c>
      <c r="K35" s="1">
        <v>23</v>
      </c>
      <c r="L35" s="1">
        <v>21</v>
      </c>
      <c r="M35" s="1">
        <v>28</v>
      </c>
      <c r="N35" s="1">
        <v>18</v>
      </c>
      <c r="O35" s="1">
        <v>28</v>
      </c>
      <c r="P35" s="1">
        <v>22</v>
      </c>
      <c r="Q35" s="1">
        <v>30</v>
      </c>
      <c r="R35" s="1">
        <v>45</v>
      </c>
      <c r="S35" s="1">
        <v>24</v>
      </c>
      <c r="T35" s="1">
        <v>40</v>
      </c>
      <c r="U35" s="1">
        <v>23</v>
      </c>
      <c r="V35" s="1">
        <v>28</v>
      </c>
      <c r="W35" s="1">
        <v>16</v>
      </c>
      <c r="X35" s="1">
        <v>4</v>
      </c>
      <c r="Y35" s="1">
        <v>3</v>
      </c>
    </row>
    <row r="36" spans="1:25" x14ac:dyDescent="0.3">
      <c r="A36" s="2">
        <v>42739</v>
      </c>
      <c r="B36" s="1">
        <v>7</v>
      </c>
      <c r="C36" s="1">
        <v>3</v>
      </c>
      <c r="D36" s="1">
        <v>2</v>
      </c>
      <c r="E36" s="1">
        <v>6</v>
      </c>
      <c r="F36" s="1">
        <v>4</v>
      </c>
      <c r="G36" s="1">
        <v>6</v>
      </c>
      <c r="H36" s="1">
        <v>17</v>
      </c>
      <c r="I36" s="1">
        <v>17</v>
      </c>
      <c r="J36" s="1">
        <v>18</v>
      </c>
      <c r="K36" s="1">
        <v>18</v>
      </c>
      <c r="L36" s="1">
        <v>33</v>
      </c>
      <c r="M36" s="1">
        <v>29</v>
      </c>
      <c r="N36" s="1">
        <v>24</v>
      </c>
      <c r="O36" s="1">
        <v>13</v>
      </c>
      <c r="P36" s="1">
        <v>25</v>
      </c>
      <c r="Q36" s="1">
        <v>28</v>
      </c>
      <c r="R36" s="1">
        <v>21</v>
      </c>
      <c r="S36" s="1">
        <v>24</v>
      </c>
      <c r="T36" s="1">
        <v>30</v>
      </c>
      <c r="U36" s="1">
        <v>31</v>
      </c>
      <c r="V36" s="1">
        <v>24</v>
      </c>
      <c r="W36" s="1">
        <v>16</v>
      </c>
      <c r="X36" s="1">
        <v>18</v>
      </c>
      <c r="Y36" s="1">
        <v>8</v>
      </c>
    </row>
    <row r="37" spans="1:25" x14ac:dyDescent="0.3">
      <c r="A37" s="2">
        <v>42740</v>
      </c>
      <c r="B37" s="1">
        <v>2</v>
      </c>
      <c r="C37" s="1">
        <v>4</v>
      </c>
      <c r="D37" s="1">
        <v>5</v>
      </c>
      <c r="E37" s="1">
        <v>8</v>
      </c>
      <c r="F37" s="1">
        <v>6</v>
      </c>
      <c r="G37" s="1">
        <v>5</v>
      </c>
      <c r="H37" s="1">
        <v>17</v>
      </c>
      <c r="I37" s="1">
        <v>15</v>
      </c>
      <c r="J37" s="1">
        <v>23</v>
      </c>
      <c r="K37" s="1">
        <v>24</v>
      </c>
      <c r="L37" s="1">
        <v>10</v>
      </c>
      <c r="M37" s="1">
        <v>20</v>
      </c>
      <c r="N37" s="1">
        <v>12</v>
      </c>
      <c r="O37" s="1">
        <v>17</v>
      </c>
      <c r="P37" s="1">
        <v>20</v>
      </c>
      <c r="Q37" s="1">
        <v>23</v>
      </c>
      <c r="R37" s="1">
        <v>27</v>
      </c>
      <c r="S37" s="1">
        <v>26</v>
      </c>
      <c r="T37" s="1">
        <v>31</v>
      </c>
      <c r="U37" s="1">
        <v>12</v>
      </c>
      <c r="V37" s="1">
        <v>17</v>
      </c>
      <c r="W37" s="1">
        <v>12</v>
      </c>
      <c r="X37" s="1">
        <v>17</v>
      </c>
      <c r="Y37" s="1">
        <v>11</v>
      </c>
    </row>
    <row r="38" spans="1:25" x14ac:dyDescent="0.3">
      <c r="A38" s="2">
        <v>42741</v>
      </c>
      <c r="B38" s="1">
        <v>9</v>
      </c>
      <c r="C38" s="1">
        <v>4</v>
      </c>
      <c r="D38" s="1">
        <v>8</v>
      </c>
      <c r="E38" s="1">
        <v>8</v>
      </c>
      <c r="F38" s="1">
        <v>6</v>
      </c>
      <c r="G38" s="1">
        <v>10</v>
      </c>
      <c r="H38" s="1">
        <v>16</v>
      </c>
      <c r="I38" s="1">
        <v>23</v>
      </c>
      <c r="J38" s="1">
        <v>23</v>
      </c>
      <c r="K38" s="1">
        <v>17</v>
      </c>
      <c r="L38" s="1">
        <v>29</v>
      </c>
      <c r="M38" s="1">
        <v>22</v>
      </c>
      <c r="N38" s="1">
        <v>26</v>
      </c>
      <c r="O38" s="1">
        <v>38</v>
      </c>
      <c r="P38" s="1">
        <v>14</v>
      </c>
      <c r="Q38" s="1">
        <v>21</v>
      </c>
      <c r="R38" s="1">
        <v>14</v>
      </c>
      <c r="S38" s="1">
        <v>28</v>
      </c>
      <c r="T38" s="1">
        <v>29</v>
      </c>
      <c r="U38" s="1">
        <v>19</v>
      </c>
      <c r="V38" s="1">
        <v>11</v>
      </c>
      <c r="W38" s="1">
        <v>17</v>
      </c>
      <c r="X38" s="1">
        <v>10</v>
      </c>
      <c r="Y38" s="1">
        <v>11</v>
      </c>
    </row>
    <row r="39" spans="1:25" x14ac:dyDescent="0.3">
      <c r="A39" s="2">
        <v>42742</v>
      </c>
      <c r="B39" s="1">
        <v>6</v>
      </c>
      <c r="C39" s="1">
        <v>9</v>
      </c>
      <c r="D39" s="1">
        <v>12</v>
      </c>
      <c r="E39" s="1">
        <v>7</v>
      </c>
      <c r="F39" s="1">
        <v>4</v>
      </c>
      <c r="G39" s="1">
        <v>4</v>
      </c>
      <c r="H39" s="1">
        <v>10</v>
      </c>
      <c r="I39" s="1">
        <v>7</v>
      </c>
      <c r="J39" s="1">
        <v>7</v>
      </c>
      <c r="K39" s="1">
        <v>17</v>
      </c>
      <c r="L39" s="1">
        <v>29</v>
      </c>
      <c r="M39" s="1">
        <v>48</v>
      </c>
      <c r="N39" s="1">
        <v>35</v>
      </c>
      <c r="O39" s="1">
        <v>42</v>
      </c>
      <c r="P39" s="1">
        <v>29</v>
      </c>
      <c r="Q39" s="1">
        <v>20</v>
      </c>
      <c r="R39" s="1">
        <v>12</v>
      </c>
      <c r="S39" s="1">
        <v>18</v>
      </c>
      <c r="T39" s="1">
        <v>25</v>
      </c>
      <c r="U39" s="1">
        <v>27</v>
      </c>
      <c r="V39" s="1">
        <v>7</v>
      </c>
      <c r="W39" s="1">
        <v>10</v>
      </c>
      <c r="X39" s="1">
        <v>14</v>
      </c>
      <c r="Y39" s="1">
        <v>13</v>
      </c>
    </row>
    <row r="40" spans="1:25" x14ac:dyDescent="0.3">
      <c r="A40" s="2">
        <v>42743</v>
      </c>
      <c r="B40" s="1">
        <v>7</v>
      </c>
      <c r="C40" s="1">
        <v>15</v>
      </c>
      <c r="D40" s="1">
        <v>6</v>
      </c>
      <c r="E40" s="1">
        <v>7</v>
      </c>
      <c r="F40" s="1">
        <v>10</v>
      </c>
      <c r="G40" s="1">
        <v>9</v>
      </c>
      <c r="H40" s="1">
        <v>8</v>
      </c>
      <c r="I40" s="1">
        <v>6</v>
      </c>
      <c r="J40" s="1">
        <v>10</v>
      </c>
      <c r="K40" s="1">
        <v>17</v>
      </c>
      <c r="L40" s="1">
        <v>22</v>
      </c>
      <c r="M40" s="1">
        <v>19</v>
      </c>
      <c r="N40" s="1">
        <v>18</v>
      </c>
      <c r="O40" s="1">
        <v>16</v>
      </c>
      <c r="P40" s="1">
        <v>15</v>
      </c>
      <c r="Q40" s="1">
        <v>17</v>
      </c>
      <c r="R40" s="1">
        <v>19</v>
      </c>
      <c r="S40" s="1">
        <v>20</v>
      </c>
      <c r="T40" s="1">
        <v>16</v>
      </c>
      <c r="U40" s="1">
        <v>24</v>
      </c>
      <c r="V40" s="1">
        <v>28</v>
      </c>
      <c r="W40" s="1">
        <v>9</v>
      </c>
      <c r="X40" s="1">
        <v>14</v>
      </c>
      <c r="Y40" s="1">
        <v>9</v>
      </c>
    </row>
    <row r="41" spans="1:25" x14ac:dyDescent="0.3">
      <c r="A41" s="2">
        <v>42744</v>
      </c>
      <c r="B41" s="1">
        <v>6</v>
      </c>
      <c r="C41" s="1">
        <v>5</v>
      </c>
      <c r="D41" s="1">
        <v>11</v>
      </c>
      <c r="E41" s="1">
        <v>5</v>
      </c>
      <c r="F41" s="1">
        <v>4</v>
      </c>
      <c r="G41" s="1">
        <v>8</v>
      </c>
      <c r="H41" s="1">
        <v>9</v>
      </c>
      <c r="I41" s="1">
        <v>24</v>
      </c>
      <c r="J41" s="1">
        <v>24</v>
      </c>
      <c r="K41" s="1">
        <v>21</v>
      </c>
      <c r="L41" s="1">
        <v>24</v>
      </c>
      <c r="M41" s="1">
        <v>16</v>
      </c>
      <c r="N41" s="1">
        <v>25</v>
      </c>
      <c r="O41" s="1">
        <v>30</v>
      </c>
      <c r="P41" s="1">
        <v>24</v>
      </c>
      <c r="Q41" s="1">
        <v>13</v>
      </c>
      <c r="R41" s="1">
        <v>17</v>
      </c>
      <c r="S41" s="1">
        <v>33</v>
      </c>
      <c r="T41" s="1">
        <v>20</v>
      </c>
      <c r="U41" s="1">
        <v>14</v>
      </c>
      <c r="V41" s="1">
        <v>12</v>
      </c>
      <c r="W41" s="1">
        <v>12</v>
      </c>
      <c r="X41" s="1">
        <v>7</v>
      </c>
      <c r="Y41" s="1">
        <v>9</v>
      </c>
    </row>
    <row r="42" spans="1:25" x14ac:dyDescent="0.3">
      <c r="A42" s="2">
        <v>42745</v>
      </c>
      <c r="B42" s="1">
        <v>9</v>
      </c>
      <c r="C42" s="1">
        <v>4</v>
      </c>
      <c r="D42" s="1">
        <v>10</v>
      </c>
      <c r="E42" s="1">
        <v>6</v>
      </c>
      <c r="F42" s="1">
        <v>7</v>
      </c>
      <c r="G42" s="1">
        <v>6</v>
      </c>
      <c r="H42" s="1">
        <v>15</v>
      </c>
      <c r="I42" s="1">
        <v>21</v>
      </c>
      <c r="J42" s="1">
        <v>41</v>
      </c>
      <c r="K42" s="1">
        <v>25</v>
      </c>
      <c r="L42" s="1">
        <v>18</v>
      </c>
      <c r="M42" s="1">
        <v>26</v>
      </c>
      <c r="N42" s="1">
        <v>21</v>
      </c>
      <c r="O42" s="1">
        <v>23</v>
      </c>
      <c r="P42" s="1">
        <v>16</v>
      </c>
      <c r="Q42" s="1">
        <v>23</v>
      </c>
      <c r="R42" s="1">
        <v>25</v>
      </c>
      <c r="S42" s="1">
        <v>27</v>
      </c>
      <c r="T42" s="1">
        <v>24</v>
      </c>
      <c r="U42" s="1">
        <v>19</v>
      </c>
      <c r="V42" s="1">
        <v>14</v>
      </c>
      <c r="W42" s="1">
        <v>12</v>
      </c>
      <c r="X42" s="1">
        <v>9</v>
      </c>
      <c r="Y42" s="1">
        <v>10</v>
      </c>
    </row>
    <row r="43" spans="1:25" x14ac:dyDescent="0.3">
      <c r="A43" s="2">
        <v>42746</v>
      </c>
      <c r="B43" s="1">
        <v>10</v>
      </c>
      <c r="C43" s="1">
        <v>11</v>
      </c>
      <c r="D43" s="1">
        <v>8</v>
      </c>
      <c r="E43" s="1">
        <v>5</v>
      </c>
      <c r="F43" s="1">
        <v>4</v>
      </c>
      <c r="G43" s="1">
        <v>18</v>
      </c>
      <c r="H43" s="1">
        <v>29</v>
      </c>
      <c r="I43" s="1">
        <v>46</v>
      </c>
      <c r="J43" s="1">
        <v>42</v>
      </c>
      <c r="K43" s="1">
        <v>30</v>
      </c>
      <c r="L43" s="1">
        <v>23</v>
      </c>
      <c r="M43" s="1">
        <v>31</v>
      </c>
      <c r="N43" s="1">
        <v>30</v>
      </c>
      <c r="O43" s="1">
        <v>24</v>
      </c>
      <c r="P43" s="1">
        <v>29</v>
      </c>
      <c r="Q43" s="1">
        <v>33</v>
      </c>
      <c r="R43" s="1">
        <v>21</v>
      </c>
      <c r="S43" s="1">
        <v>29</v>
      </c>
      <c r="T43" s="1">
        <v>24</v>
      </c>
      <c r="U43" s="1">
        <v>23</v>
      </c>
      <c r="V43" s="1">
        <v>8</v>
      </c>
      <c r="W43" s="1">
        <v>17</v>
      </c>
      <c r="X43" s="1">
        <v>13</v>
      </c>
      <c r="Y43" s="1">
        <v>5</v>
      </c>
    </row>
    <row r="44" spans="1:25" x14ac:dyDescent="0.3">
      <c r="A44" s="2">
        <v>42747</v>
      </c>
      <c r="B44" s="1">
        <v>6</v>
      </c>
      <c r="C44" s="1">
        <v>3</v>
      </c>
      <c r="D44" s="1">
        <v>8</v>
      </c>
      <c r="E44" s="1">
        <v>13</v>
      </c>
      <c r="F44" s="1">
        <v>5</v>
      </c>
      <c r="G44" s="1">
        <v>7</v>
      </c>
      <c r="H44" s="1">
        <v>16</v>
      </c>
      <c r="I44" s="1">
        <v>21</v>
      </c>
      <c r="J44" s="1">
        <v>20</v>
      </c>
      <c r="K44" s="1">
        <v>21</v>
      </c>
      <c r="L44" s="1">
        <v>32</v>
      </c>
      <c r="M44" s="1">
        <v>17</v>
      </c>
      <c r="N44" s="1">
        <v>23</v>
      </c>
      <c r="O44" s="1">
        <v>14</v>
      </c>
      <c r="P44" s="1">
        <v>24</v>
      </c>
      <c r="Q44" s="1">
        <v>26</v>
      </c>
      <c r="R44" s="1">
        <v>33</v>
      </c>
      <c r="S44" s="1">
        <v>31</v>
      </c>
      <c r="T44" s="1">
        <v>22</v>
      </c>
      <c r="U44" s="1">
        <v>17</v>
      </c>
      <c r="V44" s="1">
        <v>19</v>
      </c>
      <c r="W44" s="1">
        <v>25</v>
      </c>
      <c r="X44" s="1">
        <v>11</v>
      </c>
      <c r="Y44" s="1">
        <v>13</v>
      </c>
    </row>
    <row r="45" spans="1:25" x14ac:dyDescent="0.3">
      <c r="A45" s="2">
        <v>42748</v>
      </c>
      <c r="B45" s="1">
        <v>15</v>
      </c>
      <c r="C45" s="1">
        <v>9</v>
      </c>
      <c r="D45" s="1">
        <v>8</v>
      </c>
      <c r="E45" s="1">
        <v>7</v>
      </c>
      <c r="F45" s="1">
        <v>2</v>
      </c>
      <c r="G45" s="1">
        <v>6</v>
      </c>
      <c r="H45" s="1">
        <v>9</v>
      </c>
      <c r="I45" s="1">
        <v>16</v>
      </c>
      <c r="J45" s="1">
        <v>25</v>
      </c>
      <c r="K45" s="1">
        <v>23</v>
      </c>
      <c r="L45" s="1">
        <v>27</v>
      </c>
      <c r="M45" s="1">
        <v>26</v>
      </c>
      <c r="N45" s="1">
        <v>20</v>
      </c>
      <c r="O45" s="1">
        <v>27</v>
      </c>
      <c r="P45" s="1">
        <v>30</v>
      </c>
      <c r="Q45" s="1">
        <v>25</v>
      </c>
      <c r="R45" s="1">
        <v>16</v>
      </c>
      <c r="S45" s="1">
        <v>21</v>
      </c>
      <c r="T45" s="1">
        <v>19</v>
      </c>
      <c r="U45" s="1">
        <v>28</v>
      </c>
      <c r="V45" s="1">
        <v>19</v>
      </c>
      <c r="W45" s="1">
        <v>16</v>
      </c>
      <c r="X45" s="1">
        <v>13</v>
      </c>
      <c r="Y45" s="1">
        <v>9</v>
      </c>
    </row>
    <row r="46" spans="1:25" x14ac:dyDescent="0.3">
      <c r="A46" s="2">
        <v>42749</v>
      </c>
      <c r="B46" s="1">
        <v>8</v>
      </c>
      <c r="C46" s="1">
        <v>6</v>
      </c>
      <c r="D46" s="1">
        <v>10</v>
      </c>
      <c r="E46" s="1">
        <v>3</v>
      </c>
      <c r="F46" s="1">
        <v>8</v>
      </c>
      <c r="G46" s="1">
        <v>3</v>
      </c>
      <c r="H46" s="1">
        <v>7</v>
      </c>
      <c r="I46" s="1">
        <v>7</v>
      </c>
      <c r="J46" s="1">
        <v>10</v>
      </c>
      <c r="K46" s="1">
        <v>13</v>
      </c>
      <c r="L46" s="1">
        <v>26</v>
      </c>
      <c r="M46" s="1">
        <v>16</v>
      </c>
      <c r="N46" s="1">
        <v>25</v>
      </c>
      <c r="O46" s="1">
        <v>11</v>
      </c>
      <c r="P46" s="1">
        <v>15</v>
      </c>
      <c r="Q46" s="1">
        <v>12</v>
      </c>
      <c r="R46" s="1">
        <v>25</v>
      </c>
      <c r="S46" s="1">
        <v>15</v>
      </c>
      <c r="T46" s="1">
        <v>10</v>
      </c>
      <c r="U46" s="1">
        <v>15</v>
      </c>
      <c r="V46" s="1">
        <v>10</v>
      </c>
      <c r="W46" s="1">
        <v>9</v>
      </c>
      <c r="X46" s="1">
        <v>6</v>
      </c>
      <c r="Y46" s="1">
        <v>19</v>
      </c>
    </row>
    <row r="47" spans="1:25" x14ac:dyDescent="0.3">
      <c r="A47" s="2">
        <v>42750</v>
      </c>
      <c r="B47" s="1">
        <v>14</v>
      </c>
      <c r="C47" s="1">
        <v>13</v>
      </c>
      <c r="D47" s="1">
        <v>7</v>
      </c>
      <c r="E47" s="1">
        <v>9</v>
      </c>
      <c r="F47" s="1">
        <v>9</v>
      </c>
      <c r="G47" s="1">
        <v>9</v>
      </c>
      <c r="H47" s="1">
        <v>11</v>
      </c>
      <c r="I47" s="1">
        <v>14</v>
      </c>
      <c r="J47" s="1">
        <v>16</v>
      </c>
      <c r="K47" s="1">
        <v>18</v>
      </c>
      <c r="L47" s="1">
        <v>13</v>
      </c>
      <c r="M47" s="1">
        <v>21</v>
      </c>
      <c r="N47" s="1">
        <v>14</v>
      </c>
      <c r="O47" s="1">
        <v>19</v>
      </c>
      <c r="P47" s="1">
        <v>16</v>
      </c>
      <c r="Q47" s="1">
        <v>5</v>
      </c>
      <c r="R47" s="1">
        <v>19</v>
      </c>
      <c r="S47" s="1">
        <v>9</v>
      </c>
      <c r="T47" s="1">
        <v>23</v>
      </c>
      <c r="U47" s="1">
        <v>9</v>
      </c>
      <c r="V47" s="1">
        <v>22</v>
      </c>
      <c r="W47" s="1">
        <v>17</v>
      </c>
      <c r="X47" s="1">
        <v>7</v>
      </c>
      <c r="Y47" s="1">
        <v>7</v>
      </c>
    </row>
    <row r="48" spans="1:25" x14ac:dyDescent="0.3">
      <c r="A48" s="2">
        <v>42751</v>
      </c>
      <c r="B48" s="1">
        <v>6</v>
      </c>
      <c r="C48" s="1">
        <v>4</v>
      </c>
      <c r="D48" s="1">
        <v>8</v>
      </c>
      <c r="E48" s="1">
        <v>5</v>
      </c>
      <c r="F48" s="1">
        <v>0</v>
      </c>
      <c r="G48" s="1">
        <v>6</v>
      </c>
      <c r="H48" s="1">
        <v>11</v>
      </c>
      <c r="I48" s="1">
        <v>14</v>
      </c>
      <c r="J48" s="1">
        <v>14</v>
      </c>
      <c r="K48" s="1">
        <v>21</v>
      </c>
      <c r="L48" s="1">
        <v>13</v>
      </c>
      <c r="M48" s="1">
        <v>13</v>
      </c>
      <c r="N48" s="1">
        <v>25</v>
      </c>
      <c r="O48" s="1">
        <v>20</v>
      </c>
      <c r="P48" s="1">
        <v>26</v>
      </c>
      <c r="Q48" s="1">
        <v>28</v>
      </c>
      <c r="R48" s="1">
        <v>24</v>
      </c>
      <c r="S48" s="1">
        <v>13</v>
      </c>
      <c r="T48" s="1">
        <v>15</v>
      </c>
      <c r="U48" s="1">
        <v>16</v>
      </c>
      <c r="V48" s="1">
        <v>12</v>
      </c>
      <c r="W48" s="1">
        <v>12</v>
      </c>
      <c r="X48" s="1">
        <v>14</v>
      </c>
      <c r="Y48" s="1">
        <v>9</v>
      </c>
    </row>
    <row r="49" spans="1:25" x14ac:dyDescent="0.3">
      <c r="A49" s="2">
        <v>42752</v>
      </c>
      <c r="B49" s="1">
        <v>9</v>
      </c>
      <c r="C49" s="1">
        <v>10</v>
      </c>
      <c r="D49" s="1">
        <v>0</v>
      </c>
      <c r="E49" s="1">
        <v>2</v>
      </c>
      <c r="F49" s="1">
        <v>8</v>
      </c>
      <c r="G49" s="1">
        <v>3</v>
      </c>
      <c r="H49" s="1">
        <v>19</v>
      </c>
      <c r="I49" s="1">
        <v>27</v>
      </c>
      <c r="J49" s="1">
        <v>20</v>
      </c>
      <c r="K49" s="1">
        <v>28</v>
      </c>
      <c r="L49" s="1">
        <v>18</v>
      </c>
      <c r="M49" s="1">
        <v>16</v>
      </c>
      <c r="N49" s="1">
        <v>25</v>
      </c>
      <c r="O49" s="1">
        <v>25</v>
      </c>
      <c r="P49" s="1">
        <v>22</v>
      </c>
      <c r="Q49" s="1">
        <v>28</v>
      </c>
      <c r="R49" s="1">
        <v>25</v>
      </c>
      <c r="S49" s="1">
        <v>30</v>
      </c>
      <c r="T49" s="1">
        <v>26</v>
      </c>
      <c r="U49" s="1">
        <v>15</v>
      </c>
      <c r="V49" s="1">
        <v>10</v>
      </c>
      <c r="W49" s="1">
        <v>15</v>
      </c>
      <c r="X49" s="1">
        <v>8</v>
      </c>
      <c r="Y49" s="1">
        <v>7</v>
      </c>
    </row>
    <row r="50" spans="1:25" x14ac:dyDescent="0.3">
      <c r="A50" s="2">
        <v>42753</v>
      </c>
      <c r="B50" s="1">
        <v>5</v>
      </c>
      <c r="C50" s="1">
        <v>9</v>
      </c>
      <c r="D50" s="1">
        <v>2</v>
      </c>
      <c r="E50" s="1">
        <v>3</v>
      </c>
      <c r="F50" s="1">
        <v>5</v>
      </c>
      <c r="G50" s="1">
        <v>7</v>
      </c>
      <c r="H50" s="1">
        <v>15</v>
      </c>
      <c r="I50" s="1">
        <v>9</v>
      </c>
      <c r="J50" s="1">
        <v>12</v>
      </c>
      <c r="K50" s="1">
        <v>19</v>
      </c>
      <c r="L50" s="1">
        <v>18</v>
      </c>
      <c r="M50" s="1">
        <v>23</v>
      </c>
      <c r="N50" s="1">
        <v>17</v>
      </c>
      <c r="O50" s="1">
        <v>23</v>
      </c>
      <c r="P50" s="1">
        <v>16</v>
      </c>
      <c r="Q50" s="1">
        <v>14</v>
      </c>
      <c r="R50" s="1">
        <v>26</v>
      </c>
      <c r="S50" s="1">
        <v>24</v>
      </c>
      <c r="T50" s="1">
        <v>17</v>
      </c>
      <c r="U50" s="1">
        <v>6</v>
      </c>
      <c r="V50" s="1">
        <v>15</v>
      </c>
      <c r="W50" s="1">
        <v>17</v>
      </c>
      <c r="X50" s="1">
        <v>12</v>
      </c>
      <c r="Y50" s="1">
        <v>5</v>
      </c>
    </row>
    <row r="51" spans="1:25" x14ac:dyDescent="0.3">
      <c r="A51" s="2">
        <v>42754</v>
      </c>
      <c r="B51" s="1">
        <v>7</v>
      </c>
      <c r="C51" s="1">
        <v>2</v>
      </c>
      <c r="D51" s="1">
        <v>6</v>
      </c>
      <c r="E51" s="1">
        <v>6</v>
      </c>
      <c r="F51" s="1">
        <v>5</v>
      </c>
      <c r="G51" s="1">
        <v>4</v>
      </c>
      <c r="H51" s="1">
        <v>13</v>
      </c>
      <c r="I51" s="1">
        <v>13</v>
      </c>
      <c r="J51" s="1">
        <v>28</v>
      </c>
      <c r="K51" s="1">
        <v>26</v>
      </c>
      <c r="L51" s="1">
        <v>35</v>
      </c>
      <c r="M51" s="1">
        <v>16</v>
      </c>
      <c r="N51" s="1">
        <v>25</v>
      </c>
      <c r="O51" s="1">
        <v>18</v>
      </c>
      <c r="P51" s="1">
        <v>22</v>
      </c>
      <c r="Q51" s="1">
        <v>26</v>
      </c>
      <c r="R51" s="1">
        <v>15</v>
      </c>
      <c r="S51" s="1">
        <v>26</v>
      </c>
      <c r="T51" s="1">
        <v>15</v>
      </c>
      <c r="U51" s="1">
        <v>20</v>
      </c>
      <c r="V51" s="1">
        <v>10</v>
      </c>
      <c r="W51" s="1">
        <v>13</v>
      </c>
      <c r="X51" s="1">
        <v>14</v>
      </c>
      <c r="Y51" s="1">
        <v>13</v>
      </c>
    </row>
    <row r="52" spans="1:25" x14ac:dyDescent="0.3">
      <c r="A52" s="2">
        <v>42755</v>
      </c>
      <c r="B52" s="1">
        <v>4</v>
      </c>
      <c r="C52" s="1">
        <v>8</v>
      </c>
      <c r="D52" s="1">
        <v>2</v>
      </c>
      <c r="E52" s="1">
        <v>5</v>
      </c>
      <c r="F52" s="1">
        <v>6</v>
      </c>
      <c r="G52" s="1">
        <v>5</v>
      </c>
      <c r="H52" s="1">
        <v>10</v>
      </c>
      <c r="I52" s="1">
        <v>16</v>
      </c>
      <c r="J52" s="1">
        <v>17</v>
      </c>
      <c r="K52" s="1">
        <v>10</v>
      </c>
      <c r="L52" s="1">
        <v>26</v>
      </c>
      <c r="M52" s="1">
        <v>22</v>
      </c>
      <c r="N52" s="1">
        <v>22</v>
      </c>
      <c r="O52" s="1">
        <v>29</v>
      </c>
      <c r="P52" s="1">
        <v>25</v>
      </c>
      <c r="Q52" s="1">
        <v>31</v>
      </c>
      <c r="R52" s="1">
        <v>21</v>
      </c>
      <c r="S52" s="1">
        <v>30</v>
      </c>
      <c r="T52" s="1">
        <v>24</v>
      </c>
      <c r="U52" s="1">
        <v>13</v>
      </c>
      <c r="V52" s="1">
        <v>19</v>
      </c>
      <c r="W52" s="1">
        <v>16</v>
      </c>
      <c r="X52" s="1">
        <v>15</v>
      </c>
      <c r="Y52" s="1">
        <v>9</v>
      </c>
    </row>
    <row r="53" spans="1:25" x14ac:dyDescent="0.3">
      <c r="A53" s="2">
        <v>42756</v>
      </c>
      <c r="B53" s="1">
        <v>6</v>
      </c>
      <c r="C53" s="1">
        <v>4</v>
      </c>
      <c r="D53" s="1">
        <v>3</v>
      </c>
      <c r="E53" s="1">
        <v>3</v>
      </c>
      <c r="F53" s="1">
        <v>2</v>
      </c>
      <c r="G53" s="1">
        <v>7</v>
      </c>
      <c r="H53" s="1">
        <v>6</v>
      </c>
      <c r="I53" s="1">
        <v>10</v>
      </c>
      <c r="J53" s="1">
        <v>8</v>
      </c>
      <c r="K53" s="1">
        <v>11</v>
      </c>
      <c r="L53" s="1">
        <v>22</v>
      </c>
      <c r="M53" s="1">
        <v>16</v>
      </c>
      <c r="N53" s="1">
        <v>11</v>
      </c>
      <c r="O53" s="1">
        <v>12</v>
      </c>
      <c r="P53" s="1">
        <v>9</v>
      </c>
      <c r="Q53" s="1">
        <v>10</v>
      </c>
      <c r="R53" s="1">
        <v>7</v>
      </c>
      <c r="S53" s="1">
        <v>21</v>
      </c>
      <c r="T53" s="1">
        <v>22</v>
      </c>
      <c r="U53" s="1">
        <v>26</v>
      </c>
      <c r="V53" s="1">
        <v>12</v>
      </c>
      <c r="W53" s="1">
        <v>13</v>
      </c>
      <c r="X53" s="1">
        <v>16</v>
      </c>
      <c r="Y53" s="1">
        <v>17</v>
      </c>
    </row>
    <row r="54" spans="1:25" x14ac:dyDescent="0.3">
      <c r="A54" s="2">
        <v>42757</v>
      </c>
      <c r="B54" s="1">
        <v>8</v>
      </c>
      <c r="C54" s="1">
        <v>11</v>
      </c>
      <c r="D54" s="1">
        <v>9</v>
      </c>
      <c r="E54" s="1">
        <v>2</v>
      </c>
      <c r="F54" s="1">
        <v>7</v>
      </c>
      <c r="G54" s="1">
        <v>2</v>
      </c>
      <c r="H54" s="1">
        <v>12</v>
      </c>
      <c r="I54" s="1">
        <v>7</v>
      </c>
      <c r="J54" s="1">
        <v>18</v>
      </c>
      <c r="K54" s="1">
        <v>17</v>
      </c>
      <c r="L54" s="1">
        <v>16</v>
      </c>
      <c r="M54" s="1">
        <v>18</v>
      </c>
      <c r="N54" s="1">
        <v>13</v>
      </c>
      <c r="O54" s="1">
        <v>13</v>
      </c>
      <c r="P54" s="1">
        <v>15</v>
      </c>
      <c r="Q54" s="1">
        <v>18</v>
      </c>
      <c r="R54" s="1">
        <v>16</v>
      </c>
      <c r="S54" s="1">
        <v>17</v>
      </c>
      <c r="T54" s="1">
        <v>11</v>
      </c>
      <c r="U54" s="1">
        <v>14</v>
      </c>
      <c r="V54" s="1">
        <v>11</v>
      </c>
      <c r="W54" s="1">
        <v>21</v>
      </c>
      <c r="X54" s="1">
        <v>6</v>
      </c>
      <c r="Y54" s="1">
        <v>3</v>
      </c>
    </row>
    <row r="55" spans="1:25" x14ac:dyDescent="0.3">
      <c r="A55" s="2">
        <v>42758</v>
      </c>
      <c r="B55" s="1">
        <v>10</v>
      </c>
      <c r="C55" s="1">
        <v>6</v>
      </c>
      <c r="D55" s="1">
        <v>3</v>
      </c>
      <c r="E55" s="1">
        <v>8</v>
      </c>
      <c r="F55" s="1">
        <v>10</v>
      </c>
      <c r="G55" s="1">
        <v>5</v>
      </c>
      <c r="H55" s="1">
        <v>15</v>
      </c>
      <c r="I55" s="1">
        <v>38</v>
      </c>
      <c r="J55" s="1">
        <v>40</v>
      </c>
      <c r="K55" s="1">
        <v>46</v>
      </c>
      <c r="L55" s="1">
        <v>36</v>
      </c>
      <c r="M55" s="1">
        <v>35</v>
      </c>
      <c r="N55" s="1">
        <v>36</v>
      </c>
      <c r="O55" s="1">
        <v>34</v>
      </c>
      <c r="P55" s="1">
        <v>30</v>
      </c>
      <c r="Q55" s="1">
        <v>36</v>
      </c>
      <c r="R55" s="1">
        <v>30</v>
      </c>
      <c r="S55" s="1">
        <v>48</v>
      </c>
      <c r="T55" s="1">
        <v>38</v>
      </c>
      <c r="U55" s="1">
        <v>22</v>
      </c>
      <c r="V55" s="1">
        <v>18</v>
      </c>
      <c r="W55" s="1">
        <v>13</v>
      </c>
      <c r="X55" s="1">
        <v>17</v>
      </c>
      <c r="Y55" s="1">
        <v>6</v>
      </c>
    </row>
    <row r="56" spans="1:25" x14ac:dyDescent="0.3">
      <c r="A56" s="2">
        <v>42759</v>
      </c>
      <c r="B56" s="1">
        <v>10</v>
      </c>
      <c r="C56" s="1">
        <v>8</v>
      </c>
      <c r="D56" s="1">
        <v>8</v>
      </c>
      <c r="E56" s="1">
        <v>13</v>
      </c>
      <c r="F56" s="1">
        <v>2</v>
      </c>
      <c r="G56" s="1">
        <v>13</v>
      </c>
      <c r="H56" s="1">
        <v>10</v>
      </c>
      <c r="I56" s="1">
        <v>17</v>
      </c>
      <c r="J56" s="1">
        <v>35</v>
      </c>
      <c r="K56" s="1">
        <v>23</v>
      </c>
      <c r="L56" s="1">
        <v>17</v>
      </c>
      <c r="M56" s="1">
        <v>13</v>
      </c>
      <c r="N56" s="1">
        <v>25</v>
      </c>
      <c r="O56" s="1">
        <v>19</v>
      </c>
      <c r="P56" s="1">
        <v>18</v>
      </c>
      <c r="Q56" s="1">
        <v>19</v>
      </c>
      <c r="R56" s="1">
        <v>38</v>
      </c>
      <c r="S56" s="1">
        <v>23</v>
      </c>
      <c r="T56" s="1">
        <v>14</v>
      </c>
      <c r="U56" s="1">
        <v>31</v>
      </c>
      <c r="V56" s="1">
        <v>13</v>
      </c>
      <c r="W56" s="1">
        <v>18</v>
      </c>
      <c r="X56" s="1">
        <v>17</v>
      </c>
      <c r="Y56" s="1">
        <v>8</v>
      </c>
    </row>
    <row r="57" spans="1:25" x14ac:dyDescent="0.3">
      <c r="A57" s="2">
        <v>42760</v>
      </c>
      <c r="B57" s="1">
        <v>15</v>
      </c>
      <c r="C57" s="1">
        <v>4</v>
      </c>
      <c r="D57" s="1">
        <v>6</v>
      </c>
      <c r="E57" s="1">
        <v>3</v>
      </c>
      <c r="F57" s="1">
        <v>4</v>
      </c>
      <c r="G57" s="1">
        <v>7</v>
      </c>
      <c r="H57" s="1">
        <v>9</v>
      </c>
      <c r="I57" s="1">
        <v>20</v>
      </c>
      <c r="J57" s="1">
        <v>21</v>
      </c>
      <c r="K57" s="1">
        <v>24</v>
      </c>
      <c r="L57" s="1">
        <v>16</v>
      </c>
      <c r="M57" s="1">
        <v>21</v>
      </c>
      <c r="N57" s="1">
        <v>16</v>
      </c>
      <c r="O57" s="1">
        <v>34</v>
      </c>
      <c r="P57" s="1">
        <v>25</v>
      </c>
      <c r="Q57" s="1">
        <v>28</v>
      </c>
      <c r="R57" s="1">
        <v>31</v>
      </c>
      <c r="S57" s="1">
        <v>25</v>
      </c>
      <c r="T57" s="1">
        <v>31</v>
      </c>
      <c r="U57" s="1">
        <v>15</v>
      </c>
      <c r="V57" s="1">
        <v>9</v>
      </c>
      <c r="W57" s="1">
        <v>15</v>
      </c>
      <c r="X57" s="1">
        <v>12</v>
      </c>
      <c r="Y57" s="1">
        <v>8</v>
      </c>
    </row>
    <row r="58" spans="1:25" x14ac:dyDescent="0.3">
      <c r="A58" s="2">
        <v>42761</v>
      </c>
      <c r="B58" s="1">
        <v>6</v>
      </c>
      <c r="C58" s="1">
        <v>4</v>
      </c>
      <c r="D58" s="1">
        <v>10</v>
      </c>
      <c r="E58" s="1">
        <v>8</v>
      </c>
      <c r="F58" s="1">
        <v>2</v>
      </c>
      <c r="G58" s="1">
        <v>5</v>
      </c>
      <c r="H58" s="1">
        <v>27</v>
      </c>
      <c r="I58" s="1">
        <v>19</v>
      </c>
      <c r="J58" s="1">
        <v>16</v>
      </c>
      <c r="K58" s="1">
        <v>31</v>
      </c>
      <c r="L58" s="1">
        <v>15</v>
      </c>
      <c r="M58" s="1">
        <v>27</v>
      </c>
      <c r="N58" s="1">
        <v>29</v>
      </c>
      <c r="O58" s="1">
        <v>47</v>
      </c>
      <c r="P58" s="1">
        <v>39</v>
      </c>
      <c r="Q58" s="1">
        <v>24</v>
      </c>
      <c r="R58" s="1">
        <v>12</v>
      </c>
      <c r="S58" s="1">
        <v>34</v>
      </c>
      <c r="T58" s="1">
        <v>21</v>
      </c>
      <c r="U58" s="1">
        <v>9</v>
      </c>
      <c r="V58" s="1">
        <v>13</v>
      </c>
      <c r="W58" s="1">
        <v>7</v>
      </c>
      <c r="X58" s="1">
        <v>10</v>
      </c>
      <c r="Y58" s="1">
        <v>14</v>
      </c>
    </row>
    <row r="59" spans="1:25" x14ac:dyDescent="0.3">
      <c r="A59" s="2">
        <v>42762</v>
      </c>
      <c r="B59" s="1">
        <v>8</v>
      </c>
      <c r="C59" s="1">
        <v>6</v>
      </c>
      <c r="D59" s="1">
        <v>3</v>
      </c>
      <c r="E59" s="1">
        <v>7</v>
      </c>
      <c r="F59" s="1">
        <v>5</v>
      </c>
      <c r="G59" s="1">
        <v>3</v>
      </c>
      <c r="H59" s="1">
        <v>14</v>
      </c>
      <c r="I59" s="1">
        <v>16</v>
      </c>
      <c r="J59" s="1">
        <v>20</v>
      </c>
      <c r="K59" s="1">
        <v>17</v>
      </c>
      <c r="L59" s="1">
        <v>15</v>
      </c>
      <c r="M59" s="1">
        <v>26</v>
      </c>
      <c r="N59" s="1">
        <v>25</v>
      </c>
      <c r="O59" s="1">
        <v>18</v>
      </c>
      <c r="P59" s="1">
        <v>32</v>
      </c>
      <c r="Q59" s="1">
        <v>17</v>
      </c>
      <c r="R59" s="1">
        <v>21</v>
      </c>
      <c r="S59" s="1">
        <v>17</v>
      </c>
      <c r="T59" s="1">
        <v>27</v>
      </c>
      <c r="U59" s="1">
        <v>14</v>
      </c>
      <c r="V59" s="1">
        <v>16</v>
      </c>
      <c r="W59" s="1">
        <v>15</v>
      </c>
      <c r="X59" s="1">
        <v>12</v>
      </c>
      <c r="Y59" s="1">
        <v>9</v>
      </c>
    </row>
    <row r="60" spans="1:25" x14ac:dyDescent="0.3">
      <c r="A60" s="2">
        <v>42763</v>
      </c>
      <c r="B60" s="1">
        <v>6</v>
      </c>
      <c r="C60" s="1">
        <v>4</v>
      </c>
      <c r="D60" s="1">
        <v>3</v>
      </c>
      <c r="E60" s="1">
        <v>9</v>
      </c>
      <c r="F60" s="1">
        <v>6</v>
      </c>
      <c r="G60" s="1">
        <v>8</v>
      </c>
      <c r="H60" s="1">
        <v>11</v>
      </c>
      <c r="I60" s="1">
        <v>10</v>
      </c>
      <c r="J60" s="1">
        <v>9</v>
      </c>
      <c r="K60" s="1">
        <v>12</v>
      </c>
      <c r="L60" s="1">
        <v>20</v>
      </c>
      <c r="M60" s="1">
        <v>14</v>
      </c>
      <c r="N60" s="1">
        <v>17</v>
      </c>
      <c r="O60" s="1">
        <v>20</v>
      </c>
      <c r="P60" s="1">
        <v>15</v>
      </c>
      <c r="Q60" s="1">
        <v>28</v>
      </c>
      <c r="R60" s="1">
        <v>14</v>
      </c>
      <c r="S60" s="1">
        <v>22</v>
      </c>
      <c r="T60" s="1">
        <v>16</v>
      </c>
      <c r="U60" s="1">
        <v>14</v>
      </c>
      <c r="V60" s="1">
        <v>10</v>
      </c>
      <c r="W60" s="1">
        <v>12</v>
      </c>
      <c r="X60" s="1">
        <v>10</v>
      </c>
      <c r="Y60" s="1">
        <v>9</v>
      </c>
    </row>
    <row r="61" spans="1:25" x14ac:dyDescent="0.3">
      <c r="A61" s="2">
        <v>42764</v>
      </c>
      <c r="B61" s="1">
        <v>8</v>
      </c>
      <c r="C61" s="1">
        <v>8</v>
      </c>
      <c r="D61" s="1">
        <v>12</v>
      </c>
      <c r="E61" s="1">
        <v>6</v>
      </c>
      <c r="F61" s="1">
        <v>3</v>
      </c>
      <c r="G61" s="1">
        <v>5</v>
      </c>
      <c r="H61" s="1">
        <v>7</v>
      </c>
      <c r="I61" s="1">
        <v>7</v>
      </c>
      <c r="J61" s="1">
        <v>10</v>
      </c>
      <c r="K61" s="1">
        <v>8</v>
      </c>
      <c r="L61" s="1">
        <v>13</v>
      </c>
      <c r="M61" s="1">
        <v>19</v>
      </c>
      <c r="N61" s="1">
        <v>16</v>
      </c>
      <c r="O61" s="1">
        <v>17</v>
      </c>
      <c r="P61" s="1">
        <v>15</v>
      </c>
      <c r="Q61" s="1">
        <v>22</v>
      </c>
      <c r="R61" s="1">
        <v>13</v>
      </c>
      <c r="S61" s="1">
        <v>27</v>
      </c>
      <c r="T61" s="1">
        <v>16</v>
      </c>
      <c r="U61" s="1">
        <v>8</v>
      </c>
      <c r="V61" s="1">
        <v>10</v>
      </c>
      <c r="W61" s="1">
        <v>7</v>
      </c>
      <c r="X61" s="1">
        <v>7</v>
      </c>
      <c r="Y61" s="1">
        <v>4</v>
      </c>
    </row>
    <row r="62" spans="1:25" x14ac:dyDescent="0.3">
      <c r="A62" s="2">
        <v>42765</v>
      </c>
      <c r="B62" s="1">
        <v>10</v>
      </c>
      <c r="C62" s="1">
        <v>7</v>
      </c>
      <c r="D62" s="1">
        <v>12</v>
      </c>
      <c r="E62" s="1">
        <v>1</v>
      </c>
      <c r="F62" s="1">
        <v>9</v>
      </c>
      <c r="G62" s="1">
        <v>4</v>
      </c>
      <c r="H62" s="1">
        <v>5</v>
      </c>
      <c r="I62" s="1">
        <v>22</v>
      </c>
      <c r="J62" s="1">
        <v>33</v>
      </c>
      <c r="K62" s="1">
        <v>29</v>
      </c>
      <c r="L62" s="1">
        <v>20</v>
      </c>
      <c r="M62" s="1">
        <v>19</v>
      </c>
      <c r="N62" s="1">
        <v>16</v>
      </c>
      <c r="O62" s="1">
        <v>24</v>
      </c>
      <c r="P62" s="1">
        <v>13</v>
      </c>
      <c r="Q62" s="1">
        <v>26</v>
      </c>
      <c r="R62" s="1">
        <v>26</v>
      </c>
      <c r="S62" s="1">
        <v>20</v>
      </c>
      <c r="T62" s="1">
        <v>25</v>
      </c>
      <c r="U62" s="1">
        <v>23</v>
      </c>
      <c r="V62" s="1">
        <v>20</v>
      </c>
      <c r="W62" s="1">
        <v>11</v>
      </c>
      <c r="X62" s="1">
        <v>8</v>
      </c>
      <c r="Y62" s="1">
        <v>13</v>
      </c>
    </row>
    <row r="63" spans="1:25" x14ac:dyDescent="0.3">
      <c r="A63" s="2">
        <v>42766</v>
      </c>
      <c r="B63" s="1">
        <v>6</v>
      </c>
      <c r="C63" s="1">
        <v>6</v>
      </c>
      <c r="D63" s="1">
        <v>7</v>
      </c>
      <c r="E63" s="1">
        <v>4</v>
      </c>
      <c r="F63" s="1">
        <v>7</v>
      </c>
      <c r="G63" s="1">
        <v>4</v>
      </c>
      <c r="H63" s="1">
        <v>17</v>
      </c>
      <c r="I63" s="1">
        <v>20</v>
      </c>
      <c r="J63" s="1">
        <v>12</v>
      </c>
      <c r="K63" s="1">
        <v>19</v>
      </c>
      <c r="L63" s="1">
        <v>15</v>
      </c>
      <c r="M63" s="1">
        <v>24</v>
      </c>
      <c r="N63" s="1">
        <v>17</v>
      </c>
      <c r="O63" s="1">
        <v>13</v>
      </c>
      <c r="P63" s="1">
        <v>17</v>
      </c>
      <c r="Q63" s="1">
        <v>21</v>
      </c>
      <c r="R63" s="1">
        <v>17</v>
      </c>
      <c r="S63" s="1">
        <v>31</v>
      </c>
      <c r="T63" s="1">
        <v>21</v>
      </c>
      <c r="U63" s="1">
        <v>16</v>
      </c>
      <c r="V63" s="1">
        <v>10</v>
      </c>
      <c r="W63" s="1">
        <v>11</v>
      </c>
      <c r="X63" s="1">
        <v>7</v>
      </c>
      <c r="Y63" s="1">
        <v>8</v>
      </c>
    </row>
    <row r="64" spans="1:25" x14ac:dyDescent="0.3">
      <c r="A64" s="2">
        <v>42767</v>
      </c>
      <c r="B64" s="1">
        <v>4</v>
      </c>
      <c r="C64" s="1">
        <v>8</v>
      </c>
      <c r="D64" s="1">
        <v>12</v>
      </c>
      <c r="E64" s="1">
        <v>4</v>
      </c>
      <c r="F64" s="1">
        <v>7</v>
      </c>
      <c r="G64" s="1">
        <v>6</v>
      </c>
      <c r="H64" s="1">
        <v>7</v>
      </c>
      <c r="I64" s="1">
        <v>20</v>
      </c>
      <c r="J64" s="1">
        <v>22</v>
      </c>
      <c r="K64" s="1">
        <v>28</v>
      </c>
      <c r="L64" s="1">
        <v>29</v>
      </c>
      <c r="M64" s="1">
        <v>21</v>
      </c>
      <c r="N64" s="1">
        <v>27</v>
      </c>
      <c r="O64" s="1">
        <v>28</v>
      </c>
      <c r="P64" s="1">
        <v>24</v>
      </c>
      <c r="Q64" s="1">
        <v>21</v>
      </c>
      <c r="R64" s="1">
        <v>16</v>
      </c>
      <c r="S64" s="1">
        <v>26</v>
      </c>
      <c r="T64" s="1">
        <v>17</v>
      </c>
      <c r="U64" s="1">
        <v>23</v>
      </c>
      <c r="V64" s="1">
        <v>4</v>
      </c>
      <c r="W64" s="1">
        <v>12</v>
      </c>
      <c r="X64" s="1">
        <v>16</v>
      </c>
      <c r="Y64" s="1">
        <v>5</v>
      </c>
    </row>
    <row r="65" spans="1:25" x14ac:dyDescent="0.3">
      <c r="A65" s="2">
        <v>42768</v>
      </c>
      <c r="B65" s="1">
        <v>4</v>
      </c>
      <c r="C65" s="1">
        <v>7</v>
      </c>
      <c r="D65" s="1">
        <v>6</v>
      </c>
      <c r="E65" s="1">
        <v>5</v>
      </c>
      <c r="F65" s="1">
        <v>4</v>
      </c>
      <c r="G65" s="1">
        <v>3</v>
      </c>
      <c r="H65" s="1">
        <v>20</v>
      </c>
      <c r="I65" s="1">
        <v>17</v>
      </c>
      <c r="J65" s="1">
        <v>19</v>
      </c>
      <c r="K65" s="1">
        <v>29</v>
      </c>
      <c r="L65" s="1">
        <v>18</v>
      </c>
      <c r="M65" s="1">
        <v>15</v>
      </c>
      <c r="N65" s="1">
        <v>36</v>
      </c>
      <c r="O65" s="1">
        <v>31</v>
      </c>
      <c r="P65" s="1">
        <v>14</v>
      </c>
      <c r="Q65" s="1">
        <v>21</v>
      </c>
      <c r="R65" s="1">
        <v>19</v>
      </c>
      <c r="S65" s="1">
        <v>23</v>
      </c>
      <c r="T65" s="1">
        <v>26</v>
      </c>
      <c r="U65" s="1">
        <v>19</v>
      </c>
      <c r="V65" s="1">
        <v>18</v>
      </c>
      <c r="W65" s="1">
        <v>13</v>
      </c>
      <c r="X65" s="1">
        <v>10</v>
      </c>
      <c r="Y65" s="1">
        <v>3</v>
      </c>
    </row>
    <row r="66" spans="1:25" x14ac:dyDescent="0.3">
      <c r="A66" s="2">
        <v>42769</v>
      </c>
      <c r="B66" s="1">
        <v>12</v>
      </c>
      <c r="C66" s="1">
        <v>9</v>
      </c>
      <c r="D66" s="1">
        <v>7</v>
      </c>
      <c r="E66" s="1">
        <v>2</v>
      </c>
      <c r="F66" s="1">
        <v>8</v>
      </c>
      <c r="G66" s="1">
        <v>4</v>
      </c>
      <c r="H66" s="1">
        <v>6</v>
      </c>
      <c r="I66" s="1">
        <v>7</v>
      </c>
      <c r="J66" s="1">
        <v>16</v>
      </c>
      <c r="K66" s="1">
        <v>13</v>
      </c>
      <c r="L66" s="1">
        <v>18</v>
      </c>
      <c r="M66" s="1">
        <v>31</v>
      </c>
      <c r="N66" s="1">
        <v>18</v>
      </c>
      <c r="O66" s="1">
        <v>24</v>
      </c>
      <c r="P66" s="1">
        <v>16</v>
      </c>
      <c r="Q66" s="1">
        <v>16</v>
      </c>
      <c r="R66" s="1">
        <v>27</v>
      </c>
      <c r="S66" s="1">
        <v>26</v>
      </c>
      <c r="T66" s="1">
        <v>25</v>
      </c>
      <c r="U66" s="1">
        <v>26</v>
      </c>
      <c r="V66" s="1">
        <v>20</v>
      </c>
      <c r="W66" s="1">
        <v>5</v>
      </c>
      <c r="X66" s="1">
        <v>16</v>
      </c>
      <c r="Y66" s="1">
        <v>10</v>
      </c>
    </row>
    <row r="67" spans="1:25" x14ac:dyDescent="0.3">
      <c r="A67" s="2">
        <v>42770</v>
      </c>
      <c r="B67" s="1">
        <v>9</v>
      </c>
      <c r="C67" s="1">
        <v>6</v>
      </c>
      <c r="D67" s="1">
        <v>5</v>
      </c>
      <c r="E67" s="1">
        <v>2</v>
      </c>
      <c r="F67" s="1">
        <v>4</v>
      </c>
      <c r="G67" s="1">
        <v>7</v>
      </c>
      <c r="H67" s="1">
        <v>6</v>
      </c>
      <c r="I67" s="1">
        <v>17</v>
      </c>
      <c r="J67" s="1">
        <v>11</v>
      </c>
      <c r="K67" s="1">
        <v>15</v>
      </c>
      <c r="L67" s="1">
        <v>16</v>
      </c>
      <c r="M67" s="1">
        <v>24</v>
      </c>
      <c r="N67" s="1">
        <v>10</v>
      </c>
      <c r="O67" s="1">
        <v>21</v>
      </c>
      <c r="P67" s="1">
        <v>21</v>
      </c>
      <c r="Q67" s="1">
        <v>14</v>
      </c>
      <c r="R67" s="1">
        <v>13</v>
      </c>
      <c r="S67" s="1">
        <v>10</v>
      </c>
      <c r="T67" s="1">
        <v>18</v>
      </c>
      <c r="U67" s="1">
        <v>13</v>
      </c>
      <c r="V67" s="1">
        <v>18</v>
      </c>
      <c r="W67" s="1">
        <v>11</v>
      </c>
      <c r="X67" s="1">
        <v>11</v>
      </c>
      <c r="Y67" s="1">
        <v>9</v>
      </c>
    </row>
    <row r="68" spans="1:25" x14ac:dyDescent="0.3">
      <c r="A68" s="2">
        <v>42771</v>
      </c>
      <c r="B68" s="1">
        <v>8</v>
      </c>
      <c r="C68" s="1">
        <v>11</v>
      </c>
      <c r="D68" s="1">
        <v>16</v>
      </c>
      <c r="E68" s="1">
        <v>9</v>
      </c>
      <c r="F68" s="1">
        <v>6</v>
      </c>
      <c r="G68" s="1">
        <v>3</v>
      </c>
      <c r="H68" s="1">
        <v>5</v>
      </c>
      <c r="I68" s="1">
        <v>6</v>
      </c>
      <c r="J68" s="1">
        <v>9</v>
      </c>
      <c r="K68" s="1">
        <v>12</v>
      </c>
      <c r="L68" s="1">
        <v>12</v>
      </c>
      <c r="M68" s="1">
        <v>20</v>
      </c>
      <c r="N68" s="1">
        <v>10</v>
      </c>
      <c r="O68" s="1">
        <v>14</v>
      </c>
      <c r="P68" s="1">
        <v>15</v>
      </c>
      <c r="Q68" s="1">
        <v>15</v>
      </c>
      <c r="R68" s="1">
        <v>17</v>
      </c>
      <c r="S68" s="1">
        <v>9</v>
      </c>
      <c r="T68" s="1">
        <v>14</v>
      </c>
      <c r="U68" s="1">
        <v>8</v>
      </c>
      <c r="V68" s="1">
        <v>12</v>
      </c>
      <c r="W68" s="1">
        <v>18</v>
      </c>
      <c r="X68" s="1">
        <v>6</v>
      </c>
      <c r="Y68" s="1">
        <v>10</v>
      </c>
    </row>
    <row r="69" spans="1:25" x14ac:dyDescent="0.3">
      <c r="A69" s="2">
        <v>42772</v>
      </c>
      <c r="B69" s="1">
        <v>12</v>
      </c>
      <c r="C69" s="1">
        <v>6</v>
      </c>
      <c r="D69" s="1">
        <v>3</v>
      </c>
      <c r="E69" s="1">
        <v>7</v>
      </c>
      <c r="F69" s="1">
        <v>5</v>
      </c>
      <c r="G69" s="1">
        <v>5</v>
      </c>
      <c r="H69" s="1">
        <v>9</v>
      </c>
      <c r="I69" s="1">
        <v>18</v>
      </c>
      <c r="J69" s="1">
        <v>23</v>
      </c>
      <c r="K69" s="1">
        <v>20</v>
      </c>
      <c r="L69" s="1">
        <v>24</v>
      </c>
      <c r="M69" s="1">
        <v>30</v>
      </c>
      <c r="N69" s="1">
        <v>19</v>
      </c>
      <c r="O69" s="1">
        <v>17</v>
      </c>
      <c r="P69" s="1">
        <v>22</v>
      </c>
      <c r="Q69" s="1">
        <v>29</v>
      </c>
      <c r="R69" s="1">
        <v>28</v>
      </c>
      <c r="S69" s="1">
        <v>25</v>
      </c>
      <c r="T69" s="1">
        <v>18</v>
      </c>
      <c r="U69" s="1">
        <v>13</v>
      </c>
      <c r="V69" s="1">
        <v>12</v>
      </c>
      <c r="W69" s="1">
        <v>13</v>
      </c>
      <c r="X69" s="1">
        <v>10</v>
      </c>
      <c r="Y69" s="1">
        <v>4</v>
      </c>
    </row>
    <row r="70" spans="1:25" x14ac:dyDescent="0.3">
      <c r="A70" s="2">
        <v>42773</v>
      </c>
      <c r="B70" s="1">
        <v>4</v>
      </c>
      <c r="C70" s="1">
        <v>5</v>
      </c>
      <c r="D70" s="1">
        <v>4</v>
      </c>
      <c r="E70" s="1">
        <v>5</v>
      </c>
      <c r="F70" s="1">
        <v>5</v>
      </c>
      <c r="G70" s="1">
        <v>1</v>
      </c>
      <c r="H70" s="1">
        <v>7</v>
      </c>
      <c r="I70" s="1">
        <v>15</v>
      </c>
      <c r="J70" s="1">
        <v>30</v>
      </c>
      <c r="K70" s="1">
        <v>24</v>
      </c>
      <c r="L70" s="1">
        <v>23</v>
      </c>
      <c r="M70" s="1">
        <v>22</v>
      </c>
      <c r="N70" s="1">
        <v>30</v>
      </c>
      <c r="O70" s="1">
        <v>23</v>
      </c>
      <c r="P70" s="1">
        <v>17</v>
      </c>
      <c r="Q70" s="1">
        <v>24</v>
      </c>
      <c r="R70" s="1">
        <v>19</v>
      </c>
      <c r="S70" s="1">
        <v>22</v>
      </c>
      <c r="T70" s="1">
        <v>20</v>
      </c>
      <c r="U70" s="1">
        <v>14</v>
      </c>
      <c r="V70" s="1">
        <v>11</v>
      </c>
      <c r="W70" s="1">
        <v>12</v>
      </c>
      <c r="X70" s="1">
        <v>12</v>
      </c>
      <c r="Y70" s="1">
        <v>7</v>
      </c>
    </row>
    <row r="71" spans="1:25" x14ac:dyDescent="0.3">
      <c r="A71" s="2">
        <v>42774</v>
      </c>
      <c r="B71" s="1">
        <v>5</v>
      </c>
      <c r="C71" s="1">
        <v>2</v>
      </c>
      <c r="D71" s="1">
        <v>5</v>
      </c>
      <c r="E71" s="1">
        <v>8</v>
      </c>
      <c r="F71" s="1">
        <v>6</v>
      </c>
      <c r="G71" s="1">
        <v>3</v>
      </c>
      <c r="H71" s="1">
        <v>13</v>
      </c>
      <c r="I71" s="1">
        <v>13</v>
      </c>
      <c r="J71" s="1">
        <v>9</v>
      </c>
      <c r="K71" s="1">
        <v>30</v>
      </c>
      <c r="L71" s="1">
        <v>18</v>
      </c>
      <c r="M71" s="1">
        <v>26</v>
      </c>
      <c r="N71" s="1">
        <v>21</v>
      </c>
      <c r="O71" s="1">
        <v>17</v>
      </c>
      <c r="P71" s="1">
        <v>22</v>
      </c>
      <c r="Q71" s="1">
        <v>26</v>
      </c>
      <c r="R71" s="1">
        <v>30</v>
      </c>
      <c r="S71" s="1">
        <v>32</v>
      </c>
      <c r="T71" s="1">
        <v>40</v>
      </c>
      <c r="U71" s="1">
        <v>14</v>
      </c>
      <c r="V71" s="1">
        <v>26</v>
      </c>
      <c r="W71" s="1">
        <v>11</v>
      </c>
      <c r="X71" s="1">
        <v>5</v>
      </c>
      <c r="Y71" s="1">
        <v>9</v>
      </c>
    </row>
    <row r="72" spans="1:25" x14ac:dyDescent="0.3">
      <c r="A72" s="2">
        <v>42775</v>
      </c>
      <c r="B72" s="1">
        <v>4</v>
      </c>
      <c r="C72" s="1">
        <v>3</v>
      </c>
      <c r="D72" s="1">
        <v>7</v>
      </c>
      <c r="E72" s="1">
        <v>8</v>
      </c>
      <c r="F72" s="1">
        <v>7</v>
      </c>
      <c r="G72" s="1">
        <v>34</v>
      </c>
      <c r="H72" s="1">
        <v>49</v>
      </c>
      <c r="I72" s="1">
        <v>54</v>
      </c>
      <c r="J72" s="1">
        <v>40</v>
      </c>
      <c r="K72" s="1">
        <v>24</v>
      </c>
      <c r="L72" s="1">
        <v>21</v>
      </c>
      <c r="M72" s="1">
        <v>24</v>
      </c>
      <c r="N72" s="1">
        <v>22</v>
      </c>
      <c r="O72" s="1">
        <v>13</v>
      </c>
      <c r="P72" s="1">
        <v>25</v>
      </c>
      <c r="Q72" s="1">
        <v>19</v>
      </c>
      <c r="R72" s="1">
        <v>38</v>
      </c>
      <c r="S72" s="1">
        <v>30</v>
      </c>
      <c r="T72" s="1">
        <v>15</v>
      </c>
      <c r="U72" s="1">
        <v>16</v>
      </c>
      <c r="V72" s="1">
        <v>21</v>
      </c>
      <c r="W72" s="1">
        <v>13</v>
      </c>
      <c r="X72" s="1">
        <v>12</v>
      </c>
      <c r="Y72" s="1">
        <v>11</v>
      </c>
    </row>
    <row r="73" spans="1:25" x14ac:dyDescent="0.3">
      <c r="A73" s="2">
        <v>42776</v>
      </c>
      <c r="B73" s="1">
        <v>9</v>
      </c>
      <c r="C73" s="1">
        <v>8</v>
      </c>
      <c r="D73" s="1">
        <v>8</v>
      </c>
      <c r="E73" s="1">
        <v>11</v>
      </c>
      <c r="F73" s="1">
        <v>2</v>
      </c>
      <c r="G73" s="1">
        <v>7</v>
      </c>
      <c r="H73" s="1">
        <v>14</v>
      </c>
      <c r="I73" s="1">
        <v>17</v>
      </c>
      <c r="J73" s="1">
        <v>25</v>
      </c>
      <c r="K73" s="1">
        <v>30</v>
      </c>
      <c r="L73" s="1">
        <v>25</v>
      </c>
      <c r="M73" s="1">
        <v>17</v>
      </c>
      <c r="N73" s="1">
        <v>28</v>
      </c>
      <c r="O73" s="1">
        <v>31</v>
      </c>
      <c r="P73" s="1">
        <v>16</v>
      </c>
      <c r="Q73" s="1">
        <v>33</v>
      </c>
      <c r="R73" s="1">
        <v>20</v>
      </c>
      <c r="S73" s="1">
        <v>30</v>
      </c>
      <c r="T73" s="1">
        <v>12</v>
      </c>
      <c r="U73" s="1">
        <v>18</v>
      </c>
      <c r="V73" s="1">
        <v>18</v>
      </c>
      <c r="W73" s="1">
        <v>11</v>
      </c>
      <c r="X73" s="1">
        <v>9</v>
      </c>
      <c r="Y73" s="1">
        <v>15</v>
      </c>
    </row>
    <row r="74" spans="1:25" x14ac:dyDescent="0.3">
      <c r="A74" s="2">
        <v>42777</v>
      </c>
      <c r="B74" s="1">
        <v>8</v>
      </c>
      <c r="C74" s="1">
        <v>10</v>
      </c>
      <c r="D74" s="1">
        <v>6</v>
      </c>
      <c r="E74" s="1">
        <v>4</v>
      </c>
      <c r="F74" s="1">
        <v>1</v>
      </c>
      <c r="G74" s="1">
        <v>11</v>
      </c>
      <c r="H74" s="1">
        <v>6</v>
      </c>
      <c r="I74" s="1">
        <v>7</v>
      </c>
      <c r="J74" s="1">
        <v>22</v>
      </c>
      <c r="K74" s="1">
        <v>20</v>
      </c>
      <c r="L74" s="1">
        <v>21</v>
      </c>
      <c r="M74" s="1">
        <v>17</v>
      </c>
      <c r="N74" s="1">
        <v>12</v>
      </c>
      <c r="O74" s="1">
        <v>20</v>
      </c>
      <c r="P74" s="1">
        <v>23</v>
      </c>
      <c r="Q74" s="1">
        <v>22</v>
      </c>
      <c r="R74" s="1">
        <v>14</v>
      </c>
      <c r="S74" s="1">
        <v>16</v>
      </c>
      <c r="T74" s="1">
        <v>16</v>
      </c>
      <c r="U74" s="1">
        <v>30</v>
      </c>
      <c r="V74" s="1">
        <v>14</v>
      </c>
      <c r="W74" s="1">
        <v>18</v>
      </c>
      <c r="X74" s="1">
        <v>12</v>
      </c>
      <c r="Y74" s="1">
        <v>10</v>
      </c>
    </row>
    <row r="75" spans="1:25" x14ac:dyDescent="0.3">
      <c r="A75" s="2">
        <v>42778</v>
      </c>
      <c r="B75" s="1">
        <v>6</v>
      </c>
      <c r="C75" s="1">
        <v>7</v>
      </c>
      <c r="D75" s="1">
        <v>5</v>
      </c>
      <c r="E75" s="1">
        <v>0</v>
      </c>
      <c r="F75" s="1">
        <v>4</v>
      </c>
      <c r="G75" s="1">
        <v>0</v>
      </c>
      <c r="H75" s="1">
        <v>5</v>
      </c>
      <c r="I75" s="1">
        <v>6</v>
      </c>
      <c r="J75" s="1">
        <v>9</v>
      </c>
      <c r="K75" s="1">
        <v>10</v>
      </c>
      <c r="L75" s="1">
        <v>6</v>
      </c>
      <c r="M75" s="1">
        <v>17</v>
      </c>
      <c r="N75" s="1">
        <v>20</v>
      </c>
      <c r="O75" s="1">
        <v>27</v>
      </c>
      <c r="P75" s="1">
        <v>10</v>
      </c>
      <c r="Q75" s="1">
        <v>14</v>
      </c>
      <c r="R75" s="1">
        <v>15</v>
      </c>
      <c r="S75" s="1">
        <v>16</v>
      </c>
      <c r="T75" s="1">
        <v>12</v>
      </c>
      <c r="U75" s="1">
        <v>12</v>
      </c>
      <c r="V75" s="1">
        <v>13</v>
      </c>
      <c r="W75" s="1">
        <v>16</v>
      </c>
      <c r="X75" s="1">
        <v>9</v>
      </c>
      <c r="Y75" s="1">
        <v>7</v>
      </c>
    </row>
    <row r="76" spans="1:25" x14ac:dyDescent="0.3">
      <c r="A76" s="2">
        <v>42779</v>
      </c>
      <c r="B76" s="1">
        <v>6</v>
      </c>
      <c r="C76" s="1">
        <v>5</v>
      </c>
      <c r="D76" s="1">
        <v>10</v>
      </c>
      <c r="E76" s="1">
        <v>7</v>
      </c>
      <c r="F76" s="1">
        <v>28</v>
      </c>
      <c r="G76" s="1">
        <v>18</v>
      </c>
      <c r="H76" s="1">
        <v>16</v>
      </c>
      <c r="I76" s="1">
        <v>31</v>
      </c>
      <c r="J76" s="1">
        <v>29</v>
      </c>
      <c r="K76" s="1">
        <v>29</v>
      </c>
      <c r="L76" s="1">
        <v>40</v>
      </c>
      <c r="M76" s="1">
        <v>37</v>
      </c>
      <c r="N76" s="1">
        <v>40</v>
      </c>
      <c r="O76" s="1">
        <v>25</v>
      </c>
      <c r="P76" s="1">
        <v>38</v>
      </c>
      <c r="Q76" s="1">
        <v>34</v>
      </c>
      <c r="R76" s="1">
        <v>22</v>
      </c>
      <c r="S76" s="1">
        <v>27</v>
      </c>
      <c r="T76" s="1">
        <v>32</v>
      </c>
      <c r="U76" s="1">
        <v>17</v>
      </c>
      <c r="V76" s="1">
        <v>16</v>
      </c>
      <c r="W76" s="1">
        <v>10</v>
      </c>
      <c r="X76" s="1">
        <v>4</v>
      </c>
      <c r="Y76" s="1">
        <v>3</v>
      </c>
    </row>
    <row r="77" spans="1:25" x14ac:dyDescent="0.3">
      <c r="A77" s="2">
        <v>42780</v>
      </c>
      <c r="B77" s="1">
        <v>6</v>
      </c>
      <c r="C77" s="1">
        <v>1</v>
      </c>
      <c r="D77" s="1">
        <v>7</v>
      </c>
      <c r="E77" s="1">
        <v>3</v>
      </c>
      <c r="F77" s="1">
        <v>6</v>
      </c>
      <c r="G77" s="1">
        <v>3</v>
      </c>
      <c r="H77" s="1">
        <v>8</v>
      </c>
      <c r="I77" s="1">
        <v>17</v>
      </c>
      <c r="J77" s="1">
        <v>24</v>
      </c>
      <c r="K77" s="1">
        <v>16</v>
      </c>
      <c r="L77" s="1">
        <v>23</v>
      </c>
      <c r="M77" s="1">
        <v>18</v>
      </c>
      <c r="N77" s="1">
        <v>20</v>
      </c>
      <c r="O77" s="1">
        <v>13</v>
      </c>
      <c r="P77" s="1">
        <v>33</v>
      </c>
      <c r="Q77" s="1">
        <v>19</v>
      </c>
      <c r="R77" s="1">
        <v>25</v>
      </c>
      <c r="S77" s="1">
        <v>14</v>
      </c>
      <c r="T77" s="1">
        <v>24</v>
      </c>
      <c r="U77" s="1">
        <v>24</v>
      </c>
      <c r="V77" s="1">
        <v>12</v>
      </c>
      <c r="W77" s="1">
        <v>12</v>
      </c>
      <c r="X77" s="1">
        <v>16</v>
      </c>
      <c r="Y77" s="1">
        <v>10</v>
      </c>
    </row>
    <row r="78" spans="1:25" x14ac:dyDescent="0.3">
      <c r="A78" s="2">
        <v>42781</v>
      </c>
      <c r="B78" s="1">
        <v>3</v>
      </c>
      <c r="C78" s="1">
        <v>7</v>
      </c>
      <c r="D78" s="1">
        <v>1</v>
      </c>
      <c r="E78" s="1">
        <v>7</v>
      </c>
      <c r="F78" s="1">
        <v>6</v>
      </c>
      <c r="G78" s="1">
        <v>7</v>
      </c>
      <c r="H78" s="1">
        <v>20</v>
      </c>
      <c r="I78" s="1">
        <v>13</v>
      </c>
      <c r="J78" s="1">
        <v>12</v>
      </c>
      <c r="K78" s="1">
        <v>23</v>
      </c>
      <c r="L78" s="1">
        <v>14</v>
      </c>
      <c r="M78" s="1">
        <v>13</v>
      </c>
      <c r="N78" s="1">
        <v>21</v>
      </c>
      <c r="O78" s="1">
        <v>23</v>
      </c>
      <c r="P78" s="1">
        <v>13</v>
      </c>
      <c r="Q78" s="1">
        <v>23</v>
      </c>
      <c r="R78" s="1">
        <v>24</v>
      </c>
      <c r="S78" s="1">
        <v>28</v>
      </c>
      <c r="T78" s="1">
        <v>18</v>
      </c>
      <c r="U78" s="1">
        <v>19</v>
      </c>
      <c r="V78" s="1">
        <v>13</v>
      </c>
      <c r="W78" s="1">
        <v>10</v>
      </c>
      <c r="X78" s="1">
        <v>8</v>
      </c>
      <c r="Y78" s="1">
        <v>5</v>
      </c>
    </row>
    <row r="79" spans="1:25" x14ac:dyDescent="0.3">
      <c r="A79" s="2">
        <v>42782</v>
      </c>
      <c r="B79" s="1">
        <v>7</v>
      </c>
      <c r="C79" s="1">
        <v>6</v>
      </c>
      <c r="D79" s="1">
        <v>10</v>
      </c>
      <c r="E79" s="1">
        <v>1</v>
      </c>
      <c r="F79" s="1">
        <v>2</v>
      </c>
      <c r="G79" s="1">
        <v>3</v>
      </c>
      <c r="H79" s="1">
        <v>6</v>
      </c>
      <c r="I79" s="1">
        <v>26</v>
      </c>
      <c r="J79" s="1">
        <v>21</v>
      </c>
      <c r="K79" s="1">
        <v>19</v>
      </c>
      <c r="L79" s="1">
        <v>18</v>
      </c>
      <c r="M79" s="1">
        <v>18</v>
      </c>
      <c r="N79" s="1">
        <v>22</v>
      </c>
      <c r="O79" s="1">
        <v>21</v>
      </c>
      <c r="P79" s="1">
        <v>32</v>
      </c>
      <c r="Q79" s="1">
        <v>35</v>
      </c>
      <c r="R79" s="1">
        <v>20</v>
      </c>
      <c r="S79" s="1">
        <v>23</v>
      </c>
      <c r="T79" s="1">
        <v>19</v>
      </c>
      <c r="U79" s="1">
        <v>13</v>
      </c>
      <c r="V79" s="1">
        <v>10</v>
      </c>
      <c r="W79" s="1">
        <v>14</v>
      </c>
      <c r="X79" s="1">
        <v>10</v>
      </c>
      <c r="Y79" s="1">
        <v>3</v>
      </c>
    </row>
    <row r="80" spans="1:25" x14ac:dyDescent="0.3">
      <c r="A80" s="2">
        <v>42783</v>
      </c>
      <c r="B80" s="1">
        <v>9</v>
      </c>
      <c r="C80" s="1">
        <v>4</v>
      </c>
      <c r="D80" s="1">
        <v>5</v>
      </c>
      <c r="E80" s="1">
        <v>2</v>
      </c>
      <c r="F80" s="1">
        <v>9</v>
      </c>
      <c r="G80" s="1">
        <v>8</v>
      </c>
      <c r="H80" s="1">
        <v>9</v>
      </c>
      <c r="I80" s="1">
        <v>9</v>
      </c>
      <c r="J80" s="1">
        <v>24</v>
      </c>
      <c r="K80" s="1">
        <v>10</v>
      </c>
      <c r="L80" s="1">
        <v>23</v>
      </c>
      <c r="M80" s="1">
        <v>27</v>
      </c>
      <c r="N80" s="1">
        <v>29</v>
      </c>
      <c r="O80" s="1">
        <v>22</v>
      </c>
      <c r="P80" s="1">
        <v>28</v>
      </c>
      <c r="Q80" s="1">
        <v>28</v>
      </c>
      <c r="R80" s="1">
        <v>25</v>
      </c>
      <c r="S80" s="1">
        <v>21</v>
      </c>
      <c r="T80" s="1">
        <v>22</v>
      </c>
      <c r="U80" s="1">
        <v>22</v>
      </c>
      <c r="V80" s="1">
        <v>15</v>
      </c>
      <c r="W80" s="1">
        <v>9</v>
      </c>
      <c r="X80" s="1">
        <v>9</v>
      </c>
      <c r="Y80" s="1">
        <v>9</v>
      </c>
    </row>
    <row r="81" spans="1:25" x14ac:dyDescent="0.3">
      <c r="A81" s="2">
        <v>42784</v>
      </c>
      <c r="B81" s="1">
        <v>7</v>
      </c>
      <c r="C81" s="1">
        <v>18</v>
      </c>
      <c r="D81" s="1">
        <v>6</v>
      </c>
      <c r="E81" s="1">
        <v>11</v>
      </c>
      <c r="F81" s="1">
        <v>9</v>
      </c>
      <c r="G81" s="1">
        <v>4</v>
      </c>
      <c r="H81" s="1">
        <v>9</v>
      </c>
      <c r="I81" s="1">
        <v>5</v>
      </c>
      <c r="J81" s="1">
        <v>9</v>
      </c>
      <c r="K81" s="1">
        <v>16</v>
      </c>
      <c r="L81" s="1">
        <v>13</v>
      </c>
      <c r="M81" s="1">
        <v>30</v>
      </c>
      <c r="N81" s="1">
        <v>20</v>
      </c>
      <c r="O81" s="1">
        <v>31</v>
      </c>
      <c r="P81" s="1">
        <v>29</v>
      </c>
      <c r="Q81" s="1">
        <v>30</v>
      </c>
      <c r="R81" s="1">
        <v>26</v>
      </c>
      <c r="S81" s="1">
        <v>17</v>
      </c>
      <c r="T81" s="1">
        <v>39</v>
      </c>
      <c r="U81" s="1">
        <v>17</v>
      </c>
      <c r="V81" s="1">
        <v>10</v>
      </c>
      <c r="W81" s="1">
        <v>16</v>
      </c>
      <c r="X81" s="1">
        <v>11</v>
      </c>
      <c r="Y81" s="1">
        <v>17</v>
      </c>
    </row>
    <row r="82" spans="1:25" x14ac:dyDescent="0.3">
      <c r="A82" s="2">
        <v>42785</v>
      </c>
      <c r="B82" s="1">
        <v>11</v>
      </c>
      <c r="C82" s="1">
        <v>5</v>
      </c>
      <c r="D82" s="1">
        <v>12</v>
      </c>
      <c r="E82" s="1">
        <v>11</v>
      </c>
      <c r="F82" s="1">
        <v>7</v>
      </c>
      <c r="G82" s="1">
        <v>1</v>
      </c>
      <c r="H82" s="1">
        <v>3</v>
      </c>
      <c r="I82" s="1">
        <v>12</v>
      </c>
      <c r="J82" s="1">
        <v>16</v>
      </c>
      <c r="K82" s="1">
        <v>12</v>
      </c>
      <c r="L82" s="1">
        <v>9</v>
      </c>
      <c r="M82" s="1">
        <v>11</v>
      </c>
      <c r="N82" s="1">
        <v>24</v>
      </c>
      <c r="O82" s="1">
        <v>25</v>
      </c>
      <c r="P82" s="1">
        <v>16</v>
      </c>
      <c r="Q82" s="1">
        <v>15</v>
      </c>
      <c r="R82" s="1">
        <v>16</v>
      </c>
      <c r="S82" s="1">
        <v>30</v>
      </c>
      <c r="T82" s="1">
        <v>14</v>
      </c>
      <c r="U82" s="1">
        <v>21</v>
      </c>
      <c r="V82" s="1">
        <v>23</v>
      </c>
      <c r="W82" s="1">
        <v>16</v>
      </c>
      <c r="X82" s="1">
        <v>10</v>
      </c>
      <c r="Y82" s="1">
        <v>9</v>
      </c>
    </row>
    <row r="83" spans="1:25" x14ac:dyDescent="0.3">
      <c r="A83" s="2">
        <v>42786</v>
      </c>
      <c r="B83" s="1">
        <v>5</v>
      </c>
      <c r="C83" s="1">
        <v>8</v>
      </c>
      <c r="D83" s="1">
        <v>6</v>
      </c>
      <c r="E83" s="1">
        <v>1</v>
      </c>
      <c r="F83" s="1">
        <v>3</v>
      </c>
      <c r="G83" s="1">
        <v>3</v>
      </c>
      <c r="H83" s="1">
        <v>8</v>
      </c>
      <c r="I83" s="1">
        <v>7</v>
      </c>
      <c r="J83" s="1">
        <v>18</v>
      </c>
      <c r="K83" s="1">
        <v>19</v>
      </c>
      <c r="L83" s="1">
        <v>24</v>
      </c>
      <c r="M83" s="1">
        <v>30</v>
      </c>
      <c r="N83" s="1">
        <v>19</v>
      </c>
      <c r="O83" s="1">
        <v>23</v>
      </c>
      <c r="P83" s="1">
        <v>26</v>
      </c>
      <c r="Q83" s="1">
        <v>25</v>
      </c>
      <c r="R83" s="1">
        <v>19</v>
      </c>
      <c r="S83" s="1">
        <v>17</v>
      </c>
      <c r="T83" s="1">
        <v>17</v>
      </c>
      <c r="U83" s="1">
        <v>20</v>
      </c>
      <c r="V83" s="1">
        <v>12</v>
      </c>
      <c r="W83" s="1">
        <v>13</v>
      </c>
      <c r="X83" s="1">
        <v>7</v>
      </c>
      <c r="Y83" s="1">
        <v>6</v>
      </c>
    </row>
    <row r="84" spans="1:25" x14ac:dyDescent="0.3">
      <c r="A84" s="2">
        <v>42787</v>
      </c>
      <c r="B84" s="1">
        <v>10</v>
      </c>
      <c r="C84" s="1">
        <v>8</v>
      </c>
      <c r="D84" s="1">
        <v>5</v>
      </c>
      <c r="E84" s="1">
        <v>4</v>
      </c>
      <c r="F84" s="1">
        <v>5</v>
      </c>
      <c r="G84" s="1">
        <v>9</v>
      </c>
      <c r="H84" s="1">
        <v>3</v>
      </c>
      <c r="I84" s="1">
        <v>15</v>
      </c>
      <c r="J84" s="1">
        <v>17</v>
      </c>
      <c r="K84" s="1">
        <v>15</v>
      </c>
      <c r="L84" s="1">
        <v>19</v>
      </c>
      <c r="M84" s="1">
        <v>23</v>
      </c>
      <c r="N84" s="1">
        <v>20</v>
      </c>
      <c r="O84" s="1">
        <v>18</v>
      </c>
      <c r="P84" s="1">
        <v>19</v>
      </c>
      <c r="Q84" s="1">
        <v>26</v>
      </c>
      <c r="R84" s="1">
        <v>14</v>
      </c>
      <c r="S84" s="1">
        <v>19</v>
      </c>
      <c r="T84" s="1">
        <v>22</v>
      </c>
      <c r="U84" s="1">
        <v>15</v>
      </c>
      <c r="V84" s="1">
        <v>16</v>
      </c>
      <c r="W84" s="1">
        <v>6</v>
      </c>
      <c r="X84" s="1">
        <v>14</v>
      </c>
      <c r="Y84" s="1">
        <v>12</v>
      </c>
    </row>
    <row r="85" spans="1:25" x14ac:dyDescent="0.3">
      <c r="A85" s="2">
        <v>42788</v>
      </c>
      <c r="B85" s="1">
        <v>6</v>
      </c>
      <c r="C85" s="1">
        <v>9</v>
      </c>
      <c r="D85" s="1">
        <v>13</v>
      </c>
      <c r="E85" s="1">
        <v>5</v>
      </c>
      <c r="F85" s="1">
        <v>4</v>
      </c>
      <c r="G85" s="1">
        <v>3</v>
      </c>
      <c r="H85" s="1">
        <v>4</v>
      </c>
      <c r="I85" s="1">
        <v>27</v>
      </c>
      <c r="J85" s="1">
        <v>16</v>
      </c>
      <c r="K85" s="1">
        <v>20</v>
      </c>
      <c r="L85" s="1">
        <v>22</v>
      </c>
      <c r="M85" s="1">
        <v>19</v>
      </c>
      <c r="N85" s="1">
        <v>15</v>
      </c>
      <c r="O85" s="1">
        <v>22</v>
      </c>
      <c r="P85" s="1">
        <v>15</v>
      </c>
      <c r="Q85" s="1">
        <v>27</v>
      </c>
      <c r="R85" s="1">
        <v>22</v>
      </c>
      <c r="S85" s="1">
        <v>22</v>
      </c>
      <c r="T85" s="1">
        <v>26</v>
      </c>
      <c r="U85" s="1">
        <v>17</v>
      </c>
      <c r="V85" s="1">
        <v>21</v>
      </c>
      <c r="W85" s="1">
        <v>23</v>
      </c>
      <c r="X85" s="1">
        <v>16</v>
      </c>
      <c r="Y85" s="1">
        <v>8</v>
      </c>
    </row>
    <row r="86" spans="1:25" x14ac:dyDescent="0.3">
      <c r="A86" s="2">
        <v>42789</v>
      </c>
      <c r="B86" s="1">
        <v>6</v>
      </c>
      <c r="C86" s="1">
        <v>7</v>
      </c>
      <c r="D86" s="1">
        <v>4</v>
      </c>
      <c r="E86" s="1">
        <v>6</v>
      </c>
      <c r="F86" s="1">
        <v>2</v>
      </c>
      <c r="G86" s="1">
        <v>3</v>
      </c>
      <c r="H86" s="1">
        <v>8</v>
      </c>
      <c r="I86" s="1">
        <v>19</v>
      </c>
      <c r="J86" s="1">
        <v>14</v>
      </c>
      <c r="K86" s="1">
        <v>27</v>
      </c>
      <c r="L86" s="1">
        <v>20</v>
      </c>
      <c r="M86" s="1">
        <v>20</v>
      </c>
      <c r="N86" s="1">
        <v>27</v>
      </c>
      <c r="O86" s="1">
        <v>21</v>
      </c>
      <c r="P86" s="1">
        <v>25</v>
      </c>
      <c r="Q86" s="1">
        <v>24</v>
      </c>
      <c r="R86" s="1">
        <v>28</v>
      </c>
      <c r="S86" s="1">
        <v>27</v>
      </c>
      <c r="T86" s="1">
        <v>22</v>
      </c>
      <c r="U86" s="1">
        <v>13</v>
      </c>
      <c r="V86" s="1">
        <v>9</v>
      </c>
      <c r="W86" s="1">
        <v>15</v>
      </c>
      <c r="X86" s="1">
        <v>5</v>
      </c>
      <c r="Y86" s="1">
        <v>6</v>
      </c>
    </row>
    <row r="87" spans="1:25" x14ac:dyDescent="0.3">
      <c r="A87" s="2">
        <v>42790</v>
      </c>
      <c r="B87" s="1">
        <v>5</v>
      </c>
      <c r="C87" s="1">
        <v>7</v>
      </c>
      <c r="D87" s="1">
        <v>8</v>
      </c>
      <c r="E87" s="1">
        <v>5</v>
      </c>
      <c r="F87" s="1">
        <v>8</v>
      </c>
      <c r="G87" s="1">
        <v>7</v>
      </c>
      <c r="H87" s="1">
        <v>11</v>
      </c>
      <c r="I87" s="1">
        <v>17</v>
      </c>
      <c r="J87" s="1">
        <v>28</v>
      </c>
      <c r="K87" s="1">
        <v>27</v>
      </c>
      <c r="L87" s="1">
        <v>22</v>
      </c>
      <c r="M87" s="1">
        <v>27</v>
      </c>
      <c r="N87" s="1">
        <v>25</v>
      </c>
      <c r="O87" s="1">
        <v>33</v>
      </c>
      <c r="P87" s="1">
        <v>29</v>
      </c>
      <c r="Q87" s="1">
        <v>30</v>
      </c>
      <c r="R87" s="1">
        <v>41</v>
      </c>
      <c r="S87" s="1">
        <v>29</v>
      </c>
      <c r="T87" s="1">
        <v>24</v>
      </c>
      <c r="U87" s="1">
        <v>15</v>
      </c>
      <c r="V87" s="1">
        <v>18</v>
      </c>
      <c r="W87" s="1">
        <v>14</v>
      </c>
      <c r="X87" s="1">
        <v>9</v>
      </c>
      <c r="Y87" s="1">
        <v>14</v>
      </c>
    </row>
    <row r="88" spans="1:25" x14ac:dyDescent="0.3">
      <c r="A88" s="2">
        <v>42791</v>
      </c>
      <c r="B88" s="1">
        <v>10</v>
      </c>
      <c r="C88" s="1">
        <v>12</v>
      </c>
      <c r="D88" s="1">
        <v>4</v>
      </c>
      <c r="E88" s="1">
        <v>11</v>
      </c>
      <c r="F88" s="1">
        <v>7</v>
      </c>
      <c r="G88" s="1">
        <v>5</v>
      </c>
      <c r="H88" s="1">
        <v>13</v>
      </c>
      <c r="I88" s="1">
        <v>4</v>
      </c>
      <c r="J88" s="1">
        <v>12</v>
      </c>
      <c r="K88" s="1">
        <v>19</v>
      </c>
      <c r="L88" s="1">
        <v>24</v>
      </c>
      <c r="M88" s="1">
        <v>20</v>
      </c>
      <c r="N88" s="1">
        <v>23</v>
      </c>
      <c r="O88" s="1">
        <v>25</v>
      </c>
      <c r="P88" s="1">
        <v>18</v>
      </c>
      <c r="Q88" s="1">
        <v>23</v>
      </c>
      <c r="R88" s="1">
        <v>42</v>
      </c>
      <c r="S88" s="1">
        <v>28</v>
      </c>
      <c r="T88" s="1">
        <v>27</v>
      </c>
      <c r="U88" s="1">
        <v>16</v>
      </c>
      <c r="V88" s="1">
        <v>22</v>
      </c>
      <c r="W88" s="1">
        <v>14</v>
      </c>
      <c r="X88" s="1">
        <v>13</v>
      </c>
      <c r="Y88" s="1">
        <v>13</v>
      </c>
    </row>
    <row r="89" spans="1:25" x14ac:dyDescent="0.3">
      <c r="A89" s="2">
        <v>42792</v>
      </c>
      <c r="B89" s="1">
        <v>10</v>
      </c>
      <c r="C89" s="1">
        <v>2</v>
      </c>
      <c r="D89" s="1">
        <v>10</v>
      </c>
      <c r="E89" s="1">
        <v>4</v>
      </c>
      <c r="F89" s="1">
        <v>3</v>
      </c>
      <c r="G89" s="1">
        <v>2</v>
      </c>
      <c r="H89" s="1">
        <v>10</v>
      </c>
      <c r="I89" s="1">
        <v>12</v>
      </c>
      <c r="J89" s="1">
        <v>6</v>
      </c>
      <c r="K89" s="1">
        <v>18</v>
      </c>
      <c r="L89" s="1">
        <v>17</v>
      </c>
      <c r="M89" s="1">
        <v>14</v>
      </c>
      <c r="N89" s="1">
        <v>27</v>
      </c>
      <c r="O89" s="1">
        <v>18</v>
      </c>
      <c r="P89" s="1">
        <v>18</v>
      </c>
      <c r="Q89" s="1">
        <v>13</v>
      </c>
      <c r="R89" s="1">
        <v>11</v>
      </c>
      <c r="S89" s="1">
        <v>17</v>
      </c>
      <c r="T89" s="1">
        <v>14</v>
      </c>
      <c r="U89" s="1">
        <v>14</v>
      </c>
      <c r="V89" s="1">
        <v>15</v>
      </c>
      <c r="W89" s="1">
        <v>6</v>
      </c>
      <c r="X89" s="1">
        <v>6</v>
      </c>
      <c r="Y89" s="1">
        <v>9</v>
      </c>
    </row>
    <row r="90" spans="1:25" x14ac:dyDescent="0.3">
      <c r="A90" s="2">
        <v>42793</v>
      </c>
      <c r="B90" s="1">
        <v>1</v>
      </c>
      <c r="C90" s="1">
        <v>7</v>
      </c>
      <c r="D90" s="1">
        <v>4</v>
      </c>
      <c r="E90" s="1">
        <v>7</v>
      </c>
      <c r="F90" s="1">
        <v>7</v>
      </c>
      <c r="G90" s="1">
        <v>8</v>
      </c>
      <c r="H90" s="1">
        <v>28</v>
      </c>
      <c r="I90" s="1">
        <v>16</v>
      </c>
      <c r="J90" s="1">
        <v>20</v>
      </c>
      <c r="K90" s="1">
        <v>16</v>
      </c>
      <c r="L90" s="1">
        <v>25</v>
      </c>
      <c r="M90" s="1">
        <v>28</v>
      </c>
      <c r="N90" s="1">
        <v>16</v>
      </c>
      <c r="O90" s="1">
        <v>28</v>
      </c>
      <c r="P90" s="1">
        <v>26</v>
      </c>
      <c r="Q90" s="1">
        <v>21</v>
      </c>
      <c r="R90" s="1">
        <v>17</v>
      </c>
      <c r="S90" s="1">
        <v>22</v>
      </c>
      <c r="T90" s="1">
        <v>16</v>
      </c>
      <c r="U90" s="1">
        <v>17</v>
      </c>
      <c r="V90" s="1">
        <v>10</v>
      </c>
      <c r="W90" s="1">
        <v>9</v>
      </c>
      <c r="X90" s="1">
        <v>4</v>
      </c>
      <c r="Y90" s="1">
        <v>8</v>
      </c>
    </row>
    <row r="91" spans="1:25" x14ac:dyDescent="0.3">
      <c r="A91" s="2">
        <v>42794</v>
      </c>
      <c r="B91" s="1">
        <v>5</v>
      </c>
      <c r="C91" s="1">
        <v>3</v>
      </c>
      <c r="D91" s="1">
        <v>8</v>
      </c>
      <c r="E91" s="1">
        <v>5</v>
      </c>
      <c r="F91" s="1">
        <v>3</v>
      </c>
      <c r="G91" s="1">
        <v>7</v>
      </c>
      <c r="H91" s="1">
        <v>17</v>
      </c>
      <c r="I91" s="1">
        <v>14</v>
      </c>
      <c r="J91" s="1">
        <v>24</v>
      </c>
      <c r="K91" s="1">
        <v>24</v>
      </c>
      <c r="L91" s="1">
        <v>25</v>
      </c>
      <c r="M91" s="1">
        <v>22</v>
      </c>
      <c r="N91" s="1">
        <v>21</v>
      </c>
      <c r="O91" s="1">
        <v>20</v>
      </c>
      <c r="P91" s="1">
        <v>16</v>
      </c>
      <c r="Q91" s="1">
        <v>23</v>
      </c>
      <c r="R91" s="1">
        <v>28</v>
      </c>
      <c r="S91" s="1">
        <v>18</v>
      </c>
      <c r="T91" s="1">
        <v>26</v>
      </c>
      <c r="U91" s="1">
        <v>19</v>
      </c>
      <c r="V91" s="1">
        <v>12</v>
      </c>
      <c r="W91" s="1">
        <v>9</v>
      </c>
      <c r="X91" s="1">
        <v>11</v>
      </c>
      <c r="Y91" s="1">
        <v>13</v>
      </c>
    </row>
    <row r="92" spans="1:25" x14ac:dyDescent="0.3">
      <c r="A92" s="2">
        <v>42795</v>
      </c>
      <c r="B92" s="1">
        <v>7</v>
      </c>
      <c r="C92" s="1">
        <v>10</v>
      </c>
      <c r="D92" s="1">
        <v>5</v>
      </c>
      <c r="E92" s="1">
        <v>7</v>
      </c>
      <c r="F92" s="1">
        <v>2</v>
      </c>
      <c r="G92" s="1">
        <v>7</v>
      </c>
      <c r="H92" s="1">
        <v>13</v>
      </c>
      <c r="I92" s="1">
        <v>11</v>
      </c>
      <c r="J92" s="1">
        <v>21</v>
      </c>
      <c r="K92" s="1">
        <v>18</v>
      </c>
      <c r="L92" s="1">
        <v>38</v>
      </c>
      <c r="M92" s="1">
        <v>20</v>
      </c>
      <c r="N92" s="1">
        <v>14</v>
      </c>
      <c r="O92" s="1">
        <v>25</v>
      </c>
      <c r="P92" s="1">
        <v>21</v>
      </c>
      <c r="Q92" s="1">
        <v>20</v>
      </c>
      <c r="R92" s="1">
        <v>23</v>
      </c>
      <c r="S92" s="1">
        <v>23</v>
      </c>
      <c r="T92" s="1">
        <v>9</v>
      </c>
      <c r="U92" s="1">
        <v>15</v>
      </c>
      <c r="V92" s="1">
        <v>24</v>
      </c>
      <c r="W92" s="1">
        <v>15</v>
      </c>
      <c r="X92" s="1">
        <v>14</v>
      </c>
      <c r="Y92" s="1">
        <v>5</v>
      </c>
    </row>
    <row r="93" spans="1:25" x14ac:dyDescent="0.3">
      <c r="A93" s="2">
        <v>42796</v>
      </c>
      <c r="B93" s="1">
        <v>5</v>
      </c>
      <c r="C93" s="1">
        <v>6</v>
      </c>
      <c r="D93" s="1">
        <v>15</v>
      </c>
      <c r="E93" s="1">
        <v>5</v>
      </c>
      <c r="F93" s="1">
        <v>14</v>
      </c>
      <c r="G93" s="1">
        <v>22</v>
      </c>
      <c r="H93" s="1">
        <v>35</v>
      </c>
      <c r="I93" s="1">
        <v>27</v>
      </c>
      <c r="J93" s="1">
        <v>32</v>
      </c>
      <c r="K93" s="1">
        <v>30</v>
      </c>
      <c r="L93" s="1">
        <v>26</v>
      </c>
      <c r="M93" s="1">
        <v>33</v>
      </c>
      <c r="N93" s="1">
        <v>23</v>
      </c>
      <c r="O93" s="1">
        <v>24</v>
      </c>
      <c r="P93" s="1">
        <v>23</v>
      </c>
      <c r="Q93" s="1">
        <v>21</v>
      </c>
      <c r="R93" s="1">
        <v>35</v>
      </c>
      <c r="S93" s="1">
        <v>24</v>
      </c>
      <c r="T93" s="1">
        <v>21</v>
      </c>
      <c r="U93" s="1">
        <v>16</v>
      </c>
      <c r="V93" s="1">
        <v>20</v>
      </c>
      <c r="W93" s="1">
        <v>18</v>
      </c>
      <c r="X93" s="1">
        <v>8</v>
      </c>
      <c r="Y93" s="1">
        <v>4</v>
      </c>
    </row>
    <row r="94" spans="1:25" x14ac:dyDescent="0.3">
      <c r="A94" s="2">
        <v>42797</v>
      </c>
      <c r="B94" s="1">
        <v>6</v>
      </c>
      <c r="C94" s="1">
        <v>3</v>
      </c>
      <c r="D94" s="1">
        <v>9</v>
      </c>
      <c r="E94" s="1">
        <v>3</v>
      </c>
      <c r="F94" s="1">
        <v>2</v>
      </c>
      <c r="G94" s="1">
        <v>3</v>
      </c>
      <c r="H94" s="1">
        <v>18</v>
      </c>
      <c r="I94" s="1">
        <v>16</v>
      </c>
      <c r="J94" s="1">
        <v>15</v>
      </c>
      <c r="K94" s="1">
        <v>20</v>
      </c>
      <c r="L94" s="1">
        <v>18</v>
      </c>
      <c r="M94" s="1">
        <v>19</v>
      </c>
      <c r="N94" s="1">
        <v>15</v>
      </c>
      <c r="O94" s="1">
        <v>21</v>
      </c>
      <c r="P94" s="1">
        <v>17</v>
      </c>
      <c r="Q94" s="1">
        <v>30</v>
      </c>
      <c r="R94" s="1">
        <v>20</v>
      </c>
      <c r="S94" s="1">
        <v>20</v>
      </c>
      <c r="T94" s="1">
        <v>15</v>
      </c>
      <c r="U94" s="1">
        <v>30</v>
      </c>
      <c r="V94" s="1">
        <v>22</v>
      </c>
      <c r="W94" s="1">
        <v>15</v>
      </c>
      <c r="X94" s="1">
        <v>18</v>
      </c>
      <c r="Y94" s="1">
        <v>5</v>
      </c>
    </row>
    <row r="95" spans="1:25" x14ac:dyDescent="0.3">
      <c r="A95" s="2">
        <v>42798</v>
      </c>
      <c r="B95" s="1">
        <v>6</v>
      </c>
      <c r="C95" s="1">
        <v>7</v>
      </c>
      <c r="D95" s="1">
        <v>8</v>
      </c>
      <c r="E95" s="1">
        <v>11</v>
      </c>
      <c r="F95" s="1">
        <v>2</v>
      </c>
      <c r="G95" s="1">
        <v>3</v>
      </c>
      <c r="H95" s="1">
        <v>9</v>
      </c>
      <c r="I95" s="1">
        <v>13</v>
      </c>
      <c r="J95" s="1">
        <v>13</v>
      </c>
      <c r="K95" s="1">
        <v>18</v>
      </c>
      <c r="L95" s="1">
        <v>22</v>
      </c>
      <c r="M95" s="1">
        <v>12</v>
      </c>
      <c r="N95" s="1">
        <v>20</v>
      </c>
      <c r="O95" s="1">
        <v>22</v>
      </c>
      <c r="P95" s="1">
        <v>18</v>
      </c>
      <c r="Q95" s="1">
        <v>19</v>
      </c>
      <c r="R95" s="1">
        <v>19</v>
      </c>
      <c r="S95" s="1">
        <v>25</v>
      </c>
      <c r="T95" s="1">
        <v>26</v>
      </c>
      <c r="U95" s="1">
        <v>12</v>
      </c>
      <c r="V95" s="1">
        <v>11</v>
      </c>
      <c r="W95" s="1">
        <v>15</v>
      </c>
      <c r="X95" s="1">
        <v>16</v>
      </c>
      <c r="Y95" s="1">
        <v>9</v>
      </c>
    </row>
    <row r="96" spans="1:25" x14ac:dyDescent="0.3">
      <c r="A96" s="2">
        <v>42799</v>
      </c>
      <c r="B96" s="1">
        <v>5</v>
      </c>
      <c r="C96" s="1">
        <v>10</v>
      </c>
      <c r="D96" s="1">
        <v>2</v>
      </c>
      <c r="E96" s="1">
        <v>3</v>
      </c>
      <c r="F96" s="1">
        <v>1</v>
      </c>
      <c r="G96" s="1">
        <v>2</v>
      </c>
      <c r="H96" s="1">
        <v>8</v>
      </c>
      <c r="I96" s="1">
        <v>8</v>
      </c>
      <c r="J96" s="1">
        <v>20</v>
      </c>
      <c r="K96" s="1">
        <v>27</v>
      </c>
      <c r="L96" s="1">
        <v>15</v>
      </c>
      <c r="M96" s="1">
        <v>29</v>
      </c>
      <c r="N96" s="1">
        <v>15</v>
      </c>
      <c r="O96" s="1">
        <v>17</v>
      </c>
      <c r="P96" s="1">
        <v>18</v>
      </c>
      <c r="Q96" s="1">
        <v>15</v>
      </c>
      <c r="R96" s="1">
        <v>11</v>
      </c>
      <c r="S96" s="1">
        <v>21</v>
      </c>
      <c r="T96" s="1">
        <v>21</v>
      </c>
      <c r="U96" s="1">
        <v>13</v>
      </c>
      <c r="V96" s="1">
        <v>15</v>
      </c>
      <c r="W96" s="1">
        <v>9</v>
      </c>
      <c r="X96" s="1">
        <v>11</v>
      </c>
      <c r="Y96" s="1">
        <v>9</v>
      </c>
    </row>
    <row r="97" spans="1:25" x14ac:dyDescent="0.3">
      <c r="A97" s="2">
        <v>42800</v>
      </c>
      <c r="B97" s="1">
        <v>7</v>
      </c>
      <c r="C97" s="1">
        <v>11</v>
      </c>
      <c r="D97" s="1">
        <v>3</v>
      </c>
      <c r="E97" s="1">
        <v>6</v>
      </c>
      <c r="F97" s="1">
        <v>6</v>
      </c>
      <c r="G97" s="1">
        <v>11</v>
      </c>
      <c r="H97" s="1">
        <v>10</v>
      </c>
      <c r="I97" s="1">
        <v>17</v>
      </c>
      <c r="J97" s="1">
        <v>30</v>
      </c>
      <c r="K97" s="1">
        <v>29</v>
      </c>
      <c r="L97" s="1">
        <v>24</v>
      </c>
      <c r="M97" s="1">
        <v>13</v>
      </c>
      <c r="N97" s="1">
        <v>25</v>
      </c>
      <c r="O97" s="1">
        <v>20</v>
      </c>
      <c r="P97" s="1">
        <v>16</v>
      </c>
      <c r="Q97" s="1">
        <v>23</v>
      </c>
      <c r="R97" s="1">
        <v>26</v>
      </c>
      <c r="S97" s="1">
        <v>27</v>
      </c>
      <c r="T97" s="1">
        <v>16</v>
      </c>
      <c r="U97" s="1">
        <v>14</v>
      </c>
      <c r="V97" s="1">
        <v>12</v>
      </c>
      <c r="W97" s="1">
        <v>4</v>
      </c>
      <c r="X97" s="1">
        <v>6</v>
      </c>
      <c r="Y97" s="1">
        <v>10</v>
      </c>
    </row>
    <row r="98" spans="1:25" x14ac:dyDescent="0.3">
      <c r="A98" s="2">
        <v>42801</v>
      </c>
      <c r="B98" s="1">
        <v>6</v>
      </c>
      <c r="C98" s="1">
        <v>5</v>
      </c>
      <c r="D98" s="1">
        <v>3</v>
      </c>
      <c r="E98" s="1">
        <v>5</v>
      </c>
      <c r="F98" s="1">
        <v>3</v>
      </c>
      <c r="G98" s="1">
        <v>5</v>
      </c>
      <c r="H98" s="1">
        <v>15</v>
      </c>
      <c r="I98" s="1">
        <v>20</v>
      </c>
      <c r="J98" s="1">
        <v>21</v>
      </c>
      <c r="K98" s="1">
        <v>31</v>
      </c>
      <c r="L98" s="1">
        <v>30</v>
      </c>
      <c r="M98" s="1">
        <v>17</v>
      </c>
      <c r="N98" s="1">
        <v>30</v>
      </c>
      <c r="O98" s="1">
        <v>19</v>
      </c>
      <c r="P98" s="1">
        <v>15</v>
      </c>
      <c r="Q98" s="1">
        <v>36</v>
      </c>
      <c r="R98" s="1">
        <v>33</v>
      </c>
      <c r="S98" s="1">
        <v>21</v>
      </c>
      <c r="T98" s="1">
        <v>26</v>
      </c>
      <c r="U98" s="1">
        <v>16</v>
      </c>
      <c r="V98" s="1">
        <v>11</v>
      </c>
      <c r="W98" s="1">
        <v>12</v>
      </c>
      <c r="X98" s="1">
        <v>9</v>
      </c>
      <c r="Y98" s="1">
        <v>9</v>
      </c>
    </row>
    <row r="99" spans="1:25" x14ac:dyDescent="0.3">
      <c r="A99" s="2">
        <v>42802</v>
      </c>
      <c r="B99" s="1">
        <v>7</v>
      </c>
      <c r="C99" s="1">
        <v>1</v>
      </c>
      <c r="D99" s="1">
        <v>9</v>
      </c>
      <c r="E99" s="1">
        <v>6</v>
      </c>
      <c r="F99" s="1">
        <v>7</v>
      </c>
      <c r="G99" s="1">
        <v>6</v>
      </c>
      <c r="H99" s="1">
        <v>7</v>
      </c>
      <c r="I99" s="1">
        <v>18</v>
      </c>
      <c r="J99" s="1">
        <v>22</v>
      </c>
      <c r="K99" s="1">
        <v>20</v>
      </c>
      <c r="L99" s="1">
        <v>24</v>
      </c>
      <c r="M99" s="1">
        <v>28</v>
      </c>
      <c r="N99" s="1">
        <v>22</v>
      </c>
      <c r="O99" s="1">
        <v>25</v>
      </c>
      <c r="P99" s="1">
        <v>10</v>
      </c>
      <c r="Q99" s="1">
        <v>21</v>
      </c>
      <c r="R99" s="1">
        <v>25</v>
      </c>
      <c r="S99" s="1">
        <v>24</v>
      </c>
      <c r="T99" s="1">
        <v>13</v>
      </c>
      <c r="U99" s="1">
        <v>18</v>
      </c>
      <c r="V99" s="1">
        <v>19</v>
      </c>
      <c r="W99" s="1">
        <v>7</v>
      </c>
      <c r="X99" s="1">
        <v>13</v>
      </c>
      <c r="Y99" s="1">
        <v>9</v>
      </c>
    </row>
    <row r="100" spans="1:25" x14ac:dyDescent="0.3">
      <c r="A100" s="2">
        <v>42803</v>
      </c>
      <c r="B100" s="1">
        <v>5</v>
      </c>
      <c r="C100" s="1">
        <v>3</v>
      </c>
      <c r="D100" s="1">
        <v>4</v>
      </c>
      <c r="E100" s="1">
        <v>4</v>
      </c>
      <c r="F100" s="1">
        <v>3</v>
      </c>
      <c r="G100" s="1">
        <v>11</v>
      </c>
      <c r="H100" s="1">
        <v>18</v>
      </c>
      <c r="I100" s="1">
        <v>21</v>
      </c>
      <c r="J100" s="1">
        <v>18</v>
      </c>
      <c r="K100" s="1">
        <v>17</v>
      </c>
      <c r="L100" s="1">
        <v>16</v>
      </c>
      <c r="M100" s="1">
        <v>29</v>
      </c>
      <c r="N100" s="1">
        <v>23</v>
      </c>
      <c r="O100" s="1">
        <v>28</v>
      </c>
      <c r="P100" s="1">
        <v>25</v>
      </c>
      <c r="Q100" s="1">
        <v>22</v>
      </c>
      <c r="R100" s="1">
        <v>32</v>
      </c>
      <c r="S100" s="1">
        <v>27</v>
      </c>
      <c r="T100" s="1">
        <v>22</v>
      </c>
      <c r="U100" s="1">
        <v>17</v>
      </c>
      <c r="V100" s="1">
        <v>15</v>
      </c>
      <c r="W100" s="1">
        <v>10</v>
      </c>
      <c r="X100" s="1">
        <v>8</v>
      </c>
      <c r="Y100" s="1">
        <v>12</v>
      </c>
    </row>
    <row r="101" spans="1:25" x14ac:dyDescent="0.3">
      <c r="A101" s="2">
        <v>42804</v>
      </c>
      <c r="B101" s="1">
        <v>7</v>
      </c>
      <c r="C101" s="1">
        <v>11</v>
      </c>
      <c r="D101" s="1">
        <v>2</v>
      </c>
      <c r="E101" s="1">
        <v>7</v>
      </c>
      <c r="F101" s="1">
        <v>3</v>
      </c>
      <c r="G101" s="1">
        <v>5</v>
      </c>
      <c r="H101" s="1">
        <v>6</v>
      </c>
      <c r="I101" s="1">
        <v>22</v>
      </c>
      <c r="J101" s="1">
        <v>15</v>
      </c>
      <c r="K101" s="1">
        <v>24</v>
      </c>
      <c r="L101" s="1">
        <v>37</v>
      </c>
      <c r="M101" s="1">
        <v>28</v>
      </c>
      <c r="N101" s="1">
        <v>23</v>
      </c>
      <c r="O101" s="1">
        <v>29</v>
      </c>
      <c r="P101" s="1">
        <v>23</v>
      </c>
      <c r="Q101" s="1">
        <v>20</v>
      </c>
      <c r="R101" s="1">
        <v>37</v>
      </c>
      <c r="S101" s="1">
        <v>28</v>
      </c>
      <c r="T101" s="1">
        <v>17</v>
      </c>
      <c r="U101" s="1">
        <v>21</v>
      </c>
      <c r="V101" s="1">
        <v>12</v>
      </c>
      <c r="W101" s="1">
        <v>19</v>
      </c>
      <c r="X101" s="1">
        <v>12</v>
      </c>
      <c r="Y101" s="1">
        <v>6</v>
      </c>
    </row>
    <row r="102" spans="1:25" x14ac:dyDescent="0.3">
      <c r="A102" s="2">
        <v>42805</v>
      </c>
      <c r="B102" s="1">
        <v>12</v>
      </c>
      <c r="C102" s="1">
        <v>5</v>
      </c>
      <c r="D102" s="1">
        <v>13</v>
      </c>
      <c r="E102" s="1">
        <v>5</v>
      </c>
      <c r="F102" s="1">
        <v>3</v>
      </c>
      <c r="G102" s="1">
        <v>4</v>
      </c>
      <c r="H102" s="1">
        <v>5</v>
      </c>
      <c r="I102" s="1">
        <v>12</v>
      </c>
      <c r="J102" s="1">
        <v>11</v>
      </c>
      <c r="K102" s="1">
        <v>9</v>
      </c>
      <c r="L102" s="1">
        <v>19</v>
      </c>
      <c r="M102" s="1">
        <v>12</v>
      </c>
      <c r="N102" s="1">
        <v>17</v>
      </c>
      <c r="O102" s="1">
        <v>14</v>
      </c>
      <c r="P102" s="1">
        <v>27</v>
      </c>
      <c r="Q102" s="1">
        <v>15</v>
      </c>
      <c r="R102" s="1">
        <v>17</v>
      </c>
      <c r="S102" s="1">
        <v>16</v>
      </c>
      <c r="T102" s="1">
        <v>7</v>
      </c>
      <c r="U102" s="1">
        <v>17</v>
      </c>
      <c r="V102" s="1">
        <v>11</v>
      </c>
      <c r="W102" s="1">
        <v>14</v>
      </c>
      <c r="X102" s="1">
        <v>21</v>
      </c>
      <c r="Y102" s="1">
        <v>15</v>
      </c>
    </row>
    <row r="103" spans="1:25" x14ac:dyDescent="0.3">
      <c r="A103" s="2">
        <v>42806</v>
      </c>
      <c r="B103" s="1">
        <v>8</v>
      </c>
      <c r="C103" s="1">
        <v>13</v>
      </c>
      <c r="D103" s="1">
        <v>0</v>
      </c>
      <c r="E103" s="1">
        <v>3</v>
      </c>
      <c r="F103" s="1">
        <v>7</v>
      </c>
      <c r="G103" s="1">
        <v>6</v>
      </c>
      <c r="H103" s="1">
        <v>5</v>
      </c>
      <c r="I103" s="1">
        <v>5</v>
      </c>
      <c r="J103" s="1">
        <v>7</v>
      </c>
      <c r="K103" s="1">
        <v>7</v>
      </c>
      <c r="L103" s="1">
        <v>23</v>
      </c>
      <c r="M103" s="1">
        <v>14</v>
      </c>
      <c r="N103" s="1">
        <v>16</v>
      </c>
      <c r="O103" s="1">
        <v>13</v>
      </c>
      <c r="P103" s="1">
        <v>29</v>
      </c>
      <c r="Q103" s="1">
        <v>19</v>
      </c>
      <c r="R103" s="1">
        <v>12</v>
      </c>
      <c r="S103" s="1">
        <v>12</v>
      </c>
      <c r="T103" s="1">
        <v>10</v>
      </c>
      <c r="U103" s="1">
        <v>15</v>
      </c>
      <c r="V103" s="1">
        <v>14</v>
      </c>
      <c r="W103" s="1">
        <v>12</v>
      </c>
      <c r="X103" s="1">
        <v>14</v>
      </c>
      <c r="Y103" s="1">
        <v>8</v>
      </c>
    </row>
    <row r="104" spans="1:25" x14ac:dyDescent="0.3">
      <c r="A104" s="2">
        <v>42807</v>
      </c>
      <c r="B104" s="1">
        <v>18</v>
      </c>
      <c r="C104" s="1">
        <v>11</v>
      </c>
      <c r="D104" s="1">
        <v>6</v>
      </c>
      <c r="E104" s="1">
        <v>4</v>
      </c>
      <c r="F104" s="1">
        <v>2</v>
      </c>
      <c r="G104" s="1">
        <v>9</v>
      </c>
      <c r="H104" s="1">
        <v>15</v>
      </c>
      <c r="I104" s="1">
        <v>16</v>
      </c>
      <c r="J104" s="1">
        <v>24</v>
      </c>
      <c r="K104" s="1">
        <v>26</v>
      </c>
      <c r="L104" s="1">
        <v>14</v>
      </c>
      <c r="M104" s="1">
        <v>28</v>
      </c>
      <c r="N104" s="1">
        <v>24</v>
      </c>
      <c r="O104" s="1">
        <v>28</v>
      </c>
      <c r="P104" s="1">
        <v>33</v>
      </c>
      <c r="Q104" s="1">
        <v>27</v>
      </c>
      <c r="R104" s="1">
        <v>37</v>
      </c>
      <c r="S104" s="1">
        <v>27</v>
      </c>
      <c r="T104" s="1">
        <v>18</v>
      </c>
      <c r="U104" s="1">
        <v>19</v>
      </c>
      <c r="V104" s="1">
        <v>16</v>
      </c>
      <c r="W104" s="1">
        <v>15</v>
      </c>
      <c r="X104" s="1">
        <v>5</v>
      </c>
      <c r="Y104" s="1">
        <v>13</v>
      </c>
    </row>
    <row r="105" spans="1:25" x14ac:dyDescent="0.3">
      <c r="A105" s="2">
        <v>42808</v>
      </c>
      <c r="B105" s="1">
        <v>15</v>
      </c>
      <c r="C105" s="1">
        <v>11</v>
      </c>
      <c r="D105" s="1">
        <v>19</v>
      </c>
      <c r="E105" s="1">
        <v>8</v>
      </c>
      <c r="F105" s="1">
        <v>6</v>
      </c>
      <c r="G105" s="1">
        <v>6</v>
      </c>
      <c r="H105" s="1">
        <v>8</v>
      </c>
      <c r="I105" s="1">
        <v>16</v>
      </c>
      <c r="J105" s="1">
        <v>38</v>
      </c>
      <c r="K105" s="1">
        <v>34</v>
      </c>
      <c r="L105" s="1">
        <v>44</v>
      </c>
      <c r="M105" s="1">
        <v>33</v>
      </c>
      <c r="N105" s="1">
        <v>20</v>
      </c>
      <c r="O105" s="1">
        <v>38</v>
      </c>
      <c r="P105" s="1">
        <v>50</v>
      </c>
      <c r="Q105" s="1">
        <v>29</v>
      </c>
      <c r="R105" s="1">
        <v>26</v>
      </c>
      <c r="S105" s="1">
        <v>15</v>
      </c>
      <c r="T105" s="1">
        <v>17</v>
      </c>
      <c r="U105" s="1">
        <v>14</v>
      </c>
      <c r="V105" s="1">
        <v>20</v>
      </c>
      <c r="W105" s="1">
        <v>14</v>
      </c>
      <c r="X105" s="1">
        <v>15</v>
      </c>
      <c r="Y105" s="1">
        <v>6</v>
      </c>
    </row>
    <row r="106" spans="1:25" x14ac:dyDescent="0.3">
      <c r="A106" s="2">
        <v>42809</v>
      </c>
      <c r="B106" s="1">
        <v>10</v>
      </c>
      <c r="C106" s="1">
        <v>11</v>
      </c>
      <c r="D106" s="1">
        <v>9</v>
      </c>
      <c r="E106" s="1">
        <v>10</v>
      </c>
      <c r="F106" s="1">
        <v>6</v>
      </c>
      <c r="G106" s="1">
        <v>12</v>
      </c>
      <c r="H106" s="1">
        <v>18</v>
      </c>
      <c r="I106" s="1">
        <v>27</v>
      </c>
      <c r="J106" s="1">
        <v>27</v>
      </c>
      <c r="K106" s="1">
        <v>47</v>
      </c>
      <c r="L106" s="1">
        <v>43</v>
      </c>
      <c r="M106" s="1">
        <v>21</v>
      </c>
      <c r="N106" s="1">
        <v>33</v>
      </c>
      <c r="O106" s="1">
        <v>23</v>
      </c>
      <c r="P106" s="1">
        <v>22</v>
      </c>
      <c r="Q106" s="1">
        <v>24</v>
      </c>
      <c r="R106" s="1">
        <v>32</v>
      </c>
      <c r="S106" s="1">
        <v>23</v>
      </c>
      <c r="T106" s="1">
        <v>19</v>
      </c>
      <c r="U106" s="1">
        <v>28</v>
      </c>
      <c r="V106" s="1">
        <v>19</v>
      </c>
      <c r="W106" s="1">
        <v>15</v>
      </c>
      <c r="X106" s="1">
        <v>13</v>
      </c>
      <c r="Y106" s="1">
        <v>5</v>
      </c>
    </row>
    <row r="107" spans="1:25" x14ac:dyDescent="0.3">
      <c r="A107" s="2">
        <v>42810</v>
      </c>
      <c r="B107" s="1">
        <v>13</v>
      </c>
      <c r="C107" s="1">
        <v>8</v>
      </c>
      <c r="D107" s="1">
        <v>10</v>
      </c>
      <c r="E107" s="1">
        <v>7</v>
      </c>
      <c r="F107" s="1">
        <v>3</v>
      </c>
      <c r="G107" s="1">
        <v>4</v>
      </c>
      <c r="H107" s="1">
        <v>2</v>
      </c>
      <c r="I107" s="1">
        <v>22</v>
      </c>
      <c r="J107" s="1">
        <v>31</v>
      </c>
      <c r="K107" s="1">
        <v>26</v>
      </c>
      <c r="L107" s="1">
        <v>24</v>
      </c>
      <c r="M107" s="1">
        <v>23</v>
      </c>
      <c r="N107" s="1">
        <v>18</v>
      </c>
      <c r="O107" s="1">
        <v>27</v>
      </c>
      <c r="P107" s="1">
        <v>27</v>
      </c>
      <c r="Q107" s="1">
        <v>28</v>
      </c>
      <c r="R107" s="1">
        <v>25</v>
      </c>
      <c r="S107" s="1">
        <v>28</v>
      </c>
      <c r="T107" s="1">
        <v>32</v>
      </c>
      <c r="U107" s="1">
        <v>22</v>
      </c>
      <c r="V107" s="1">
        <v>17</v>
      </c>
      <c r="W107" s="1">
        <v>11</v>
      </c>
      <c r="X107" s="1">
        <v>5</v>
      </c>
      <c r="Y107" s="1">
        <v>9</v>
      </c>
    </row>
    <row r="108" spans="1:25" x14ac:dyDescent="0.3">
      <c r="A108" s="2">
        <v>42811</v>
      </c>
      <c r="B108" s="1">
        <v>11</v>
      </c>
      <c r="C108" s="1">
        <v>7</v>
      </c>
      <c r="D108" s="1">
        <v>6</v>
      </c>
      <c r="E108" s="1">
        <v>4</v>
      </c>
      <c r="F108" s="1">
        <v>2</v>
      </c>
      <c r="G108" s="1">
        <v>8</v>
      </c>
      <c r="H108" s="1">
        <v>11</v>
      </c>
      <c r="I108" s="1">
        <v>24</v>
      </c>
      <c r="J108" s="1">
        <v>12</v>
      </c>
      <c r="K108" s="1">
        <v>29</v>
      </c>
      <c r="L108" s="1">
        <v>37</v>
      </c>
      <c r="M108" s="1">
        <v>30</v>
      </c>
      <c r="N108" s="1">
        <v>21</v>
      </c>
      <c r="O108" s="1">
        <v>31</v>
      </c>
      <c r="P108" s="1">
        <v>30</v>
      </c>
      <c r="Q108" s="1">
        <v>30</v>
      </c>
      <c r="R108" s="1">
        <v>31</v>
      </c>
      <c r="S108" s="1">
        <v>31</v>
      </c>
      <c r="T108" s="1">
        <v>23</v>
      </c>
      <c r="U108" s="1">
        <v>22</v>
      </c>
      <c r="V108" s="1">
        <v>10</v>
      </c>
      <c r="W108" s="1">
        <v>13</v>
      </c>
      <c r="X108" s="1">
        <v>23</v>
      </c>
      <c r="Y108" s="1">
        <v>13</v>
      </c>
    </row>
    <row r="109" spans="1:25" x14ac:dyDescent="0.3">
      <c r="A109" s="2">
        <v>42812</v>
      </c>
      <c r="B109" s="1">
        <v>8</v>
      </c>
      <c r="C109" s="1">
        <v>10</v>
      </c>
      <c r="D109" s="1">
        <v>5</v>
      </c>
      <c r="E109" s="1">
        <v>5</v>
      </c>
      <c r="F109" s="1">
        <v>7</v>
      </c>
      <c r="G109" s="1">
        <v>6</v>
      </c>
      <c r="H109" s="1">
        <v>3</v>
      </c>
      <c r="I109" s="1">
        <v>6</v>
      </c>
      <c r="J109" s="1">
        <v>14</v>
      </c>
      <c r="K109" s="1">
        <v>20</v>
      </c>
      <c r="L109" s="1">
        <v>21</v>
      </c>
      <c r="M109" s="1">
        <v>14</v>
      </c>
      <c r="N109" s="1">
        <v>23</v>
      </c>
      <c r="O109" s="1">
        <v>13</v>
      </c>
      <c r="P109" s="1">
        <v>20</v>
      </c>
      <c r="Q109" s="1">
        <v>22</v>
      </c>
      <c r="R109" s="1">
        <v>17</v>
      </c>
      <c r="S109" s="1">
        <v>12</v>
      </c>
      <c r="T109" s="1">
        <v>13</v>
      </c>
      <c r="U109" s="1">
        <v>21</v>
      </c>
      <c r="V109" s="1">
        <v>18</v>
      </c>
      <c r="W109" s="1">
        <v>17</v>
      </c>
      <c r="X109" s="1">
        <v>11</v>
      </c>
      <c r="Y109" s="1">
        <v>21</v>
      </c>
    </row>
    <row r="110" spans="1:25" x14ac:dyDescent="0.3">
      <c r="A110" s="2">
        <v>42813</v>
      </c>
      <c r="B110" s="1">
        <v>5</v>
      </c>
      <c r="C110" s="1">
        <v>9</v>
      </c>
      <c r="D110" s="1">
        <v>8</v>
      </c>
      <c r="E110" s="1">
        <v>5</v>
      </c>
      <c r="F110" s="1">
        <v>5</v>
      </c>
      <c r="G110" s="1">
        <v>4</v>
      </c>
      <c r="H110" s="1">
        <v>6</v>
      </c>
      <c r="I110" s="1">
        <v>9</v>
      </c>
      <c r="J110" s="1">
        <v>9</v>
      </c>
      <c r="K110" s="1">
        <v>11</v>
      </c>
      <c r="L110" s="1">
        <v>12</v>
      </c>
      <c r="M110" s="1">
        <v>16</v>
      </c>
      <c r="N110" s="1">
        <v>22</v>
      </c>
      <c r="O110" s="1">
        <v>17</v>
      </c>
      <c r="P110" s="1">
        <v>19</v>
      </c>
      <c r="Q110" s="1">
        <v>24</v>
      </c>
      <c r="R110" s="1">
        <v>9</v>
      </c>
      <c r="S110" s="1">
        <v>11</v>
      </c>
      <c r="T110" s="1">
        <v>16</v>
      </c>
      <c r="U110" s="1">
        <v>10</v>
      </c>
      <c r="V110" s="1">
        <v>13</v>
      </c>
      <c r="W110" s="1">
        <v>16</v>
      </c>
      <c r="X110" s="1">
        <v>8</v>
      </c>
      <c r="Y110" s="1">
        <v>5</v>
      </c>
    </row>
    <row r="111" spans="1:25" x14ac:dyDescent="0.3">
      <c r="A111" s="2">
        <v>42814</v>
      </c>
      <c r="B111" s="1">
        <v>6</v>
      </c>
      <c r="C111" s="1">
        <v>5</v>
      </c>
      <c r="D111" s="1">
        <v>6</v>
      </c>
      <c r="E111" s="1">
        <v>9</v>
      </c>
      <c r="F111" s="1">
        <v>2</v>
      </c>
      <c r="G111" s="1">
        <v>10</v>
      </c>
      <c r="H111" s="1">
        <v>17</v>
      </c>
      <c r="I111" s="1">
        <v>21</v>
      </c>
      <c r="J111" s="1">
        <v>20</v>
      </c>
      <c r="K111" s="1">
        <v>19</v>
      </c>
      <c r="L111" s="1">
        <v>18</v>
      </c>
      <c r="M111" s="1">
        <v>23</v>
      </c>
      <c r="N111" s="1">
        <v>25</v>
      </c>
      <c r="O111" s="1">
        <v>26</v>
      </c>
      <c r="P111" s="1">
        <v>21</v>
      </c>
      <c r="Q111" s="1">
        <v>28</v>
      </c>
      <c r="R111" s="1">
        <v>27</v>
      </c>
      <c r="S111" s="1">
        <v>22</v>
      </c>
      <c r="T111" s="1">
        <v>20</v>
      </c>
      <c r="U111" s="1">
        <v>15</v>
      </c>
      <c r="V111" s="1">
        <v>12</v>
      </c>
      <c r="W111" s="1">
        <v>6</v>
      </c>
      <c r="X111" s="1">
        <v>7</v>
      </c>
      <c r="Y111" s="1">
        <v>10</v>
      </c>
    </row>
    <row r="112" spans="1:25" x14ac:dyDescent="0.3">
      <c r="A112" s="2">
        <v>42815</v>
      </c>
      <c r="B112" s="1">
        <v>10</v>
      </c>
      <c r="C112" s="1">
        <v>12</v>
      </c>
      <c r="D112" s="1">
        <v>10</v>
      </c>
      <c r="E112" s="1">
        <v>5</v>
      </c>
      <c r="F112" s="1">
        <v>3</v>
      </c>
      <c r="G112" s="1">
        <v>4</v>
      </c>
      <c r="H112" s="1">
        <v>14</v>
      </c>
      <c r="I112" s="1">
        <v>11</v>
      </c>
      <c r="J112" s="1">
        <v>18</v>
      </c>
      <c r="K112" s="1">
        <v>14</v>
      </c>
      <c r="L112" s="1">
        <v>21</v>
      </c>
      <c r="M112" s="1">
        <v>20</v>
      </c>
      <c r="N112" s="1">
        <v>28</v>
      </c>
      <c r="O112" s="1">
        <v>25</v>
      </c>
      <c r="P112" s="1">
        <v>21</v>
      </c>
      <c r="Q112" s="1">
        <v>23</v>
      </c>
      <c r="R112" s="1">
        <v>27</v>
      </c>
      <c r="S112" s="1">
        <v>29</v>
      </c>
      <c r="T112" s="1">
        <v>20</v>
      </c>
      <c r="U112" s="1">
        <v>25</v>
      </c>
      <c r="V112" s="1">
        <v>17</v>
      </c>
      <c r="W112" s="1">
        <v>18</v>
      </c>
      <c r="X112" s="1">
        <v>7</v>
      </c>
      <c r="Y112" s="1">
        <v>10</v>
      </c>
    </row>
    <row r="113" spans="1:25" x14ac:dyDescent="0.3">
      <c r="A113" s="2">
        <v>42816</v>
      </c>
      <c r="B113" s="1">
        <v>5</v>
      </c>
      <c r="C113" s="1">
        <v>7</v>
      </c>
      <c r="D113" s="1">
        <v>8</v>
      </c>
      <c r="E113" s="1">
        <v>6</v>
      </c>
      <c r="F113" s="1">
        <v>3</v>
      </c>
      <c r="G113" s="1">
        <v>9</v>
      </c>
      <c r="H113" s="1">
        <v>9</v>
      </c>
      <c r="I113" s="1">
        <v>13</v>
      </c>
      <c r="J113" s="1">
        <v>15</v>
      </c>
      <c r="K113" s="1">
        <v>27</v>
      </c>
      <c r="L113" s="1">
        <v>26</v>
      </c>
      <c r="M113" s="1">
        <v>26</v>
      </c>
      <c r="N113" s="1">
        <v>21</v>
      </c>
      <c r="O113" s="1">
        <v>24</v>
      </c>
      <c r="P113" s="1">
        <v>30</v>
      </c>
      <c r="Q113" s="1">
        <v>32</v>
      </c>
      <c r="R113" s="1">
        <v>18</v>
      </c>
      <c r="S113" s="1">
        <v>25</v>
      </c>
      <c r="T113" s="1">
        <v>24</v>
      </c>
      <c r="U113" s="1">
        <v>18</v>
      </c>
      <c r="V113" s="1">
        <v>17</v>
      </c>
      <c r="W113" s="1">
        <v>9</v>
      </c>
      <c r="X113" s="1">
        <v>14</v>
      </c>
      <c r="Y113" s="1">
        <v>5</v>
      </c>
    </row>
    <row r="114" spans="1:25" x14ac:dyDescent="0.3">
      <c r="A114" s="2">
        <v>42817</v>
      </c>
      <c r="B114" s="1">
        <v>12</v>
      </c>
      <c r="C114" s="1">
        <v>8</v>
      </c>
      <c r="D114" s="1">
        <v>7</v>
      </c>
      <c r="E114" s="1">
        <v>8</v>
      </c>
      <c r="F114" s="1">
        <v>5</v>
      </c>
      <c r="G114" s="1">
        <v>5</v>
      </c>
      <c r="H114" s="1">
        <v>4</v>
      </c>
      <c r="I114" s="1">
        <v>26</v>
      </c>
      <c r="J114" s="1">
        <v>15</v>
      </c>
      <c r="K114" s="1">
        <v>19</v>
      </c>
      <c r="L114" s="1">
        <v>24</v>
      </c>
      <c r="M114" s="1">
        <v>26</v>
      </c>
      <c r="N114" s="1">
        <v>23</v>
      </c>
      <c r="O114" s="1">
        <v>21</v>
      </c>
      <c r="P114" s="1">
        <v>20</v>
      </c>
      <c r="Q114" s="1">
        <v>22</v>
      </c>
      <c r="R114" s="1">
        <v>20</v>
      </c>
      <c r="S114" s="1">
        <v>29</v>
      </c>
      <c r="T114" s="1">
        <v>24</v>
      </c>
      <c r="U114" s="1">
        <v>19</v>
      </c>
      <c r="V114" s="1">
        <v>11</v>
      </c>
      <c r="W114" s="1">
        <v>17</v>
      </c>
      <c r="X114" s="1">
        <v>7</v>
      </c>
      <c r="Y114" s="1">
        <v>10</v>
      </c>
    </row>
    <row r="115" spans="1:25" x14ac:dyDescent="0.3">
      <c r="A115" s="2">
        <v>42818</v>
      </c>
      <c r="B115" s="1">
        <v>5</v>
      </c>
      <c r="C115" s="1">
        <v>6</v>
      </c>
      <c r="D115" s="1">
        <v>7</v>
      </c>
      <c r="E115" s="1">
        <v>7</v>
      </c>
      <c r="F115" s="1">
        <v>3</v>
      </c>
      <c r="G115" s="1">
        <v>5</v>
      </c>
      <c r="H115" s="1">
        <v>13</v>
      </c>
      <c r="I115" s="1">
        <v>11</v>
      </c>
      <c r="J115" s="1">
        <v>23</v>
      </c>
      <c r="K115" s="1">
        <v>15</v>
      </c>
      <c r="L115" s="1">
        <v>27</v>
      </c>
      <c r="M115" s="1">
        <v>22</v>
      </c>
      <c r="N115" s="1">
        <v>25</v>
      </c>
      <c r="O115" s="1">
        <v>30</v>
      </c>
      <c r="P115" s="1">
        <v>22</v>
      </c>
      <c r="Q115" s="1">
        <v>19</v>
      </c>
      <c r="R115" s="1">
        <v>26</v>
      </c>
      <c r="S115" s="1">
        <v>28</v>
      </c>
      <c r="T115" s="1">
        <v>24</v>
      </c>
      <c r="U115" s="1">
        <v>19</v>
      </c>
      <c r="V115" s="1">
        <v>12</v>
      </c>
      <c r="W115" s="1">
        <v>9</v>
      </c>
      <c r="X115" s="1">
        <v>11</v>
      </c>
      <c r="Y115" s="1">
        <v>14</v>
      </c>
    </row>
    <row r="116" spans="1:25" x14ac:dyDescent="0.3">
      <c r="A116" s="2">
        <v>42819</v>
      </c>
      <c r="B116" s="1">
        <v>4</v>
      </c>
      <c r="C116" s="1">
        <v>13</v>
      </c>
      <c r="D116" s="1">
        <v>5</v>
      </c>
      <c r="E116" s="1">
        <v>4</v>
      </c>
      <c r="F116" s="1">
        <v>10</v>
      </c>
      <c r="G116" s="1">
        <v>4</v>
      </c>
      <c r="H116" s="1">
        <v>8</v>
      </c>
      <c r="I116" s="1">
        <v>5</v>
      </c>
      <c r="J116" s="1">
        <v>11</v>
      </c>
      <c r="K116" s="1">
        <v>12</v>
      </c>
      <c r="L116" s="1">
        <v>14</v>
      </c>
      <c r="M116" s="1">
        <v>19</v>
      </c>
      <c r="N116" s="1">
        <v>21</v>
      </c>
      <c r="O116" s="1">
        <v>21</v>
      </c>
      <c r="P116" s="1">
        <v>24</v>
      </c>
      <c r="Q116" s="1">
        <v>22</v>
      </c>
      <c r="R116" s="1">
        <v>15</v>
      </c>
      <c r="S116" s="1">
        <v>23</v>
      </c>
      <c r="T116" s="1">
        <v>17</v>
      </c>
      <c r="U116" s="1">
        <v>14</v>
      </c>
      <c r="V116" s="1">
        <v>16</v>
      </c>
      <c r="W116" s="1">
        <v>12</v>
      </c>
      <c r="X116" s="1">
        <v>7</v>
      </c>
      <c r="Y116" s="1">
        <v>10</v>
      </c>
    </row>
    <row r="117" spans="1:25" x14ac:dyDescent="0.3">
      <c r="A117" s="2">
        <v>42820</v>
      </c>
      <c r="B117" s="1">
        <v>12</v>
      </c>
      <c r="C117" s="1">
        <v>9</v>
      </c>
      <c r="D117" s="1">
        <v>7</v>
      </c>
      <c r="E117" s="1">
        <v>3</v>
      </c>
      <c r="F117" s="1">
        <v>7</v>
      </c>
      <c r="G117" s="1">
        <v>4</v>
      </c>
      <c r="H117" s="1">
        <v>5</v>
      </c>
      <c r="I117" s="1">
        <v>6</v>
      </c>
      <c r="J117" s="1">
        <v>6</v>
      </c>
      <c r="K117" s="1">
        <v>18</v>
      </c>
      <c r="L117" s="1">
        <v>11</v>
      </c>
      <c r="M117" s="1">
        <v>18</v>
      </c>
      <c r="N117" s="1">
        <v>17</v>
      </c>
      <c r="O117" s="1">
        <v>16</v>
      </c>
      <c r="P117" s="1">
        <v>25</v>
      </c>
      <c r="Q117" s="1">
        <v>18</v>
      </c>
      <c r="R117" s="1">
        <v>12</v>
      </c>
      <c r="S117" s="1">
        <v>25</v>
      </c>
      <c r="T117" s="1">
        <v>15</v>
      </c>
      <c r="U117" s="1">
        <v>22</v>
      </c>
      <c r="V117" s="1">
        <v>4</v>
      </c>
      <c r="W117" s="1">
        <v>9</v>
      </c>
      <c r="X117" s="1">
        <v>3</v>
      </c>
      <c r="Y117" s="1">
        <v>14</v>
      </c>
    </row>
    <row r="118" spans="1:25" x14ac:dyDescent="0.3">
      <c r="A118" s="2">
        <v>42821</v>
      </c>
      <c r="B118" s="1">
        <v>10</v>
      </c>
      <c r="C118" s="1">
        <v>4</v>
      </c>
      <c r="D118" s="1">
        <v>8</v>
      </c>
      <c r="E118" s="1">
        <v>5</v>
      </c>
      <c r="F118" s="1">
        <v>4</v>
      </c>
      <c r="G118" s="1">
        <v>16</v>
      </c>
      <c r="H118" s="1">
        <v>9</v>
      </c>
      <c r="I118" s="1">
        <v>14</v>
      </c>
      <c r="J118" s="1">
        <v>22</v>
      </c>
      <c r="K118" s="1">
        <v>31</v>
      </c>
      <c r="L118" s="1">
        <v>22</v>
      </c>
      <c r="M118" s="1">
        <v>21</v>
      </c>
      <c r="N118" s="1">
        <v>32</v>
      </c>
      <c r="O118" s="1">
        <v>18</v>
      </c>
      <c r="P118" s="1">
        <v>24</v>
      </c>
      <c r="Q118" s="1">
        <v>26</v>
      </c>
      <c r="R118" s="1">
        <v>29</v>
      </c>
      <c r="S118" s="1">
        <v>22</v>
      </c>
      <c r="T118" s="1">
        <v>23</v>
      </c>
      <c r="U118" s="1">
        <v>13</v>
      </c>
      <c r="V118" s="1">
        <v>14</v>
      </c>
      <c r="W118" s="1">
        <v>11</v>
      </c>
      <c r="X118" s="1">
        <v>9</v>
      </c>
      <c r="Y118" s="1">
        <v>6</v>
      </c>
    </row>
    <row r="119" spans="1:25" x14ac:dyDescent="0.3">
      <c r="A119" s="2">
        <v>42822</v>
      </c>
      <c r="B119" s="1">
        <v>7</v>
      </c>
      <c r="C119" s="1">
        <v>4</v>
      </c>
      <c r="D119" s="1">
        <v>3</v>
      </c>
      <c r="E119" s="1">
        <v>6</v>
      </c>
      <c r="F119" s="1">
        <v>5</v>
      </c>
      <c r="G119" s="1">
        <v>9</v>
      </c>
      <c r="H119" s="1">
        <v>11</v>
      </c>
      <c r="I119" s="1">
        <v>20</v>
      </c>
      <c r="J119" s="1">
        <v>30</v>
      </c>
      <c r="K119" s="1">
        <v>27</v>
      </c>
      <c r="L119" s="1">
        <v>25</v>
      </c>
      <c r="M119" s="1">
        <v>22</v>
      </c>
      <c r="N119" s="1">
        <v>21</v>
      </c>
      <c r="O119" s="1">
        <v>17</v>
      </c>
      <c r="P119" s="1">
        <v>22</v>
      </c>
      <c r="Q119" s="1">
        <v>21</v>
      </c>
      <c r="R119" s="1">
        <v>19</v>
      </c>
      <c r="S119" s="1">
        <v>23</v>
      </c>
      <c r="T119" s="1">
        <v>11</v>
      </c>
      <c r="U119" s="1">
        <v>15</v>
      </c>
      <c r="V119" s="1">
        <v>16</v>
      </c>
      <c r="W119" s="1">
        <v>15</v>
      </c>
      <c r="X119" s="1">
        <v>12</v>
      </c>
      <c r="Y119" s="1">
        <v>5</v>
      </c>
    </row>
    <row r="120" spans="1:25" x14ac:dyDescent="0.3">
      <c r="A120" s="2">
        <v>42823</v>
      </c>
      <c r="B120" s="1">
        <v>5</v>
      </c>
      <c r="C120" s="1">
        <v>7</v>
      </c>
      <c r="D120" s="1">
        <v>11</v>
      </c>
      <c r="E120" s="1">
        <v>7</v>
      </c>
      <c r="F120" s="1">
        <v>3</v>
      </c>
      <c r="G120" s="1">
        <v>7</v>
      </c>
      <c r="H120" s="1">
        <v>9</v>
      </c>
      <c r="I120" s="1">
        <v>19</v>
      </c>
      <c r="J120" s="1">
        <v>37</v>
      </c>
      <c r="K120" s="1">
        <v>15</v>
      </c>
      <c r="L120" s="1">
        <v>22</v>
      </c>
      <c r="M120" s="1">
        <v>39</v>
      </c>
      <c r="N120" s="1">
        <v>24</v>
      </c>
      <c r="O120" s="1">
        <v>11</v>
      </c>
      <c r="P120" s="1">
        <v>21</v>
      </c>
      <c r="Q120" s="1">
        <v>26</v>
      </c>
      <c r="R120" s="1">
        <v>32</v>
      </c>
      <c r="S120" s="1">
        <v>23</v>
      </c>
      <c r="T120" s="1">
        <v>21</v>
      </c>
      <c r="U120" s="1">
        <v>9</v>
      </c>
      <c r="V120" s="1">
        <v>23</v>
      </c>
      <c r="W120" s="1">
        <v>12</v>
      </c>
      <c r="X120" s="1">
        <v>3</v>
      </c>
      <c r="Y120" s="1">
        <v>11</v>
      </c>
    </row>
    <row r="121" spans="1:25" x14ac:dyDescent="0.3">
      <c r="A121" s="2">
        <v>42824</v>
      </c>
      <c r="B121" s="1">
        <v>7</v>
      </c>
      <c r="C121" s="1">
        <v>7</v>
      </c>
      <c r="D121" s="1">
        <v>2</v>
      </c>
      <c r="E121" s="1">
        <v>6</v>
      </c>
      <c r="F121" s="1">
        <v>3</v>
      </c>
      <c r="G121" s="1">
        <v>4</v>
      </c>
      <c r="H121" s="1">
        <v>10</v>
      </c>
      <c r="I121" s="1">
        <v>10</v>
      </c>
      <c r="J121" s="1">
        <v>19</v>
      </c>
      <c r="K121" s="1">
        <v>20</v>
      </c>
      <c r="L121" s="1">
        <v>18</v>
      </c>
      <c r="M121" s="1">
        <v>20</v>
      </c>
      <c r="N121" s="1">
        <v>15</v>
      </c>
      <c r="O121" s="1">
        <v>18</v>
      </c>
      <c r="P121" s="1">
        <v>13</v>
      </c>
      <c r="Q121" s="1">
        <v>25</v>
      </c>
      <c r="R121" s="1">
        <v>27</v>
      </c>
      <c r="S121" s="1">
        <v>39</v>
      </c>
      <c r="T121" s="1">
        <v>17</v>
      </c>
      <c r="U121" s="1">
        <v>15</v>
      </c>
      <c r="V121" s="1">
        <v>17</v>
      </c>
      <c r="W121" s="1">
        <v>13</v>
      </c>
      <c r="X121" s="1">
        <v>13</v>
      </c>
      <c r="Y121" s="1">
        <v>7</v>
      </c>
    </row>
    <row r="122" spans="1:25" x14ac:dyDescent="0.3">
      <c r="A122" s="2">
        <v>42825</v>
      </c>
      <c r="B122" s="1">
        <v>4</v>
      </c>
      <c r="C122" s="1">
        <v>6</v>
      </c>
      <c r="D122" s="1">
        <v>4</v>
      </c>
      <c r="E122" s="1">
        <v>5</v>
      </c>
      <c r="F122" s="1">
        <v>7</v>
      </c>
      <c r="G122" s="1">
        <v>10</v>
      </c>
      <c r="H122" s="1">
        <v>12</v>
      </c>
      <c r="I122" s="1">
        <v>16</v>
      </c>
      <c r="J122" s="1">
        <v>28</v>
      </c>
      <c r="K122" s="1">
        <v>20</v>
      </c>
      <c r="L122" s="1">
        <v>24</v>
      </c>
      <c r="M122" s="1">
        <v>16</v>
      </c>
      <c r="N122" s="1">
        <v>26</v>
      </c>
      <c r="O122" s="1">
        <v>25</v>
      </c>
      <c r="P122" s="1">
        <v>22</v>
      </c>
      <c r="Q122" s="1">
        <v>30</v>
      </c>
      <c r="R122" s="1">
        <v>20</v>
      </c>
      <c r="S122" s="1">
        <v>29</v>
      </c>
      <c r="T122" s="1">
        <v>20</v>
      </c>
      <c r="U122" s="1">
        <v>17</v>
      </c>
      <c r="V122" s="1">
        <v>17</v>
      </c>
      <c r="W122" s="1">
        <v>17</v>
      </c>
      <c r="X122" s="1">
        <v>12</v>
      </c>
      <c r="Y122" s="1">
        <v>8</v>
      </c>
    </row>
    <row r="123" spans="1:25" x14ac:dyDescent="0.3">
      <c r="A123" s="2">
        <v>42826</v>
      </c>
      <c r="B123" s="1">
        <v>11</v>
      </c>
      <c r="C123" s="1">
        <v>4</v>
      </c>
      <c r="D123" s="1">
        <v>3</v>
      </c>
      <c r="E123" s="1">
        <v>7</v>
      </c>
      <c r="F123" s="1">
        <v>5</v>
      </c>
      <c r="G123" s="1">
        <v>3</v>
      </c>
      <c r="H123" s="1">
        <v>7</v>
      </c>
      <c r="I123" s="1">
        <v>4</v>
      </c>
      <c r="J123" s="1">
        <v>17</v>
      </c>
      <c r="K123" s="1">
        <v>16</v>
      </c>
      <c r="L123" s="1">
        <v>15</v>
      </c>
      <c r="M123" s="1">
        <v>25</v>
      </c>
      <c r="N123" s="1">
        <v>21</v>
      </c>
      <c r="O123" s="1">
        <v>14</v>
      </c>
      <c r="P123" s="1">
        <v>32</v>
      </c>
      <c r="Q123" s="1">
        <v>18</v>
      </c>
      <c r="R123" s="1">
        <v>23</v>
      </c>
      <c r="S123" s="1">
        <v>13</v>
      </c>
      <c r="T123" s="1">
        <v>21</v>
      </c>
      <c r="U123" s="1">
        <v>10</v>
      </c>
      <c r="V123" s="1">
        <v>21</v>
      </c>
      <c r="W123" s="1">
        <v>14</v>
      </c>
      <c r="X123" s="1">
        <v>14</v>
      </c>
      <c r="Y123" s="1">
        <v>8</v>
      </c>
    </row>
    <row r="124" spans="1:25" x14ac:dyDescent="0.3">
      <c r="A124" s="2">
        <v>42827</v>
      </c>
      <c r="B124" s="1">
        <v>6</v>
      </c>
      <c r="C124" s="1">
        <v>4</v>
      </c>
      <c r="D124" s="1">
        <v>9</v>
      </c>
      <c r="E124" s="1">
        <v>7</v>
      </c>
      <c r="F124" s="1">
        <v>14</v>
      </c>
      <c r="G124" s="1">
        <v>7</v>
      </c>
      <c r="H124" s="1">
        <v>10</v>
      </c>
      <c r="I124" s="1">
        <v>4</v>
      </c>
      <c r="J124" s="1">
        <v>5</v>
      </c>
      <c r="K124" s="1">
        <v>20</v>
      </c>
      <c r="L124" s="1">
        <v>11</v>
      </c>
      <c r="M124" s="1">
        <v>22</v>
      </c>
      <c r="N124" s="1">
        <v>26</v>
      </c>
      <c r="O124" s="1">
        <v>12</v>
      </c>
      <c r="P124" s="1">
        <v>23</v>
      </c>
      <c r="Q124" s="1">
        <v>17</v>
      </c>
      <c r="R124" s="1">
        <v>9</v>
      </c>
      <c r="S124" s="1">
        <v>23</v>
      </c>
      <c r="T124" s="1">
        <v>22</v>
      </c>
      <c r="U124" s="1">
        <v>18</v>
      </c>
      <c r="V124" s="1">
        <v>9</v>
      </c>
      <c r="W124" s="1">
        <v>20</v>
      </c>
      <c r="X124" s="1">
        <v>7</v>
      </c>
      <c r="Y124" s="1">
        <v>8</v>
      </c>
    </row>
    <row r="125" spans="1:25" x14ac:dyDescent="0.3">
      <c r="A125" s="2">
        <v>42828</v>
      </c>
      <c r="B125" s="1">
        <v>7</v>
      </c>
      <c r="C125" s="1">
        <v>3</v>
      </c>
      <c r="D125" s="1">
        <v>6</v>
      </c>
      <c r="E125" s="1">
        <v>5</v>
      </c>
      <c r="F125" s="1">
        <v>7</v>
      </c>
      <c r="G125" s="1">
        <v>13</v>
      </c>
      <c r="H125" s="1">
        <v>10</v>
      </c>
      <c r="I125" s="1">
        <v>15</v>
      </c>
      <c r="J125" s="1">
        <v>36</v>
      </c>
      <c r="K125" s="1">
        <v>21</v>
      </c>
      <c r="L125" s="1">
        <v>20</v>
      </c>
      <c r="M125" s="1">
        <v>33</v>
      </c>
      <c r="N125" s="1">
        <v>30</v>
      </c>
      <c r="O125" s="1">
        <v>20</v>
      </c>
      <c r="P125" s="1">
        <v>23</v>
      </c>
      <c r="Q125" s="1">
        <v>25</v>
      </c>
      <c r="R125" s="1">
        <v>30</v>
      </c>
      <c r="S125" s="1">
        <v>22</v>
      </c>
      <c r="T125" s="1">
        <v>24</v>
      </c>
      <c r="U125" s="1">
        <v>9</v>
      </c>
      <c r="V125" s="1">
        <v>17</v>
      </c>
      <c r="W125" s="1">
        <v>10</v>
      </c>
      <c r="X125" s="1">
        <v>5</v>
      </c>
      <c r="Y125" s="1">
        <v>7</v>
      </c>
    </row>
    <row r="126" spans="1:25" x14ac:dyDescent="0.3">
      <c r="A126" s="2">
        <v>42829</v>
      </c>
      <c r="B126" s="1">
        <v>6</v>
      </c>
      <c r="C126" s="1">
        <v>6</v>
      </c>
      <c r="D126" s="1">
        <v>2</v>
      </c>
      <c r="E126" s="1">
        <v>2</v>
      </c>
      <c r="F126" s="1">
        <v>8</v>
      </c>
      <c r="G126" s="1">
        <v>12</v>
      </c>
      <c r="H126" s="1">
        <v>19</v>
      </c>
      <c r="I126" s="1">
        <v>23</v>
      </c>
      <c r="J126" s="1">
        <v>22</v>
      </c>
      <c r="K126" s="1">
        <v>22</v>
      </c>
      <c r="L126" s="1">
        <v>28</v>
      </c>
      <c r="M126" s="1">
        <v>26</v>
      </c>
      <c r="N126" s="1">
        <v>25</v>
      </c>
      <c r="O126" s="1">
        <v>36</v>
      </c>
      <c r="P126" s="1">
        <v>21</v>
      </c>
      <c r="Q126" s="1">
        <v>30</v>
      </c>
      <c r="R126" s="1">
        <v>23</v>
      </c>
      <c r="S126" s="1">
        <v>25</v>
      </c>
      <c r="T126" s="1">
        <v>16</v>
      </c>
      <c r="U126" s="1">
        <v>27</v>
      </c>
      <c r="V126" s="1">
        <v>22</v>
      </c>
      <c r="W126" s="1">
        <v>12</v>
      </c>
      <c r="X126" s="1">
        <v>5</v>
      </c>
      <c r="Y126" s="1">
        <v>10</v>
      </c>
    </row>
    <row r="127" spans="1:25" x14ac:dyDescent="0.3">
      <c r="A127" s="2">
        <v>42830</v>
      </c>
      <c r="B127" s="1">
        <v>2</v>
      </c>
      <c r="C127" s="1">
        <v>2</v>
      </c>
      <c r="D127" s="1">
        <v>4</v>
      </c>
      <c r="E127" s="1">
        <v>5</v>
      </c>
      <c r="F127" s="1">
        <v>4</v>
      </c>
      <c r="G127" s="1">
        <v>9</v>
      </c>
      <c r="H127" s="1">
        <v>13</v>
      </c>
      <c r="I127" s="1">
        <v>12</v>
      </c>
      <c r="J127" s="1">
        <v>28</v>
      </c>
      <c r="K127" s="1">
        <v>20</v>
      </c>
      <c r="L127" s="1">
        <v>23</v>
      </c>
      <c r="M127" s="1">
        <v>21</v>
      </c>
      <c r="N127" s="1">
        <v>31</v>
      </c>
      <c r="O127" s="1">
        <v>17</v>
      </c>
      <c r="P127" s="1">
        <v>33</v>
      </c>
      <c r="Q127" s="1">
        <v>29</v>
      </c>
      <c r="R127" s="1">
        <v>31</v>
      </c>
      <c r="S127" s="1">
        <v>31</v>
      </c>
      <c r="T127" s="1">
        <v>17</v>
      </c>
      <c r="U127" s="1">
        <v>19</v>
      </c>
      <c r="V127" s="1">
        <v>22</v>
      </c>
      <c r="W127" s="1">
        <v>19</v>
      </c>
      <c r="X127" s="1">
        <v>8</v>
      </c>
      <c r="Y127" s="1">
        <v>6</v>
      </c>
    </row>
    <row r="128" spans="1:25" x14ac:dyDescent="0.3">
      <c r="A128" s="2">
        <v>42831</v>
      </c>
      <c r="B128" s="1">
        <v>2</v>
      </c>
      <c r="C128" s="1">
        <v>2</v>
      </c>
      <c r="D128" s="1">
        <v>5</v>
      </c>
      <c r="E128" s="1">
        <v>4</v>
      </c>
      <c r="F128" s="1">
        <v>4</v>
      </c>
      <c r="G128" s="1">
        <v>4</v>
      </c>
      <c r="H128" s="1">
        <v>7</v>
      </c>
      <c r="I128" s="1">
        <v>18</v>
      </c>
      <c r="J128" s="1">
        <v>25</v>
      </c>
      <c r="K128" s="1">
        <v>24</v>
      </c>
      <c r="L128" s="1">
        <v>19</v>
      </c>
      <c r="M128" s="1">
        <v>23</v>
      </c>
      <c r="N128" s="1">
        <v>20</v>
      </c>
      <c r="O128" s="1">
        <v>27</v>
      </c>
      <c r="P128" s="1">
        <v>32</v>
      </c>
      <c r="Q128" s="1">
        <v>50</v>
      </c>
      <c r="R128" s="1">
        <v>34</v>
      </c>
      <c r="S128" s="1">
        <v>32</v>
      </c>
      <c r="T128" s="1">
        <v>30</v>
      </c>
      <c r="U128" s="1">
        <v>17</v>
      </c>
      <c r="V128" s="1">
        <v>16</v>
      </c>
      <c r="W128" s="1">
        <v>13</v>
      </c>
      <c r="X128" s="1">
        <v>14</v>
      </c>
      <c r="Y128" s="1">
        <v>5</v>
      </c>
    </row>
    <row r="129" spans="1:25" x14ac:dyDescent="0.3">
      <c r="A129" s="2">
        <v>42832</v>
      </c>
      <c r="B129" s="1">
        <v>5</v>
      </c>
      <c r="C129" s="1">
        <v>8</v>
      </c>
      <c r="D129" s="1">
        <v>11</v>
      </c>
      <c r="E129" s="1">
        <v>3</v>
      </c>
      <c r="F129" s="1">
        <v>4</v>
      </c>
      <c r="G129" s="1">
        <v>4</v>
      </c>
      <c r="H129" s="1">
        <v>11</v>
      </c>
      <c r="I129" s="1">
        <v>19</v>
      </c>
      <c r="J129" s="1">
        <v>17</v>
      </c>
      <c r="K129" s="1">
        <v>26</v>
      </c>
      <c r="L129" s="1">
        <v>19</v>
      </c>
      <c r="M129" s="1">
        <v>20</v>
      </c>
      <c r="N129" s="1">
        <v>16</v>
      </c>
      <c r="O129" s="1">
        <v>34</v>
      </c>
      <c r="P129" s="1">
        <v>26</v>
      </c>
      <c r="Q129" s="1">
        <v>17</v>
      </c>
      <c r="R129" s="1">
        <v>19</v>
      </c>
      <c r="S129" s="1">
        <v>23</v>
      </c>
      <c r="T129" s="1">
        <v>12</v>
      </c>
      <c r="U129" s="1">
        <v>24</v>
      </c>
      <c r="V129" s="1">
        <v>16</v>
      </c>
      <c r="W129" s="1">
        <v>14</v>
      </c>
      <c r="X129" s="1">
        <v>18</v>
      </c>
      <c r="Y129" s="1">
        <v>5</v>
      </c>
    </row>
    <row r="130" spans="1:25" x14ac:dyDescent="0.3">
      <c r="A130" s="2">
        <v>42833</v>
      </c>
      <c r="B130" s="1">
        <v>10</v>
      </c>
      <c r="C130" s="1">
        <v>4</v>
      </c>
      <c r="D130" s="1">
        <v>6</v>
      </c>
      <c r="E130" s="1">
        <v>6</v>
      </c>
      <c r="F130" s="1">
        <v>7</v>
      </c>
      <c r="G130" s="1">
        <v>4</v>
      </c>
      <c r="H130" s="1">
        <v>9</v>
      </c>
      <c r="I130" s="1">
        <v>12</v>
      </c>
      <c r="J130" s="1">
        <v>17</v>
      </c>
      <c r="K130" s="1">
        <v>16</v>
      </c>
      <c r="L130" s="1">
        <v>21</v>
      </c>
      <c r="M130" s="1">
        <v>25</v>
      </c>
      <c r="N130" s="1">
        <v>22</v>
      </c>
      <c r="O130" s="1">
        <v>32</v>
      </c>
      <c r="P130" s="1">
        <v>26</v>
      </c>
      <c r="Q130" s="1">
        <v>26</v>
      </c>
      <c r="R130" s="1">
        <v>36</v>
      </c>
      <c r="S130" s="1">
        <v>15</v>
      </c>
      <c r="T130" s="1">
        <v>24</v>
      </c>
      <c r="U130" s="1">
        <v>12</v>
      </c>
      <c r="V130" s="1">
        <v>18</v>
      </c>
      <c r="W130" s="1">
        <v>11</v>
      </c>
      <c r="X130" s="1">
        <v>14</v>
      </c>
      <c r="Y130" s="1">
        <v>14</v>
      </c>
    </row>
    <row r="131" spans="1:25" x14ac:dyDescent="0.3">
      <c r="A131" s="2">
        <v>42834</v>
      </c>
      <c r="B131" s="1">
        <v>13</v>
      </c>
      <c r="C131" s="1">
        <v>3</v>
      </c>
      <c r="D131" s="1">
        <v>8</v>
      </c>
      <c r="E131" s="1">
        <v>13</v>
      </c>
      <c r="F131" s="1">
        <v>4</v>
      </c>
      <c r="G131" s="1">
        <v>3</v>
      </c>
      <c r="H131" s="1">
        <v>5</v>
      </c>
      <c r="I131" s="1">
        <v>9</v>
      </c>
      <c r="J131" s="1">
        <v>14</v>
      </c>
      <c r="K131" s="1">
        <v>18</v>
      </c>
      <c r="L131" s="1">
        <v>23</v>
      </c>
      <c r="M131" s="1">
        <v>19</v>
      </c>
      <c r="N131" s="1">
        <v>26</v>
      </c>
      <c r="O131" s="1">
        <v>17</v>
      </c>
      <c r="P131" s="1">
        <v>27</v>
      </c>
      <c r="Q131" s="1">
        <v>17</v>
      </c>
      <c r="R131" s="1">
        <v>15</v>
      </c>
      <c r="S131" s="1">
        <v>27</v>
      </c>
      <c r="T131" s="1">
        <v>17</v>
      </c>
      <c r="U131" s="1">
        <v>18</v>
      </c>
      <c r="V131" s="1">
        <v>19</v>
      </c>
      <c r="W131" s="1">
        <v>7</v>
      </c>
      <c r="X131" s="1">
        <v>9</v>
      </c>
      <c r="Y131" s="1">
        <v>10</v>
      </c>
    </row>
    <row r="132" spans="1:25" x14ac:dyDescent="0.3">
      <c r="A132" s="2">
        <v>42835</v>
      </c>
      <c r="B132" s="1">
        <v>4</v>
      </c>
      <c r="C132" s="1">
        <v>12</v>
      </c>
      <c r="D132" s="1">
        <v>4</v>
      </c>
      <c r="E132" s="1">
        <v>7</v>
      </c>
      <c r="F132" s="1">
        <v>3</v>
      </c>
      <c r="G132" s="1">
        <v>5</v>
      </c>
      <c r="H132" s="1">
        <v>5</v>
      </c>
      <c r="I132" s="1">
        <v>21</v>
      </c>
      <c r="J132" s="1">
        <v>23</v>
      </c>
      <c r="K132" s="1">
        <v>30</v>
      </c>
      <c r="L132" s="1">
        <v>16</v>
      </c>
      <c r="M132" s="1">
        <v>23</v>
      </c>
      <c r="N132" s="1">
        <v>29</v>
      </c>
      <c r="O132" s="1">
        <v>25</v>
      </c>
      <c r="P132" s="1">
        <v>35</v>
      </c>
      <c r="Q132" s="1">
        <v>25</v>
      </c>
      <c r="R132" s="1">
        <v>35</v>
      </c>
      <c r="S132" s="1">
        <v>32</v>
      </c>
      <c r="T132" s="1">
        <v>17</v>
      </c>
      <c r="U132" s="1">
        <v>23</v>
      </c>
      <c r="V132" s="1">
        <v>13</v>
      </c>
      <c r="W132" s="1">
        <v>7</v>
      </c>
      <c r="X132" s="1">
        <v>11</v>
      </c>
      <c r="Y132" s="1">
        <v>5</v>
      </c>
    </row>
    <row r="133" spans="1:25" x14ac:dyDescent="0.3">
      <c r="A133" s="2">
        <v>42836</v>
      </c>
      <c r="B133" s="1">
        <v>9</v>
      </c>
      <c r="C133" s="1">
        <v>1</v>
      </c>
      <c r="D133" s="1">
        <v>3</v>
      </c>
      <c r="E133" s="1">
        <v>5</v>
      </c>
      <c r="F133" s="1">
        <v>4</v>
      </c>
      <c r="G133" s="1">
        <v>7</v>
      </c>
      <c r="H133" s="1">
        <v>15</v>
      </c>
      <c r="I133" s="1">
        <v>30</v>
      </c>
      <c r="J133" s="1">
        <v>25</v>
      </c>
      <c r="K133" s="1">
        <v>19</v>
      </c>
      <c r="L133" s="1">
        <v>11</v>
      </c>
      <c r="M133" s="1">
        <v>26</v>
      </c>
      <c r="N133" s="1">
        <v>30</v>
      </c>
      <c r="O133" s="1">
        <v>26</v>
      </c>
      <c r="P133" s="1">
        <v>29</v>
      </c>
      <c r="Q133" s="1">
        <v>26</v>
      </c>
      <c r="R133" s="1">
        <v>46</v>
      </c>
      <c r="S133" s="1">
        <v>27</v>
      </c>
      <c r="T133" s="1">
        <v>28</v>
      </c>
      <c r="U133" s="1">
        <v>25</v>
      </c>
      <c r="V133" s="1">
        <v>15</v>
      </c>
      <c r="W133" s="1">
        <v>12</v>
      </c>
      <c r="X133" s="1">
        <v>14</v>
      </c>
      <c r="Y133" s="1">
        <v>8</v>
      </c>
    </row>
    <row r="134" spans="1:25" x14ac:dyDescent="0.3">
      <c r="A134" s="2">
        <v>42837</v>
      </c>
      <c r="B134" s="1">
        <v>8</v>
      </c>
      <c r="C134" s="1">
        <v>7</v>
      </c>
      <c r="D134" s="1">
        <v>5</v>
      </c>
      <c r="E134" s="1">
        <v>8</v>
      </c>
      <c r="F134" s="1">
        <v>3</v>
      </c>
      <c r="G134" s="1">
        <v>5</v>
      </c>
      <c r="H134" s="1">
        <v>6</v>
      </c>
      <c r="I134" s="1">
        <v>28</v>
      </c>
      <c r="J134" s="1">
        <v>14</v>
      </c>
      <c r="K134" s="1">
        <v>12</v>
      </c>
      <c r="L134" s="1">
        <v>18</v>
      </c>
      <c r="M134" s="1">
        <v>19</v>
      </c>
      <c r="N134" s="1">
        <v>19</v>
      </c>
      <c r="O134" s="1">
        <v>17</v>
      </c>
      <c r="P134" s="1">
        <v>29</v>
      </c>
      <c r="Q134" s="1">
        <v>30</v>
      </c>
      <c r="R134" s="1">
        <v>18</v>
      </c>
      <c r="S134" s="1">
        <v>19</v>
      </c>
      <c r="T134" s="1">
        <v>22</v>
      </c>
      <c r="U134" s="1">
        <v>13</v>
      </c>
      <c r="V134" s="1">
        <v>14</v>
      </c>
      <c r="W134" s="1">
        <v>11</v>
      </c>
      <c r="X134" s="1">
        <v>4</v>
      </c>
      <c r="Y134" s="1">
        <v>14</v>
      </c>
    </row>
    <row r="135" spans="1:25" x14ac:dyDescent="0.3">
      <c r="A135" s="2">
        <v>42838</v>
      </c>
      <c r="B135" s="1">
        <v>5</v>
      </c>
      <c r="C135" s="1">
        <v>9</v>
      </c>
      <c r="D135" s="1">
        <v>9</v>
      </c>
      <c r="E135" s="1">
        <v>5</v>
      </c>
      <c r="F135" s="1">
        <v>1</v>
      </c>
      <c r="G135" s="1">
        <v>14</v>
      </c>
      <c r="H135" s="1">
        <v>4</v>
      </c>
      <c r="I135" s="1">
        <v>14</v>
      </c>
      <c r="J135" s="1">
        <v>10</v>
      </c>
      <c r="K135" s="1">
        <v>17</v>
      </c>
      <c r="L135" s="1">
        <v>22</v>
      </c>
      <c r="M135" s="1">
        <v>18</v>
      </c>
      <c r="N135" s="1">
        <v>27</v>
      </c>
      <c r="O135" s="1">
        <v>19</v>
      </c>
      <c r="P135" s="1">
        <v>17</v>
      </c>
      <c r="Q135" s="1">
        <v>21</v>
      </c>
      <c r="R135" s="1">
        <v>24</v>
      </c>
      <c r="S135" s="1">
        <v>27</v>
      </c>
      <c r="T135" s="1">
        <v>16</v>
      </c>
      <c r="U135" s="1">
        <v>24</v>
      </c>
      <c r="V135" s="1">
        <v>22</v>
      </c>
      <c r="W135" s="1">
        <v>9</v>
      </c>
      <c r="X135" s="1">
        <v>16</v>
      </c>
      <c r="Y135" s="1">
        <v>9</v>
      </c>
    </row>
    <row r="136" spans="1:25" x14ac:dyDescent="0.3">
      <c r="A136" s="2">
        <v>42839</v>
      </c>
      <c r="B136" s="1">
        <v>7</v>
      </c>
      <c r="C136" s="1">
        <v>4</v>
      </c>
      <c r="D136" s="1">
        <v>3</v>
      </c>
      <c r="E136" s="1">
        <v>8</v>
      </c>
      <c r="F136" s="1">
        <v>2</v>
      </c>
      <c r="G136" s="1">
        <v>7</v>
      </c>
      <c r="H136" s="1">
        <v>9</v>
      </c>
      <c r="I136" s="1">
        <v>16</v>
      </c>
      <c r="J136" s="1">
        <v>10</v>
      </c>
      <c r="K136" s="1">
        <v>12</v>
      </c>
      <c r="L136" s="1">
        <v>28</v>
      </c>
      <c r="M136" s="1">
        <v>24</v>
      </c>
      <c r="N136" s="1">
        <v>22</v>
      </c>
      <c r="O136" s="1">
        <v>23</v>
      </c>
      <c r="P136" s="1">
        <v>20</v>
      </c>
      <c r="Q136" s="1">
        <v>28</v>
      </c>
      <c r="R136" s="1">
        <v>27</v>
      </c>
      <c r="S136" s="1">
        <v>27</v>
      </c>
      <c r="T136" s="1">
        <v>25</v>
      </c>
      <c r="U136" s="1">
        <v>9</v>
      </c>
      <c r="V136" s="1">
        <v>18</v>
      </c>
      <c r="W136" s="1">
        <v>18</v>
      </c>
      <c r="X136" s="1">
        <v>21</v>
      </c>
      <c r="Y136" s="1">
        <v>14</v>
      </c>
    </row>
    <row r="137" spans="1:25" x14ac:dyDescent="0.3">
      <c r="A137" s="2">
        <v>42840</v>
      </c>
      <c r="B137" s="1">
        <v>11</v>
      </c>
      <c r="C137" s="1">
        <v>3</v>
      </c>
      <c r="D137" s="1">
        <v>7</v>
      </c>
      <c r="E137" s="1">
        <v>6</v>
      </c>
      <c r="F137" s="1">
        <v>12</v>
      </c>
      <c r="G137" s="1">
        <v>5</v>
      </c>
      <c r="H137" s="1">
        <v>6</v>
      </c>
      <c r="I137" s="1">
        <v>14</v>
      </c>
      <c r="J137" s="1">
        <v>22</v>
      </c>
      <c r="K137" s="1">
        <v>14</v>
      </c>
      <c r="L137" s="1">
        <v>11</v>
      </c>
      <c r="M137" s="1">
        <v>11</v>
      </c>
      <c r="N137" s="1">
        <v>23</v>
      </c>
      <c r="O137" s="1">
        <v>20</v>
      </c>
      <c r="P137" s="1">
        <v>19</v>
      </c>
      <c r="Q137" s="1">
        <v>13</v>
      </c>
      <c r="R137" s="1">
        <v>15</v>
      </c>
      <c r="S137" s="1">
        <v>21</v>
      </c>
      <c r="T137" s="1">
        <v>21</v>
      </c>
      <c r="U137" s="1">
        <v>14</v>
      </c>
      <c r="V137" s="1">
        <v>16</v>
      </c>
      <c r="W137" s="1">
        <v>14</v>
      </c>
      <c r="X137" s="1">
        <v>17</v>
      </c>
      <c r="Y137" s="1">
        <v>13</v>
      </c>
    </row>
    <row r="138" spans="1:25" x14ac:dyDescent="0.3">
      <c r="A138" s="2">
        <v>42841</v>
      </c>
      <c r="B138" s="1">
        <v>12</v>
      </c>
      <c r="C138" s="1">
        <v>6</v>
      </c>
      <c r="D138" s="1">
        <v>6</v>
      </c>
      <c r="E138" s="1">
        <v>1</v>
      </c>
      <c r="F138" s="1">
        <v>2</v>
      </c>
      <c r="G138" s="1">
        <v>2</v>
      </c>
      <c r="H138" s="1">
        <v>6</v>
      </c>
      <c r="I138" s="1">
        <v>7</v>
      </c>
      <c r="J138" s="1">
        <v>5</v>
      </c>
      <c r="K138" s="1">
        <v>21</v>
      </c>
      <c r="L138" s="1">
        <v>15</v>
      </c>
      <c r="M138" s="1">
        <v>8</v>
      </c>
      <c r="N138" s="1">
        <v>20</v>
      </c>
      <c r="O138" s="1">
        <v>19</v>
      </c>
      <c r="P138" s="1">
        <v>21</v>
      </c>
      <c r="Q138" s="1">
        <v>12</v>
      </c>
      <c r="R138" s="1">
        <v>24</v>
      </c>
      <c r="S138" s="1">
        <v>16</v>
      </c>
      <c r="T138" s="1">
        <v>18</v>
      </c>
      <c r="U138" s="1">
        <v>19</v>
      </c>
      <c r="V138" s="1">
        <v>17</v>
      </c>
      <c r="W138" s="1">
        <v>14</v>
      </c>
      <c r="X138" s="1">
        <v>11</v>
      </c>
      <c r="Y138" s="1">
        <v>7</v>
      </c>
    </row>
    <row r="139" spans="1:25" x14ac:dyDescent="0.3">
      <c r="A139" s="2">
        <v>42842</v>
      </c>
      <c r="B139" s="1">
        <v>8</v>
      </c>
      <c r="C139" s="1">
        <v>3</v>
      </c>
      <c r="D139" s="1">
        <v>1</v>
      </c>
      <c r="E139" s="1">
        <v>2</v>
      </c>
      <c r="F139" s="1">
        <v>5</v>
      </c>
      <c r="G139" s="1">
        <v>4</v>
      </c>
      <c r="H139" s="1">
        <v>8</v>
      </c>
      <c r="I139" s="1">
        <v>15</v>
      </c>
      <c r="J139" s="1">
        <v>20</v>
      </c>
      <c r="K139" s="1">
        <v>26</v>
      </c>
      <c r="L139" s="1">
        <v>23</v>
      </c>
      <c r="M139" s="1">
        <v>17</v>
      </c>
      <c r="N139" s="1">
        <v>17</v>
      </c>
      <c r="O139" s="1">
        <v>22</v>
      </c>
      <c r="P139" s="1">
        <v>19</v>
      </c>
      <c r="Q139" s="1">
        <v>17</v>
      </c>
      <c r="R139" s="1">
        <v>29</v>
      </c>
      <c r="S139" s="1">
        <v>22</v>
      </c>
      <c r="T139" s="1">
        <v>18</v>
      </c>
      <c r="U139" s="1">
        <v>16</v>
      </c>
      <c r="V139" s="1">
        <v>11</v>
      </c>
      <c r="W139" s="1">
        <v>14</v>
      </c>
      <c r="X139" s="1">
        <v>7</v>
      </c>
      <c r="Y139" s="1">
        <v>13</v>
      </c>
    </row>
    <row r="140" spans="1:25" x14ac:dyDescent="0.3">
      <c r="A140" s="2">
        <v>42843</v>
      </c>
      <c r="B140" s="1">
        <v>18</v>
      </c>
      <c r="C140" s="1">
        <v>8</v>
      </c>
      <c r="D140" s="1">
        <v>5</v>
      </c>
      <c r="E140" s="1">
        <v>5</v>
      </c>
      <c r="F140" s="1">
        <v>6</v>
      </c>
      <c r="G140" s="1">
        <v>3</v>
      </c>
      <c r="H140" s="1">
        <v>5</v>
      </c>
      <c r="I140" s="1">
        <v>10</v>
      </c>
      <c r="J140" s="1">
        <v>16</v>
      </c>
      <c r="K140" s="1">
        <v>33</v>
      </c>
      <c r="L140" s="1">
        <v>25</v>
      </c>
      <c r="M140" s="1">
        <v>27</v>
      </c>
      <c r="N140" s="1">
        <v>33</v>
      </c>
      <c r="O140" s="1">
        <v>17</v>
      </c>
      <c r="P140" s="1">
        <v>17</v>
      </c>
      <c r="Q140" s="1">
        <v>28</v>
      </c>
      <c r="R140" s="1">
        <v>35</v>
      </c>
      <c r="S140" s="1">
        <v>23</v>
      </c>
      <c r="T140" s="1">
        <v>25</v>
      </c>
      <c r="U140" s="1">
        <v>16</v>
      </c>
      <c r="V140" s="1">
        <v>9</v>
      </c>
      <c r="W140" s="1">
        <v>8</v>
      </c>
      <c r="X140" s="1">
        <v>9</v>
      </c>
      <c r="Y140" s="1">
        <v>6</v>
      </c>
    </row>
    <row r="141" spans="1:25" x14ac:dyDescent="0.3">
      <c r="A141" s="2">
        <v>42844</v>
      </c>
      <c r="B141" s="1">
        <v>7</v>
      </c>
      <c r="C141" s="1">
        <v>7</v>
      </c>
      <c r="D141" s="1">
        <v>3</v>
      </c>
      <c r="E141" s="1">
        <v>1</v>
      </c>
      <c r="F141" s="1">
        <v>7</v>
      </c>
      <c r="G141" s="1">
        <v>5</v>
      </c>
      <c r="H141" s="1">
        <v>10</v>
      </c>
      <c r="I141" s="1">
        <v>17</v>
      </c>
      <c r="J141" s="1">
        <v>20</v>
      </c>
      <c r="K141" s="1">
        <v>17</v>
      </c>
      <c r="L141" s="1">
        <v>21</v>
      </c>
      <c r="M141" s="1">
        <v>23</v>
      </c>
      <c r="N141" s="1">
        <v>29</v>
      </c>
      <c r="O141" s="1">
        <v>20</v>
      </c>
      <c r="P141" s="1">
        <v>21</v>
      </c>
      <c r="Q141" s="1">
        <v>18</v>
      </c>
      <c r="R141" s="1">
        <v>14</v>
      </c>
      <c r="S141" s="1">
        <v>17</v>
      </c>
      <c r="T141" s="1">
        <v>33</v>
      </c>
      <c r="U141" s="1">
        <v>14</v>
      </c>
      <c r="V141" s="1">
        <v>5</v>
      </c>
      <c r="W141" s="1">
        <v>16</v>
      </c>
      <c r="X141" s="1">
        <v>14</v>
      </c>
      <c r="Y141" s="1">
        <v>6</v>
      </c>
    </row>
    <row r="142" spans="1:25" x14ac:dyDescent="0.3">
      <c r="A142" s="2">
        <v>42845</v>
      </c>
      <c r="B142" s="1">
        <v>6</v>
      </c>
      <c r="C142" s="1">
        <v>4</v>
      </c>
      <c r="D142" s="1">
        <v>3</v>
      </c>
      <c r="E142" s="1">
        <v>3</v>
      </c>
      <c r="F142" s="1">
        <v>2</v>
      </c>
      <c r="G142" s="1">
        <v>5</v>
      </c>
      <c r="H142" s="1">
        <v>9</v>
      </c>
      <c r="I142" s="1">
        <v>20</v>
      </c>
      <c r="J142" s="1">
        <v>19</v>
      </c>
      <c r="K142" s="1">
        <v>17</v>
      </c>
      <c r="L142" s="1">
        <v>16</v>
      </c>
      <c r="M142" s="1">
        <v>17</v>
      </c>
      <c r="N142" s="1">
        <v>18</v>
      </c>
      <c r="O142" s="1">
        <v>20</v>
      </c>
      <c r="P142" s="1">
        <v>19</v>
      </c>
      <c r="Q142" s="1">
        <v>28</v>
      </c>
      <c r="R142" s="1">
        <v>26</v>
      </c>
      <c r="S142" s="1">
        <v>23</v>
      </c>
      <c r="T142" s="1">
        <v>22</v>
      </c>
      <c r="U142" s="1">
        <v>20</v>
      </c>
      <c r="V142" s="1">
        <v>15</v>
      </c>
      <c r="W142" s="1">
        <v>10</v>
      </c>
      <c r="X142" s="1">
        <v>17</v>
      </c>
      <c r="Y142" s="1">
        <v>4</v>
      </c>
    </row>
    <row r="143" spans="1:25" x14ac:dyDescent="0.3">
      <c r="A143" s="2">
        <v>42846</v>
      </c>
      <c r="B143" s="1">
        <v>6</v>
      </c>
      <c r="C143" s="1">
        <v>5</v>
      </c>
      <c r="D143" s="1">
        <v>3</v>
      </c>
      <c r="E143" s="1">
        <v>7</v>
      </c>
      <c r="F143" s="1">
        <v>2</v>
      </c>
      <c r="G143" s="1">
        <v>6</v>
      </c>
      <c r="H143" s="1">
        <v>12</v>
      </c>
      <c r="I143" s="1">
        <v>13</v>
      </c>
      <c r="J143" s="1">
        <v>42</v>
      </c>
      <c r="K143" s="1">
        <v>22</v>
      </c>
      <c r="L143" s="1">
        <v>15</v>
      </c>
      <c r="M143" s="1">
        <v>11</v>
      </c>
      <c r="N143" s="1">
        <v>19</v>
      </c>
      <c r="O143" s="1">
        <v>35</v>
      </c>
      <c r="P143" s="1">
        <v>17</v>
      </c>
      <c r="Q143" s="1">
        <v>14</v>
      </c>
      <c r="R143" s="1">
        <v>34</v>
      </c>
      <c r="S143" s="1">
        <v>41</v>
      </c>
      <c r="T143" s="1">
        <v>20</v>
      </c>
      <c r="U143" s="1">
        <v>14</v>
      </c>
      <c r="V143" s="1">
        <v>28</v>
      </c>
      <c r="W143" s="1">
        <v>15</v>
      </c>
      <c r="X143" s="1">
        <v>4</v>
      </c>
      <c r="Y143" s="1">
        <v>11</v>
      </c>
    </row>
    <row r="144" spans="1:25" x14ac:dyDescent="0.3">
      <c r="A144" s="2">
        <v>42847</v>
      </c>
      <c r="B144" s="1">
        <v>10</v>
      </c>
      <c r="C144" s="1">
        <v>3</v>
      </c>
      <c r="D144" s="1">
        <v>8</v>
      </c>
      <c r="E144" s="1">
        <v>3</v>
      </c>
      <c r="F144" s="1">
        <v>4</v>
      </c>
      <c r="G144" s="1">
        <v>4</v>
      </c>
      <c r="H144" s="1">
        <v>11</v>
      </c>
      <c r="I144" s="1">
        <v>12</v>
      </c>
      <c r="J144" s="1">
        <v>14</v>
      </c>
      <c r="K144" s="1">
        <v>14</v>
      </c>
      <c r="L144" s="1">
        <v>15</v>
      </c>
      <c r="M144" s="1">
        <v>14</v>
      </c>
      <c r="N144" s="1">
        <v>22</v>
      </c>
      <c r="O144" s="1">
        <v>13</v>
      </c>
      <c r="P144" s="1">
        <v>26</v>
      </c>
      <c r="Q144" s="1">
        <v>25</v>
      </c>
      <c r="R144" s="1">
        <v>12</v>
      </c>
      <c r="S144" s="1">
        <v>20</v>
      </c>
      <c r="T144" s="1">
        <v>22</v>
      </c>
      <c r="U144" s="1">
        <v>16</v>
      </c>
      <c r="V144" s="1">
        <v>14</v>
      </c>
      <c r="W144" s="1">
        <v>13</v>
      </c>
      <c r="X144" s="1">
        <v>16</v>
      </c>
      <c r="Y144" s="1">
        <v>8</v>
      </c>
    </row>
    <row r="145" spans="1:25" x14ac:dyDescent="0.3">
      <c r="A145" s="2">
        <v>42848</v>
      </c>
      <c r="B145" s="1">
        <v>3</v>
      </c>
      <c r="C145" s="1">
        <v>10</v>
      </c>
      <c r="D145" s="1">
        <v>8</v>
      </c>
      <c r="E145" s="1">
        <v>10</v>
      </c>
      <c r="F145" s="1">
        <v>5</v>
      </c>
      <c r="G145" s="1">
        <v>11</v>
      </c>
      <c r="H145" s="1">
        <v>11</v>
      </c>
      <c r="I145" s="1">
        <v>5</v>
      </c>
      <c r="J145" s="1">
        <v>10</v>
      </c>
      <c r="K145" s="1">
        <v>13</v>
      </c>
      <c r="L145" s="1">
        <v>17</v>
      </c>
      <c r="M145" s="1">
        <v>21</v>
      </c>
      <c r="N145" s="1">
        <v>18</v>
      </c>
      <c r="O145" s="1">
        <v>13</v>
      </c>
      <c r="P145" s="1">
        <v>22</v>
      </c>
      <c r="Q145" s="1">
        <v>19</v>
      </c>
      <c r="R145" s="1">
        <v>18</v>
      </c>
      <c r="S145" s="1">
        <v>22</v>
      </c>
      <c r="T145" s="1">
        <v>20</v>
      </c>
      <c r="U145" s="1">
        <v>12</v>
      </c>
      <c r="V145" s="1">
        <v>13</v>
      </c>
      <c r="W145" s="1">
        <v>10</v>
      </c>
      <c r="X145" s="1">
        <v>16</v>
      </c>
      <c r="Y145" s="1">
        <v>5</v>
      </c>
    </row>
    <row r="146" spans="1:25" x14ac:dyDescent="0.3">
      <c r="A146" s="2">
        <v>42849</v>
      </c>
      <c r="B146" s="1">
        <v>4</v>
      </c>
      <c r="C146" s="1">
        <v>3</v>
      </c>
      <c r="D146" s="1">
        <v>6</v>
      </c>
      <c r="E146" s="1">
        <v>2</v>
      </c>
      <c r="F146" s="1">
        <v>5</v>
      </c>
      <c r="G146" s="1">
        <v>5</v>
      </c>
      <c r="H146" s="1">
        <v>23</v>
      </c>
      <c r="I146" s="1">
        <v>12</v>
      </c>
      <c r="J146" s="1">
        <v>20</v>
      </c>
      <c r="K146" s="1">
        <v>16</v>
      </c>
      <c r="L146" s="1">
        <v>33</v>
      </c>
      <c r="M146" s="1">
        <v>17</v>
      </c>
      <c r="N146" s="1">
        <v>20</v>
      </c>
      <c r="O146" s="1">
        <v>13</v>
      </c>
      <c r="P146" s="1">
        <v>15</v>
      </c>
      <c r="Q146" s="1">
        <v>23</v>
      </c>
      <c r="R146" s="1">
        <v>25</v>
      </c>
      <c r="S146" s="1">
        <v>17</v>
      </c>
      <c r="T146" s="1">
        <v>21</v>
      </c>
      <c r="U146" s="1">
        <v>15</v>
      </c>
      <c r="V146" s="1">
        <v>16</v>
      </c>
      <c r="W146" s="1">
        <v>19</v>
      </c>
      <c r="X146" s="1">
        <v>9</v>
      </c>
      <c r="Y146" s="1">
        <v>10</v>
      </c>
    </row>
    <row r="147" spans="1:25" x14ac:dyDescent="0.3">
      <c r="A147" s="2">
        <v>42850</v>
      </c>
      <c r="B147" s="1">
        <v>3</v>
      </c>
      <c r="C147" s="1">
        <v>4</v>
      </c>
      <c r="D147" s="1">
        <v>3</v>
      </c>
      <c r="E147" s="1">
        <v>9</v>
      </c>
      <c r="F147" s="1">
        <v>1</v>
      </c>
      <c r="G147" s="1">
        <v>7</v>
      </c>
      <c r="H147" s="1">
        <v>11</v>
      </c>
      <c r="I147" s="1">
        <v>22</v>
      </c>
      <c r="J147" s="1">
        <v>13</v>
      </c>
      <c r="K147" s="1">
        <v>10</v>
      </c>
      <c r="L147" s="1">
        <v>20</v>
      </c>
      <c r="M147" s="1">
        <v>18</v>
      </c>
      <c r="N147" s="1">
        <v>21</v>
      </c>
      <c r="O147" s="1">
        <v>30</v>
      </c>
      <c r="P147" s="1">
        <v>16</v>
      </c>
      <c r="Q147" s="1">
        <v>21</v>
      </c>
      <c r="R147" s="1">
        <v>38</v>
      </c>
      <c r="S147" s="1">
        <v>23</v>
      </c>
      <c r="T147" s="1">
        <v>29</v>
      </c>
      <c r="U147" s="1">
        <v>20</v>
      </c>
      <c r="V147" s="1">
        <v>22</v>
      </c>
      <c r="W147" s="1">
        <v>19</v>
      </c>
      <c r="X147" s="1">
        <v>15</v>
      </c>
      <c r="Y147" s="1">
        <v>13</v>
      </c>
    </row>
    <row r="148" spans="1:25" x14ac:dyDescent="0.3">
      <c r="A148" s="2">
        <v>42851</v>
      </c>
      <c r="B148" s="1">
        <v>5</v>
      </c>
      <c r="C148" s="1">
        <v>8</v>
      </c>
      <c r="D148" s="1">
        <v>3</v>
      </c>
      <c r="E148" s="1">
        <v>6</v>
      </c>
      <c r="F148" s="1">
        <v>5</v>
      </c>
      <c r="G148" s="1">
        <v>5</v>
      </c>
      <c r="H148" s="1">
        <v>14</v>
      </c>
      <c r="I148" s="1">
        <v>13</v>
      </c>
      <c r="J148" s="1">
        <v>18</v>
      </c>
      <c r="K148" s="1">
        <v>29</v>
      </c>
      <c r="L148" s="1">
        <v>26</v>
      </c>
      <c r="M148" s="1">
        <v>33</v>
      </c>
      <c r="N148" s="1">
        <v>30</v>
      </c>
      <c r="O148" s="1">
        <v>32</v>
      </c>
      <c r="P148" s="1">
        <v>26</v>
      </c>
      <c r="Q148" s="1">
        <v>27</v>
      </c>
      <c r="R148" s="1">
        <v>29</v>
      </c>
      <c r="S148" s="1">
        <v>15</v>
      </c>
      <c r="T148" s="1">
        <v>15</v>
      </c>
      <c r="U148" s="1">
        <v>15</v>
      </c>
      <c r="V148" s="1">
        <v>10</v>
      </c>
      <c r="W148" s="1">
        <v>18</v>
      </c>
      <c r="X148" s="1">
        <v>6</v>
      </c>
      <c r="Y148" s="1">
        <v>12</v>
      </c>
    </row>
    <row r="149" spans="1:25" x14ac:dyDescent="0.3">
      <c r="A149" s="2">
        <v>42852</v>
      </c>
      <c r="B149" s="1">
        <v>10</v>
      </c>
      <c r="C149" s="1">
        <v>11</v>
      </c>
      <c r="D149" s="1">
        <v>5</v>
      </c>
      <c r="E149" s="1">
        <v>6</v>
      </c>
      <c r="F149" s="1">
        <v>3</v>
      </c>
      <c r="G149" s="1">
        <v>3</v>
      </c>
      <c r="H149" s="1">
        <v>8</v>
      </c>
      <c r="I149" s="1">
        <v>12</v>
      </c>
      <c r="J149" s="1">
        <v>24</v>
      </c>
      <c r="K149" s="1">
        <v>8</v>
      </c>
      <c r="L149" s="1">
        <v>17</v>
      </c>
      <c r="M149" s="1">
        <v>22</v>
      </c>
      <c r="N149" s="1">
        <v>20</v>
      </c>
      <c r="O149" s="1">
        <v>26</v>
      </c>
      <c r="P149" s="1">
        <v>24</v>
      </c>
      <c r="Q149" s="1">
        <v>25</v>
      </c>
      <c r="R149" s="1">
        <v>21</v>
      </c>
      <c r="S149" s="1">
        <v>29</v>
      </c>
      <c r="T149" s="1">
        <v>22</v>
      </c>
      <c r="U149" s="1">
        <v>12</v>
      </c>
      <c r="V149" s="1">
        <v>28</v>
      </c>
      <c r="W149" s="1">
        <v>17</v>
      </c>
      <c r="X149" s="1">
        <v>11</v>
      </c>
      <c r="Y149" s="1">
        <v>12</v>
      </c>
    </row>
    <row r="150" spans="1:25" x14ac:dyDescent="0.3">
      <c r="A150" s="2">
        <v>42853</v>
      </c>
      <c r="B150" s="1">
        <v>5</v>
      </c>
      <c r="C150" s="1">
        <v>9</v>
      </c>
      <c r="D150" s="1">
        <v>10</v>
      </c>
      <c r="E150" s="1">
        <v>5</v>
      </c>
      <c r="F150" s="1">
        <v>5</v>
      </c>
      <c r="G150" s="1">
        <v>7</v>
      </c>
      <c r="H150" s="1">
        <v>14</v>
      </c>
      <c r="I150" s="1">
        <v>27</v>
      </c>
      <c r="J150" s="1">
        <v>27</v>
      </c>
      <c r="K150" s="1">
        <v>22</v>
      </c>
      <c r="L150" s="1">
        <v>27</v>
      </c>
      <c r="M150" s="1">
        <v>27</v>
      </c>
      <c r="N150" s="1">
        <v>13</v>
      </c>
      <c r="O150" s="1">
        <v>29</v>
      </c>
      <c r="P150" s="1">
        <v>27</v>
      </c>
      <c r="Q150" s="1">
        <v>42</v>
      </c>
      <c r="R150" s="1">
        <v>39</v>
      </c>
      <c r="S150" s="1">
        <v>35</v>
      </c>
      <c r="T150" s="1">
        <v>31</v>
      </c>
      <c r="U150" s="1">
        <v>19</v>
      </c>
      <c r="V150" s="1">
        <v>11</v>
      </c>
      <c r="W150" s="1">
        <v>18</v>
      </c>
      <c r="X150" s="1">
        <v>17</v>
      </c>
      <c r="Y150" s="1">
        <v>10</v>
      </c>
    </row>
    <row r="151" spans="1:25" x14ac:dyDescent="0.3">
      <c r="A151" s="2">
        <v>42854</v>
      </c>
      <c r="B151" s="1">
        <v>12</v>
      </c>
      <c r="C151" s="1">
        <v>7</v>
      </c>
      <c r="D151" s="1">
        <v>6</v>
      </c>
      <c r="E151" s="1">
        <v>6</v>
      </c>
      <c r="F151" s="1">
        <v>20</v>
      </c>
      <c r="G151" s="1">
        <v>8</v>
      </c>
      <c r="H151" s="1">
        <v>4</v>
      </c>
      <c r="I151" s="1">
        <v>16</v>
      </c>
      <c r="J151" s="1">
        <v>14</v>
      </c>
      <c r="K151" s="1">
        <v>22</v>
      </c>
      <c r="L151" s="1">
        <v>13</v>
      </c>
      <c r="M151" s="1">
        <v>21</v>
      </c>
      <c r="N151" s="1">
        <v>30</v>
      </c>
      <c r="O151" s="1">
        <v>22</v>
      </c>
      <c r="P151" s="1">
        <v>14</v>
      </c>
      <c r="Q151" s="1">
        <v>28</v>
      </c>
      <c r="R151" s="1">
        <v>34</v>
      </c>
      <c r="S151" s="1">
        <v>19</v>
      </c>
      <c r="T151" s="1">
        <v>27</v>
      </c>
      <c r="U151" s="1">
        <v>12</v>
      </c>
      <c r="V151" s="1">
        <v>18</v>
      </c>
      <c r="W151" s="1">
        <v>14</v>
      </c>
      <c r="X151" s="1">
        <v>21</v>
      </c>
      <c r="Y151" s="1">
        <v>6</v>
      </c>
    </row>
    <row r="152" spans="1:25" x14ac:dyDescent="0.3">
      <c r="A152" s="2">
        <v>42855</v>
      </c>
      <c r="B152" s="1">
        <v>10</v>
      </c>
      <c r="C152" s="1">
        <v>4</v>
      </c>
      <c r="D152" s="1">
        <v>19</v>
      </c>
      <c r="E152" s="1">
        <v>5</v>
      </c>
      <c r="F152" s="1">
        <v>4</v>
      </c>
      <c r="G152" s="1">
        <v>4</v>
      </c>
      <c r="H152" s="1">
        <v>5</v>
      </c>
      <c r="I152" s="1">
        <v>5</v>
      </c>
      <c r="J152" s="1">
        <v>8</v>
      </c>
      <c r="K152" s="1">
        <v>10</v>
      </c>
      <c r="L152" s="1">
        <v>15</v>
      </c>
      <c r="M152" s="1">
        <v>9</v>
      </c>
      <c r="N152" s="1">
        <v>24</v>
      </c>
      <c r="O152" s="1">
        <v>10</v>
      </c>
      <c r="P152" s="1">
        <v>22</v>
      </c>
      <c r="Q152" s="1">
        <v>18</v>
      </c>
      <c r="R152" s="1">
        <v>22</v>
      </c>
      <c r="S152" s="1">
        <v>15</v>
      </c>
      <c r="T152" s="1">
        <v>16</v>
      </c>
      <c r="U152" s="1">
        <v>16</v>
      </c>
      <c r="V152" s="1">
        <v>16</v>
      </c>
      <c r="W152" s="1">
        <v>12</v>
      </c>
      <c r="X152" s="1">
        <v>7</v>
      </c>
      <c r="Y152" s="1">
        <v>9</v>
      </c>
    </row>
    <row r="153" spans="1:25" x14ac:dyDescent="0.3">
      <c r="A153" s="2">
        <v>42856</v>
      </c>
      <c r="B153" s="1">
        <v>4</v>
      </c>
      <c r="C153" s="1">
        <v>3</v>
      </c>
      <c r="D153" s="1">
        <v>4</v>
      </c>
      <c r="E153" s="1">
        <v>5</v>
      </c>
      <c r="F153" s="1">
        <v>1</v>
      </c>
      <c r="G153" s="1">
        <v>4</v>
      </c>
      <c r="H153" s="1">
        <v>5</v>
      </c>
      <c r="I153" s="1">
        <v>14</v>
      </c>
      <c r="J153" s="1">
        <v>22</v>
      </c>
      <c r="K153" s="1">
        <v>16</v>
      </c>
      <c r="L153" s="1">
        <v>18</v>
      </c>
      <c r="M153" s="1">
        <v>23</v>
      </c>
      <c r="N153" s="1">
        <v>23</v>
      </c>
      <c r="O153" s="1">
        <v>17</v>
      </c>
      <c r="P153" s="1">
        <v>25</v>
      </c>
      <c r="Q153" s="1">
        <v>28</v>
      </c>
      <c r="R153" s="1">
        <v>29</v>
      </c>
      <c r="S153" s="1">
        <v>21</v>
      </c>
      <c r="T153" s="1">
        <v>22</v>
      </c>
      <c r="U153" s="1">
        <v>17</v>
      </c>
      <c r="V153" s="1">
        <v>17</v>
      </c>
      <c r="W153" s="1">
        <v>8</v>
      </c>
      <c r="X153" s="1">
        <v>8</v>
      </c>
      <c r="Y153" s="1">
        <v>8</v>
      </c>
    </row>
    <row r="154" spans="1:25" x14ac:dyDescent="0.3">
      <c r="A154" s="2">
        <v>42857</v>
      </c>
      <c r="B154" s="1">
        <v>7</v>
      </c>
      <c r="C154" s="1">
        <v>3</v>
      </c>
      <c r="D154" s="1">
        <v>5</v>
      </c>
      <c r="E154" s="1">
        <v>7</v>
      </c>
      <c r="F154" s="1">
        <v>5</v>
      </c>
      <c r="G154" s="1">
        <v>3</v>
      </c>
      <c r="H154" s="1">
        <v>10</v>
      </c>
      <c r="I154" s="1">
        <v>23</v>
      </c>
      <c r="J154" s="1">
        <v>26</v>
      </c>
      <c r="K154" s="1">
        <v>24</v>
      </c>
      <c r="L154" s="1">
        <v>26</v>
      </c>
      <c r="M154" s="1">
        <v>34</v>
      </c>
      <c r="N154" s="1">
        <v>27</v>
      </c>
      <c r="O154" s="1">
        <v>30</v>
      </c>
      <c r="P154" s="1">
        <v>27</v>
      </c>
      <c r="Q154" s="1">
        <v>29</v>
      </c>
      <c r="R154" s="1">
        <v>33</v>
      </c>
      <c r="S154" s="1">
        <v>26</v>
      </c>
      <c r="T154" s="1">
        <v>34</v>
      </c>
      <c r="U154" s="1">
        <v>17</v>
      </c>
      <c r="V154" s="1">
        <v>30</v>
      </c>
      <c r="W154" s="1">
        <v>9</v>
      </c>
      <c r="X154" s="1">
        <v>12</v>
      </c>
      <c r="Y154" s="1">
        <v>9</v>
      </c>
    </row>
    <row r="155" spans="1:25" x14ac:dyDescent="0.3">
      <c r="A155" s="2">
        <v>42858</v>
      </c>
      <c r="B155" s="1">
        <v>5</v>
      </c>
      <c r="C155" s="1">
        <v>4</v>
      </c>
      <c r="D155" s="1">
        <v>5</v>
      </c>
      <c r="E155" s="1">
        <v>2</v>
      </c>
      <c r="F155" s="1">
        <v>2</v>
      </c>
      <c r="G155" s="1">
        <v>5</v>
      </c>
      <c r="H155" s="1">
        <v>16</v>
      </c>
      <c r="I155" s="1">
        <v>25</v>
      </c>
      <c r="J155" s="1">
        <v>36</v>
      </c>
      <c r="K155" s="1">
        <v>25</v>
      </c>
      <c r="L155" s="1">
        <v>19</v>
      </c>
      <c r="M155" s="1">
        <v>18</v>
      </c>
      <c r="N155" s="1">
        <v>25</v>
      </c>
      <c r="O155" s="1">
        <v>30</v>
      </c>
      <c r="P155" s="1">
        <v>23</v>
      </c>
      <c r="Q155" s="1">
        <v>28</v>
      </c>
      <c r="R155" s="1">
        <v>28</v>
      </c>
      <c r="S155" s="1">
        <v>29</v>
      </c>
      <c r="T155" s="1">
        <v>19</v>
      </c>
      <c r="U155" s="1">
        <v>12</v>
      </c>
      <c r="V155" s="1">
        <v>20</v>
      </c>
      <c r="W155" s="1">
        <v>7</v>
      </c>
      <c r="X155" s="1">
        <v>7</v>
      </c>
      <c r="Y155" s="1">
        <v>5</v>
      </c>
    </row>
    <row r="156" spans="1:25" x14ac:dyDescent="0.3">
      <c r="A156" s="2">
        <v>42859</v>
      </c>
      <c r="B156" s="1">
        <v>8</v>
      </c>
      <c r="C156" s="1">
        <v>4</v>
      </c>
      <c r="D156" s="1">
        <v>6</v>
      </c>
      <c r="E156" s="1">
        <v>6</v>
      </c>
      <c r="F156" s="1">
        <v>2</v>
      </c>
      <c r="G156" s="1">
        <v>7</v>
      </c>
      <c r="H156" s="1">
        <v>16</v>
      </c>
      <c r="I156" s="1">
        <v>28</v>
      </c>
      <c r="J156" s="1">
        <v>24</v>
      </c>
      <c r="K156" s="1">
        <v>18</v>
      </c>
      <c r="L156" s="1">
        <v>15</v>
      </c>
      <c r="M156" s="1">
        <v>25</v>
      </c>
      <c r="N156" s="1">
        <v>16</v>
      </c>
      <c r="O156" s="1">
        <v>23</v>
      </c>
      <c r="P156" s="1">
        <v>31</v>
      </c>
      <c r="Q156" s="1">
        <v>30</v>
      </c>
      <c r="R156" s="1">
        <v>31</v>
      </c>
      <c r="S156" s="1">
        <v>17</v>
      </c>
      <c r="T156" s="1">
        <v>16</v>
      </c>
      <c r="U156" s="1">
        <v>9</v>
      </c>
      <c r="V156" s="1">
        <v>19</v>
      </c>
      <c r="W156" s="1">
        <v>17</v>
      </c>
      <c r="X156" s="1">
        <v>11</v>
      </c>
      <c r="Y156" s="1">
        <v>7</v>
      </c>
    </row>
    <row r="157" spans="1:25" x14ac:dyDescent="0.3">
      <c r="A157" s="2">
        <v>42860</v>
      </c>
      <c r="B157" s="1">
        <v>11</v>
      </c>
      <c r="C157" s="1">
        <v>8</v>
      </c>
      <c r="D157" s="1">
        <v>9</v>
      </c>
      <c r="E157" s="1">
        <v>2</v>
      </c>
      <c r="F157" s="1">
        <v>4</v>
      </c>
      <c r="G157" s="1">
        <v>6</v>
      </c>
      <c r="H157" s="1">
        <v>6</v>
      </c>
      <c r="I157" s="1">
        <v>21</v>
      </c>
      <c r="J157" s="1">
        <v>15</v>
      </c>
      <c r="K157" s="1">
        <v>19</v>
      </c>
      <c r="L157" s="1">
        <v>32</v>
      </c>
      <c r="M157" s="1">
        <v>17</v>
      </c>
      <c r="N157" s="1">
        <v>31</v>
      </c>
      <c r="O157" s="1">
        <v>20</v>
      </c>
      <c r="P157" s="1">
        <v>15</v>
      </c>
      <c r="Q157" s="1">
        <v>21</v>
      </c>
      <c r="R157" s="1">
        <v>30</v>
      </c>
      <c r="S157" s="1">
        <v>22</v>
      </c>
      <c r="T157" s="1">
        <v>14</v>
      </c>
      <c r="U157" s="1">
        <v>13</v>
      </c>
      <c r="V157" s="1">
        <v>19</v>
      </c>
      <c r="W157" s="1">
        <v>12</v>
      </c>
      <c r="X157" s="1">
        <v>14</v>
      </c>
      <c r="Y157" s="1">
        <v>10</v>
      </c>
    </row>
    <row r="158" spans="1:25" x14ac:dyDescent="0.3">
      <c r="A158" s="2">
        <v>42861</v>
      </c>
      <c r="B158" s="1">
        <v>13</v>
      </c>
      <c r="C158" s="1">
        <v>11</v>
      </c>
      <c r="D158" s="1">
        <v>13</v>
      </c>
      <c r="E158" s="1">
        <v>4</v>
      </c>
      <c r="F158" s="1">
        <v>6</v>
      </c>
      <c r="G158" s="1">
        <v>9</v>
      </c>
      <c r="H158" s="1">
        <v>24</v>
      </c>
      <c r="I158" s="1">
        <v>8</v>
      </c>
      <c r="J158" s="1">
        <v>9</v>
      </c>
      <c r="K158" s="1">
        <v>17</v>
      </c>
      <c r="L158" s="1">
        <v>0</v>
      </c>
      <c r="M158" s="1">
        <v>0</v>
      </c>
      <c r="N158" s="1">
        <v>1</v>
      </c>
      <c r="O158" s="1">
        <v>1</v>
      </c>
      <c r="P158" s="1">
        <v>3</v>
      </c>
      <c r="Q158" s="1">
        <v>9</v>
      </c>
      <c r="R158" s="1">
        <v>19</v>
      </c>
      <c r="S158" s="1">
        <v>14</v>
      </c>
      <c r="T158" s="1">
        <v>17</v>
      </c>
      <c r="U158" s="1">
        <v>18</v>
      </c>
      <c r="V158" s="1">
        <v>11</v>
      </c>
      <c r="W158" s="1">
        <v>9</v>
      </c>
      <c r="X158" s="1">
        <v>9</v>
      </c>
      <c r="Y158" s="1">
        <v>4</v>
      </c>
    </row>
    <row r="159" spans="1:25" x14ac:dyDescent="0.3">
      <c r="A159" s="2">
        <v>42862</v>
      </c>
      <c r="B159" s="1">
        <v>9</v>
      </c>
      <c r="C159" s="1">
        <v>8</v>
      </c>
      <c r="D159" s="1">
        <v>13</v>
      </c>
      <c r="E159" s="1">
        <v>3</v>
      </c>
      <c r="F159" s="1">
        <v>3</v>
      </c>
      <c r="G159" s="1">
        <v>3</v>
      </c>
      <c r="H159" s="1">
        <v>6</v>
      </c>
      <c r="I159" s="1">
        <v>7</v>
      </c>
      <c r="J159" s="1">
        <v>10</v>
      </c>
      <c r="K159" s="1">
        <v>9</v>
      </c>
      <c r="L159" s="1">
        <v>14</v>
      </c>
      <c r="M159" s="1">
        <v>14</v>
      </c>
      <c r="N159" s="1">
        <v>17</v>
      </c>
      <c r="O159" s="1">
        <v>18</v>
      </c>
      <c r="P159" s="1">
        <v>7</v>
      </c>
      <c r="Q159" s="1">
        <v>14</v>
      </c>
      <c r="R159" s="1">
        <v>32</v>
      </c>
      <c r="S159" s="1">
        <v>16</v>
      </c>
      <c r="T159" s="1">
        <v>13</v>
      </c>
      <c r="U159" s="1">
        <v>7</v>
      </c>
      <c r="V159" s="1">
        <v>7</v>
      </c>
      <c r="W159" s="1">
        <v>7</v>
      </c>
      <c r="X159" s="1">
        <v>12</v>
      </c>
      <c r="Y159" s="1">
        <v>5</v>
      </c>
    </row>
    <row r="160" spans="1:25" x14ac:dyDescent="0.3">
      <c r="A160" s="2">
        <v>42863</v>
      </c>
      <c r="B160" s="1">
        <v>4</v>
      </c>
      <c r="C160" s="1">
        <v>0</v>
      </c>
      <c r="D160" s="1">
        <v>3</v>
      </c>
      <c r="E160" s="1">
        <v>4</v>
      </c>
      <c r="F160" s="1">
        <v>1</v>
      </c>
      <c r="G160" s="1">
        <v>7</v>
      </c>
      <c r="H160" s="1">
        <v>14</v>
      </c>
      <c r="I160" s="1">
        <v>12</v>
      </c>
      <c r="J160" s="1">
        <v>23</v>
      </c>
      <c r="K160" s="1">
        <v>20</v>
      </c>
      <c r="L160" s="1">
        <v>21</v>
      </c>
      <c r="M160" s="1">
        <v>17</v>
      </c>
      <c r="N160" s="1">
        <v>25</v>
      </c>
      <c r="O160" s="1">
        <v>16</v>
      </c>
      <c r="P160" s="1">
        <v>15</v>
      </c>
      <c r="Q160" s="1">
        <v>23</v>
      </c>
      <c r="R160" s="1">
        <v>21</v>
      </c>
      <c r="S160" s="1">
        <v>22</v>
      </c>
      <c r="T160" s="1">
        <v>18</v>
      </c>
      <c r="U160" s="1">
        <v>10</v>
      </c>
      <c r="V160" s="1">
        <v>15</v>
      </c>
      <c r="W160" s="1">
        <v>16</v>
      </c>
      <c r="X160" s="1">
        <v>11</v>
      </c>
      <c r="Y160" s="1">
        <v>10</v>
      </c>
    </row>
    <row r="161" spans="1:25" x14ac:dyDescent="0.3">
      <c r="A161" s="2">
        <v>42864</v>
      </c>
      <c r="B161" s="1">
        <v>8</v>
      </c>
      <c r="C161" s="1">
        <v>4</v>
      </c>
      <c r="D161" s="1">
        <v>6</v>
      </c>
      <c r="E161" s="1">
        <v>9</v>
      </c>
      <c r="F161" s="1">
        <v>4</v>
      </c>
      <c r="G161" s="1">
        <v>4</v>
      </c>
      <c r="H161" s="1">
        <v>14</v>
      </c>
      <c r="I161" s="1">
        <v>15</v>
      </c>
      <c r="J161" s="1">
        <v>18</v>
      </c>
      <c r="K161" s="1">
        <v>23</v>
      </c>
      <c r="L161" s="1">
        <v>22</v>
      </c>
      <c r="M161" s="1">
        <v>26</v>
      </c>
      <c r="N161" s="1">
        <v>23</v>
      </c>
      <c r="O161" s="1">
        <v>20</v>
      </c>
      <c r="P161" s="1">
        <v>26</v>
      </c>
      <c r="Q161" s="1">
        <v>23</v>
      </c>
      <c r="R161" s="1">
        <v>33</v>
      </c>
      <c r="S161" s="1">
        <v>31</v>
      </c>
      <c r="T161" s="1">
        <v>17</v>
      </c>
      <c r="U161" s="1">
        <v>20</v>
      </c>
      <c r="V161" s="1">
        <v>15</v>
      </c>
      <c r="W161" s="1">
        <v>14</v>
      </c>
      <c r="X161" s="1">
        <v>11</v>
      </c>
      <c r="Y161" s="1">
        <v>9</v>
      </c>
    </row>
    <row r="162" spans="1:25" x14ac:dyDescent="0.3">
      <c r="A162" s="2">
        <v>42865</v>
      </c>
      <c r="B162" s="1">
        <v>5</v>
      </c>
      <c r="C162" s="1">
        <v>3</v>
      </c>
      <c r="D162" s="1">
        <v>2</v>
      </c>
      <c r="E162" s="1">
        <v>4</v>
      </c>
      <c r="F162" s="1">
        <v>5</v>
      </c>
      <c r="G162" s="1">
        <v>3</v>
      </c>
      <c r="H162" s="1">
        <v>11</v>
      </c>
      <c r="I162" s="1">
        <v>15</v>
      </c>
      <c r="J162" s="1">
        <v>26</v>
      </c>
      <c r="K162" s="1">
        <v>24</v>
      </c>
      <c r="L162" s="1">
        <v>26</v>
      </c>
      <c r="M162" s="1">
        <v>21</v>
      </c>
      <c r="N162" s="1">
        <v>20</v>
      </c>
      <c r="O162" s="1">
        <v>20</v>
      </c>
      <c r="P162" s="1">
        <v>21</v>
      </c>
      <c r="Q162" s="1">
        <v>22</v>
      </c>
      <c r="R162" s="1">
        <v>32</v>
      </c>
      <c r="S162" s="1">
        <v>28</v>
      </c>
      <c r="T162" s="1">
        <v>30</v>
      </c>
      <c r="U162" s="1">
        <v>28</v>
      </c>
      <c r="V162" s="1">
        <v>20</v>
      </c>
      <c r="W162" s="1">
        <v>19</v>
      </c>
      <c r="X162" s="1">
        <v>13</v>
      </c>
      <c r="Y162" s="1">
        <v>14</v>
      </c>
    </row>
    <row r="163" spans="1:25" x14ac:dyDescent="0.3">
      <c r="A163" s="2">
        <v>42866</v>
      </c>
      <c r="B163" s="1">
        <v>7</v>
      </c>
      <c r="C163" s="1">
        <v>3</v>
      </c>
      <c r="D163" s="1">
        <v>2</v>
      </c>
      <c r="E163" s="1">
        <v>4</v>
      </c>
      <c r="F163" s="1">
        <v>3</v>
      </c>
      <c r="G163" s="1">
        <v>4</v>
      </c>
      <c r="H163" s="1">
        <v>6</v>
      </c>
      <c r="I163" s="1">
        <v>16</v>
      </c>
      <c r="J163" s="1">
        <v>20</v>
      </c>
      <c r="K163" s="1">
        <v>20</v>
      </c>
      <c r="L163" s="1">
        <v>22</v>
      </c>
      <c r="M163" s="1">
        <v>24</v>
      </c>
      <c r="N163" s="1">
        <v>23</v>
      </c>
      <c r="O163" s="1">
        <v>25</v>
      </c>
      <c r="P163" s="1">
        <v>20</v>
      </c>
      <c r="Q163" s="1">
        <v>27</v>
      </c>
      <c r="R163" s="1">
        <v>28</v>
      </c>
      <c r="S163" s="1">
        <v>25</v>
      </c>
      <c r="T163" s="1">
        <v>23</v>
      </c>
      <c r="U163" s="1">
        <v>23</v>
      </c>
      <c r="V163" s="1">
        <v>11</v>
      </c>
      <c r="W163" s="1">
        <v>23</v>
      </c>
      <c r="X163" s="1">
        <v>18</v>
      </c>
      <c r="Y163" s="1">
        <v>5</v>
      </c>
    </row>
    <row r="164" spans="1:25" x14ac:dyDescent="0.3">
      <c r="A164" s="2">
        <v>42867</v>
      </c>
      <c r="B164" s="1">
        <v>7</v>
      </c>
      <c r="C164" s="1">
        <v>2</v>
      </c>
      <c r="D164" s="1">
        <v>5</v>
      </c>
      <c r="E164" s="1">
        <v>7</v>
      </c>
      <c r="F164" s="1">
        <v>5</v>
      </c>
      <c r="G164" s="1">
        <v>8</v>
      </c>
      <c r="H164" s="1">
        <v>12</v>
      </c>
      <c r="I164" s="1">
        <v>17</v>
      </c>
      <c r="J164" s="1">
        <v>21</v>
      </c>
      <c r="K164" s="1">
        <v>15</v>
      </c>
      <c r="L164" s="1">
        <v>19</v>
      </c>
      <c r="M164" s="1">
        <v>21</v>
      </c>
      <c r="N164" s="1">
        <v>19</v>
      </c>
      <c r="O164" s="1">
        <v>14</v>
      </c>
      <c r="P164" s="1">
        <v>39</v>
      </c>
      <c r="Q164" s="1">
        <v>29</v>
      </c>
      <c r="R164" s="1">
        <v>16</v>
      </c>
      <c r="S164" s="1">
        <v>20</v>
      </c>
      <c r="T164" s="1">
        <v>21</v>
      </c>
      <c r="U164" s="1">
        <v>19</v>
      </c>
      <c r="V164" s="1">
        <v>13</v>
      </c>
      <c r="W164" s="1">
        <v>13</v>
      </c>
      <c r="X164" s="1">
        <v>15</v>
      </c>
      <c r="Y164" s="1">
        <v>5</v>
      </c>
    </row>
    <row r="165" spans="1:25" x14ac:dyDescent="0.3">
      <c r="A165" s="2">
        <v>42868</v>
      </c>
      <c r="B165" s="1">
        <v>11</v>
      </c>
      <c r="C165" s="1">
        <v>7</v>
      </c>
      <c r="D165" s="1">
        <v>2</v>
      </c>
      <c r="E165" s="1">
        <v>10</v>
      </c>
      <c r="F165" s="1">
        <v>4</v>
      </c>
      <c r="G165" s="1">
        <v>4</v>
      </c>
      <c r="H165" s="1">
        <v>6</v>
      </c>
      <c r="I165" s="1">
        <v>14</v>
      </c>
      <c r="J165" s="1">
        <v>25</v>
      </c>
      <c r="K165" s="1">
        <v>23</v>
      </c>
      <c r="L165" s="1">
        <v>24</v>
      </c>
      <c r="M165" s="1">
        <v>22</v>
      </c>
      <c r="N165" s="1">
        <v>51</v>
      </c>
      <c r="O165" s="1">
        <v>35</v>
      </c>
      <c r="P165" s="1">
        <v>41</v>
      </c>
      <c r="Q165" s="1">
        <v>23</v>
      </c>
      <c r="R165" s="1">
        <v>36</v>
      </c>
      <c r="S165" s="1">
        <v>12</v>
      </c>
      <c r="T165" s="1">
        <v>23</v>
      </c>
      <c r="U165" s="1">
        <v>17</v>
      </c>
      <c r="V165" s="1">
        <v>23</v>
      </c>
      <c r="W165" s="1">
        <v>19</v>
      </c>
      <c r="X165" s="1">
        <v>16</v>
      </c>
      <c r="Y165" s="1">
        <v>9</v>
      </c>
    </row>
    <row r="166" spans="1:25" x14ac:dyDescent="0.3">
      <c r="A166" s="2">
        <v>42869</v>
      </c>
      <c r="B166" s="1">
        <v>6</v>
      </c>
      <c r="C166" s="1">
        <v>12</v>
      </c>
      <c r="D166" s="1">
        <v>4</v>
      </c>
      <c r="E166" s="1">
        <v>4</v>
      </c>
      <c r="F166" s="1">
        <v>5</v>
      </c>
      <c r="G166" s="1">
        <v>5</v>
      </c>
      <c r="H166" s="1">
        <v>10</v>
      </c>
      <c r="I166" s="1">
        <v>12</v>
      </c>
      <c r="J166" s="1">
        <v>11</v>
      </c>
      <c r="K166" s="1">
        <v>16</v>
      </c>
      <c r="L166" s="1">
        <v>20</v>
      </c>
      <c r="M166" s="1">
        <v>16</v>
      </c>
      <c r="N166" s="1">
        <v>20</v>
      </c>
      <c r="O166" s="1">
        <v>21</v>
      </c>
      <c r="P166" s="1">
        <v>20</v>
      </c>
      <c r="Q166" s="1">
        <v>22</v>
      </c>
      <c r="R166" s="1">
        <v>23</v>
      </c>
      <c r="S166" s="1">
        <v>29</v>
      </c>
      <c r="T166" s="1">
        <v>20</v>
      </c>
      <c r="U166" s="1">
        <v>18</v>
      </c>
      <c r="V166" s="1">
        <v>11</v>
      </c>
      <c r="W166" s="1">
        <v>15</v>
      </c>
      <c r="X166" s="1">
        <v>8</v>
      </c>
      <c r="Y166" s="1">
        <v>13</v>
      </c>
    </row>
    <row r="167" spans="1:25" x14ac:dyDescent="0.3">
      <c r="A167" s="2">
        <v>42870</v>
      </c>
      <c r="B167" s="1">
        <v>5</v>
      </c>
      <c r="C167" s="1">
        <v>8</v>
      </c>
      <c r="D167" s="1">
        <v>3</v>
      </c>
      <c r="E167" s="1">
        <v>2</v>
      </c>
      <c r="F167" s="1">
        <v>3</v>
      </c>
      <c r="G167" s="1">
        <v>8</v>
      </c>
      <c r="H167" s="1">
        <v>11</v>
      </c>
      <c r="I167" s="1">
        <v>20</v>
      </c>
      <c r="J167" s="1">
        <v>27</v>
      </c>
      <c r="K167" s="1">
        <v>30</v>
      </c>
      <c r="L167" s="1">
        <v>34</v>
      </c>
      <c r="M167" s="1">
        <v>26</v>
      </c>
      <c r="N167" s="1">
        <v>18</v>
      </c>
      <c r="O167" s="1">
        <v>31</v>
      </c>
      <c r="P167" s="1">
        <v>18</v>
      </c>
      <c r="Q167" s="1">
        <v>33</v>
      </c>
      <c r="R167" s="1">
        <v>18</v>
      </c>
      <c r="S167" s="1">
        <v>43</v>
      </c>
      <c r="T167" s="1">
        <v>26</v>
      </c>
      <c r="U167" s="1">
        <v>19</v>
      </c>
      <c r="V167" s="1">
        <v>19</v>
      </c>
      <c r="W167" s="1">
        <v>20</v>
      </c>
      <c r="X167" s="1">
        <v>17</v>
      </c>
      <c r="Y167" s="1">
        <v>4</v>
      </c>
    </row>
    <row r="168" spans="1:25" x14ac:dyDescent="0.3">
      <c r="A168" s="2">
        <v>42871</v>
      </c>
      <c r="B168" s="1">
        <v>6</v>
      </c>
      <c r="C168" s="1">
        <v>7</v>
      </c>
      <c r="D168" s="1">
        <v>9</v>
      </c>
      <c r="E168" s="1">
        <v>7</v>
      </c>
      <c r="F168" s="1">
        <v>5</v>
      </c>
      <c r="G168" s="1">
        <v>6</v>
      </c>
      <c r="H168" s="1">
        <v>7</v>
      </c>
      <c r="I168" s="1">
        <v>16</v>
      </c>
      <c r="J168" s="1">
        <v>24</v>
      </c>
      <c r="K168" s="1">
        <v>25</v>
      </c>
      <c r="L168" s="1">
        <v>21</v>
      </c>
      <c r="M168" s="1">
        <v>27</v>
      </c>
      <c r="N168" s="1">
        <v>21</v>
      </c>
      <c r="O168" s="1">
        <v>24</v>
      </c>
      <c r="P168" s="1">
        <v>32</v>
      </c>
      <c r="Q168" s="1">
        <v>36</v>
      </c>
      <c r="R168" s="1">
        <v>32</v>
      </c>
      <c r="S168" s="1">
        <v>32</v>
      </c>
      <c r="T168" s="1">
        <v>28</v>
      </c>
      <c r="U168" s="1">
        <v>21</v>
      </c>
      <c r="V168" s="1">
        <v>20</v>
      </c>
      <c r="W168" s="1">
        <v>12</v>
      </c>
      <c r="X168" s="1">
        <v>13</v>
      </c>
      <c r="Y168" s="1">
        <v>4</v>
      </c>
    </row>
    <row r="169" spans="1:25" x14ac:dyDescent="0.3">
      <c r="A169" s="2">
        <v>42872</v>
      </c>
      <c r="B169" s="1">
        <v>8</v>
      </c>
      <c r="C169" s="1">
        <v>6</v>
      </c>
      <c r="D169" s="1">
        <v>5</v>
      </c>
      <c r="E169" s="1">
        <v>6</v>
      </c>
      <c r="F169" s="1">
        <v>2</v>
      </c>
      <c r="G169" s="1">
        <v>5</v>
      </c>
      <c r="H169" s="1">
        <v>12</v>
      </c>
      <c r="I169" s="1">
        <v>19</v>
      </c>
      <c r="J169" s="1">
        <v>15</v>
      </c>
      <c r="K169" s="1">
        <v>26</v>
      </c>
      <c r="L169" s="1">
        <v>27</v>
      </c>
      <c r="M169" s="1">
        <v>29</v>
      </c>
      <c r="N169" s="1">
        <v>32</v>
      </c>
      <c r="O169" s="1">
        <v>15</v>
      </c>
      <c r="P169" s="1">
        <v>37</v>
      </c>
      <c r="Q169" s="1">
        <v>35</v>
      </c>
      <c r="R169" s="1">
        <v>42</v>
      </c>
      <c r="S169" s="1">
        <v>40</v>
      </c>
      <c r="T169" s="1">
        <v>26</v>
      </c>
      <c r="U169" s="1">
        <v>24</v>
      </c>
      <c r="V169" s="1">
        <v>22</v>
      </c>
      <c r="W169" s="1">
        <v>17</v>
      </c>
      <c r="X169" s="1">
        <v>6</v>
      </c>
      <c r="Y169" s="1">
        <v>19</v>
      </c>
    </row>
    <row r="170" spans="1:25" x14ac:dyDescent="0.3">
      <c r="A170" s="2">
        <v>42873</v>
      </c>
      <c r="B170" s="1">
        <v>12</v>
      </c>
      <c r="C170" s="1">
        <v>3</v>
      </c>
      <c r="D170" s="1">
        <v>7</v>
      </c>
      <c r="E170" s="1">
        <v>0</v>
      </c>
      <c r="F170" s="1">
        <v>3</v>
      </c>
      <c r="G170" s="1">
        <v>11</v>
      </c>
      <c r="H170" s="1">
        <v>13</v>
      </c>
      <c r="I170" s="1">
        <v>24</v>
      </c>
      <c r="J170" s="1">
        <v>19</v>
      </c>
      <c r="K170" s="1">
        <v>16</v>
      </c>
      <c r="L170" s="1">
        <v>20</v>
      </c>
      <c r="M170" s="1">
        <v>51</v>
      </c>
      <c r="N170" s="1">
        <v>30</v>
      </c>
      <c r="O170" s="1">
        <v>34</v>
      </c>
      <c r="P170" s="1">
        <v>38</v>
      </c>
      <c r="Q170" s="1">
        <v>23</v>
      </c>
      <c r="R170" s="1">
        <v>31</v>
      </c>
      <c r="S170" s="1">
        <v>34</v>
      </c>
      <c r="T170" s="1">
        <v>23</v>
      </c>
      <c r="U170" s="1">
        <v>21</v>
      </c>
      <c r="V170" s="1">
        <v>13</v>
      </c>
      <c r="W170" s="1">
        <v>21</v>
      </c>
      <c r="X170" s="1">
        <v>13</v>
      </c>
      <c r="Y170" s="1">
        <v>6</v>
      </c>
    </row>
    <row r="171" spans="1:25" x14ac:dyDescent="0.3">
      <c r="A171" s="2">
        <v>42874</v>
      </c>
      <c r="B171" s="1">
        <v>6</v>
      </c>
      <c r="C171" s="1">
        <v>6</v>
      </c>
      <c r="D171" s="1">
        <v>5</v>
      </c>
      <c r="E171" s="1">
        <v>7</v>
      </c>
      <c r="F171" s="1">
        <v>5</v>
      </c>
      <c r="G171" s="1">
        <v>5</v>
      </c>
      <c r="H171" s="1">
        <v>8</v>
      </c>
      <c r="I171" s="1">
        <v>26</v>
      </c>
      <c r="J171" s="1">
        <v>14</v>
      </c>
      <c r="K171" s="1">
        <v>18</v>
      </c>
      <c r="L171" s="1">
        <v>25</v>
      </c>
      <c r="M171" s="1">
        <v>23</v>
      </c>
      <c r="N171" s="1">
        <v>26</v>
      </c>
      <c r="O171" s="1">
        <v>23</v>
      </c>
      <c r="P171" s="1">
        <v>27</v>
      </c>
      <c r="Q171" s="1">
        <v>31</v>
      </c>
      <c r="R171" s="1">
        <v>37</v>
      </c>
      <c r="S171" s="1">
        <v>41</v>
      </c>
      <c r="T171" s="1">
        <v>17</v>
      </c>
      <c r="U171" s="1">
        <v>31</v>
      </c>
      <c r="V171" s="1">
        <v>28</v>
      </c>
      <c r="W171" s="1">
        <v>18</v>
      </c>
      <c r="X171" s="1">
        <v>17</v>
      </c>
      <c r="Y171" s="1">
        <v>6</v>
      </c>
    </row>
    <row r="172" spans="1:25" x14ac:dyDescent="0.3">
      <c r="A172" s="2">
        <v>42875</v>
      </c>
      <c r="B172" s="1">
        <v>5</v>
      </c>
      <c r="C172" s="1">
        <v>5</v>
      </c>
      <c r="D172" s="1">
        <v>6</v>
      </c>
      <c r="E172" s="1">
        <v>4</v>
      </c>
      <c r="F172" s="1">
        <v>7</v>
      </c>
      <c r="G172" s="1">
        <v>8</v>
      </c>
      <c r="H172" s="1">
        <v>10</v>
      </c>
      <c r="I172" s="1">
        <v>9</v>
      </c>
      <c r="J172" s="1">
        <v>13</v>
      </c>
      <c r="K172" s="1">
        <v>16</v>
      </c>
      <c r="L172" s="1">
        <v>32</v>
      </c>
      <c r="M172" s="1">
        <v>19</v>
      </c>
      <c r="N172" s="1">
        <v>21</v>
      </c>
      <c r="O172" s="1">
        <v>19</v>
      </c>
      <c r="P172" s="1">
        <v>20</v>
      </c>
      <c r="Q172" s="1">
        <v>17</v>
      </c>
      <c r="R172" s="1">
        <v>15</v>
      </c>
      <c r="S172" s="1">
        <v>20</v>
      </c>
      <c r="T172" s="1">
        <v>12</v>
      </c>
      <c r="U172" s="1">
        <v>20</v>
      </c>
      <c r="V172" s="1">
        <v>8</v>
      </c>
      <c r="W172" s="1">
        <v>10</v>
      </c>
      <c r="X172" s="1">
        <v>11</v>
      </c>
      <c r="Y172" s="1">
        <v>9</v>
      </c>
    </row>
    <row r="173" spans="1:25" x14ac:dyDescent="0.3">
      <c r="A173" s="2">
        <v>42876</v>
      </c>
      <c r="B173" s="1">
        <v>9</v>
      </c>
      <c r="C173" s="1">
        <v>10</v>
      </c>
      <c r="D173" s="1">
        <v>13</v>
      </c>
      <c r="E173" s="1">
        <v>4</v>
      </c>
      <c r="F173" s="1">
        <v>7</v>
      </c>
      <c r="G173" s="1">
        <v>7</v>
      </c>
      <c r="H173" s="1">
        <v>5</v>
      </c>
      <c r="I173" s="1">
        <v>3</v>
      </c>
      <c r="J173" s="1">
        <v>11</v>
      </c>
      <c r="K173" s="1">
        <v>8</v>
      </c>
      <c r="L173" s="1">
        <v>15</v>
      </c>
      <c r="M173" s="1">
        <v>13</v>
      </c>
      <c r="N173" s="1">
        <v>10</v>
      </c>
      <c r="O173" s="1">
        <v>12</v>
      </c>
      <c r="P173" s="1">
        <v>15</v>
      </c>
      <c r="Q173" s="1">
        <v>19</v>
      </c>
      <c r="R173" s="1">
        <v>17</v>
      </c>
      <c r="S173" s="1">
        <v>21</v>
      </c>
      <c r="T173" s="1">
        <v>23</v>
      </c>
      <c r="U173" s="1">
        <v>19</v>
      </c>
      <c r="V173" s="1">
        <v>14</v>
      </c>
      <c r="W173" s="1">
        <v>14</v>
      </c>
      <c r="X173" s="1">
        <v>13</v>
      </c>
      <c r="Y173" s="1">
        <v>7</v>
      </c>
    </row>
    <row r="174" spans="1:25" x14ac:dyDescent="0.3">
      <c r="A174" s="2">
        <v>42877</v>
      </c>
      <c r="B174" s="1">
        <v>6</v>
      </c>
      <c r="C174" s="1">
        <v>3</v>
      </c>
      <c r="D174" s="1">
        <v>4</v>
      </c>
      <c r="E174" s="1">
        <v>1</v>
      </c>
      <c r="F174" s="1">
        <v>8</v>
      </c>
      <c r="G174" s="1">
        <v>1</v>
      </c>
      <c r="H174" s="1">
        <v>14</v>
      </c>
      <c r="I174" s="1">
        <v>24</v>
      </c>
      <c r="J174" s="1">
        <v>23</v>
      </c>
      <c r="K174" s="1">
        <v>31</v>
      </c>
      <c r="L174" s="1">
        <v>23</v>
      </c>
      <c r="M174" s="1">
        <v>20</v>
      </c>
      <c r="N174" s="1">
        <v>20</v>
      </c>
      <c r="O174" s="1">
        <v>28</v>
      </c>
      <c r="P174" s="1">
        <v>31</v>
      </c>
      <c r="Q174" s="1">
        <v>36</v>
      </c>
      <c r="R174" s="1">
        <v>31</v>
      </c>
      <c r="S174" s="1">
        <v>26</v>
      </c>
      <c r="T174" s="1">
        <v>25</v>
      </c>
      <c r="U174" s="1">
        <v>17</v>
      </c>
      <c r="V174" s="1">
        <v>12</v>
      </c>
      <c r="W174" s="1">
        <v>6</v>
      </c>
      <c r="X174" s="1">
        <v>9</v>
      </c>
      <c r="Y174" s="1">
        <v>5</v>
      </c>
    </row>
    <row r="175" spans="1:25" x14ac:dyDescent="0.3">
      <c r="A175" s="2">
        <v>42878</v>
      </c>
      <c r="B175" s="1">
        <v>3</v>
      </c>
      <c r="C175" s="1">
        <v>6</v>
      </c>
      <c r="D175" s="1">
        <v>4</v>
      </c>
      <c r="E175" s="1">
        <v>2</v>
      </c>
      <c r="F175" s="1">
        <v>6</v>
      </c>
      <c r="G175" s="1">
        <v>6</v>
      </c>
      <c r="H175" s="1">
        <v>9</v>
      </c>
      <c r="I175" s="1">
        <v>25</v>
      </c>
      <c r="J175" s="1">
        <v>31</v>
      </c>
      <c r="K175" s="1">
        <v>30</v>
      </c>
      <c r="L175" s="1">
        <v>20</v>
      </c>
      <c r="M175" s="1">
        <v>21</v>
      </c>
      <c r="N175" s="1">
        <v>19</v>
      </c>
      <c r="O175" s="1">
        <v>32</v>
      </c>
      <c r="P175" s="1">
        <v>19</v>
      </c>
      <c r="Q175" s="1">
        <v>24</v>
      </c>
      <c r="R175" s="1">
        <v>33</v>
      </c>
      <c r="S175" s="1">
        <v>22</v>
      </c>
      <c r="T175" s="1">
        <v>18</v>
      </c>
      <c r="U175" s="1">
        <v>18</v>
      </c>
      <c r="V175" s="1">
        <v>18</v>
      </c>
      <c r="W175" s="1">
        <v>10</v>
      </c>
      <c r="X175" s="1">
        <v>4</v>
      </c>
      <c r="Y175" s="1">
        <v>9</v>
      </c>
    </row>
    <row r="176" spans="1:25" x14ac:dyDescent="0.3">
      <c r="A176" s="2">
        <v>42879</v>
      </c>
      <c r="B176" s="1">
        <v>6</v>
      </c>
      <c r="C176" s="1">
        <v>4</v>
      </c>
      <c r="D176" s="1">
        <v>8</v>
      </c>
      <c r="E176" s="1">
        <v>8</v>
      </c>
      <c r="F176" s="1">
        <v>4</v>
      </c>
      <c r="G176" s="1">
        <v>5</v>
      </c>
      <c r="H176" s="1">
        <v>9</v>
      </c>
      <c r="I176" s="1">
        <v>25</v>
      </c>
      <c r="J176" s="1">
        <v>17</v>
      </c>
      <c r="K176" s="1">
        <v>31</v>
      </c>
      <c r="L176" s="1">
        <v>22</v>
      </c>
      <c r="M176" s="1">
        <v>26</v>
      </c>
      <c r="N176" s="1">
        <v>22</v>
      </c>
      <c r="O176" s="1">
        <v>24</v>
      </c>
      <c r="P176" s="1">
        <v>20</v>
      </c>
      <c r="Q176" s="1">
        <v>31</v>
      </c>
      <c r="R176" s="1">
        <v>38</v>
      </c>
      <c r="S176" s="1">
        <v>15</v>
      </c>
      <c r="T176" s="1">
        <v>13</v>
      </c>
      <c r="U176" s="1">
        <v>14</v>
      </c>
      <c r="V176" s="1">
        <v>28</v>
      </c>
      <c r="W176" s="1">
        <v>22</v>
      </c>
      <c r="X176" s="1">
        <v>13</v>
      </c>
      <c r="Y176" s="1">
        <v>5</v>
      </c>
    </row>
    <row r="177" spans="1:25" x14ac:dyDescent="0.3">
      <c r="A177" s="2">
        <v>42880</v>
      </c>
      <c r="B177" s="1">
        <v>6</v>
      </c>
      <c r="C177" s="1">
        <v>1</v>
      </c>
      <c r="D177" s="1">
        <v>12</v>
      </c>
      <c r="E177" s="1">
        <v>5</v>
      </c>
      <c r="F177" s="1">
        <v>1</v>
      </c>
      <c r="G177" s="1">
        <v>7</v>
      </c>
      <c r="H177" s="1">
        <v>13</v>
      </c>
      <c r="I177" s="1">
        <v>24</v>
      </c>
      <c r="J177" s="1">
        <v>23</v>
      </c>
      <c r="K177" s="1">
        <v>35</v>
      </c>
      <c r="L177" s="1">
        <v>33</v>
      </c>
      <c r="M177" s="1">
        <v>24</v>
      </c>
      <c r="N177" s="1">
        <v>28</v>
      </c>
      <c r="O177" s="1">
        <v>34</v>
      </c>
      <c r="P177" s="1">
        <v>23</v>
      </c>
      <c r="Q177" s="1">
        <v>24</v>
      </c>
      <c r="R177" s="1">
        <v>31</v>
      </c>
      <c r="S177" s="1">
        <v>26</v>
      </c>
      <c r="T177" s="1">
        <v>31</v>
      </c>
      <c r="U177" s="1">
        <v>23</v>
      </c>
      <c r="V177" s="1">
        <v>19</v>
      </c>
      <c r="W177" s="1">
        <v>14</v>
      </c>
      <c r="X177" s="1">
        <v>18</v>
      </c>
      <c r="Y177" s="1">
        <v>15</v>
      </c>
    </row>
    <row r="178" spans="1:25" x14ac:dyDescent="0.3">
      <c r="A178" s="2">
        <v>42881</v>
      </c>
      <c r="B178" s="1">
        <v>6</v>
      </c>
      <c r="C178" s="1">
        <v>7</v>
      </c>
      <c r="D178" s="1">
        <v>4</v>
      </c>
      <c r="E178" s="1">
        <v>5</v>
      </c>
      <c r="F178" s="1">
        <v>6</v>
      </c>
      <c r="G178" s="1">
        <v>6</v>
      </c>
      <c r="H178" s="1">
        <v>12</v>
      </c>
      <c r="I178" s="1">
        <v>15</v>
      </c>
      <c r="J178" s="1">
        <v>30</v>
      </c>
      <c r="K178" s="1">
        <v>20</v>
      </c>
      <c r="L178" s="1">
        <v>18</v>
      </c>
      <c r="M178" s="1">
        <v>25</v>
      </c>
      <c r="N178" s="1">
        <v>24</v>
      </c>
      <c r="O178" s="1">
        <v>17</v>
      </c>
      <c r="P178" s="1">
        <v>17</v>
      </c>
      <c r="Q178" s="1">
        <v>31</v>
      </c>
      <c r="R178" s="1">
        <v>34</v>
      </c>
      <c r="S178" s="1">
        <v>13</v>
      </c>
      <c r="T178" s="1">
        <v>16</v>
      </c>
      <c r="U178" s="1">
        <v>15</v>
      </c>
      <c r="V178" s="1">
        <v>16</v>
      </c>
      <c r="W178" s="1">
        <v>11</v>
      </c>
      <c r="X178" s="1">
        <v>15</v>
      </c>
      <c r="Y178" s="1">
        <v>7</v>
      </c>
    </row>
    <row r="179" spans="1:25" x14ac:dyDescent="0.3">
      <c r="A179" s="2">
        <v>42882</v>
      </c>
      <c r="B179" s="1">
        <v>16</v>
      </c>
      <c r="C179" s="1">
        <v>11</v>
      </c>
      <c r="D179" s="1">
        <v>8</v>
      </c>
      <c r="E179" s="1">
        <v>4</v>
      </c>
      <c r="F179" s="1">
        <v>8</v>
      </c>
      <c r="G179" s="1">
        <v>5</v>
      </c>
      <c r="H179" s="1">
        <v>8</v>
      </c>
      <c r="I179" s="1">
        <v>9</v>
      </c>
      <c r="J179" s="1">
        <v>13</v>
      </c>
      <c r="K179" s="1">
        <v>18</v>
      </c>
      <c r="L179" s="1">
        <v>8</v>
      </c>
      <c r="M179" s="1">
        <v>12</v>
      </c>
      <c r="N179" s="1">
        <v>18</v>
      </c>
      <c r="O179" s="1">
        <v>22</v>
      </c>
      <c r="P179" s="1">
        <v>17</v>
      </c>
      <c r="Q179" s="1">
        <v>15</v>
      </c>
      <c r="R179" s="1">
        <v>18</v>
      </c>
      <c r="S179" s="1">
        <v>13</v>
      </c>
      <c r="T179" s="1">
        <v>12</v>
      </c>
      <c r="U179" s="1">
        <v>24</v>
      </c>
      <c r="V179" s="1">
        <v>18</v>
      </c>
      <c r="W179" s="1">
        <v>17</v>
      </c>
      <c r="X179" s="1">
        <v>11</v>
      </c>
      <c r="Y179" s="1">
        <v>19</v>
      </c>
    </row>
    <row r="180" spans="1:25" x14ac:dyDescent="0.3">
      <c r="A180" s="2">
        <v>42883</v>
      </c>
      <c r="B180" s="1">
        <v>10</v>
      </c>
      <c r="C180" s="1">
        <v>7</v>
      </c>
      <c r="D180" s="1">
        <v>9</v>
      </c>
      <c r="E180" s="1">
        <v>8</v>
      </c>
      <c r="F180" s="1">
        <v>4</v>
      </c>
      <c r="G180" s="1">
        <v>3</v>
      </c>
      <c r="H180" s="1">
        <v>4</v>
      </c>
      <c r="I180" s="1">
        <v>5</v>
      </c>
      <c r="J180" s="1">
        <v>12</v>
      </c>
      <c r="K180" s="1">
        <v>15</v>
      </c>
      <c r="L180" s="1">
        <v>18</v>
      </c>
      <c r="M180" s="1">
        <v>10</v>
      </c>
      <c r="N180" s="1">
        <v>16</v>
      </c>
      <c r="O180" s="1">
        <v>12</v>
      </c>
      <c r="P180" s="1">
        <v>21</v>
      </c>
      <c r="Q180" s="1">
        <v>17</v>
      </c>
      <c r="R180" s="1">
        <v>16</v>
      </c>
      <c r="S180" s="1">
        <v>14</v>
      </c>
      <c r="T180" s="1">
        <v>16</v>
      </c>
      <c r="U180" s="1">
        <v>15</v>
      </c>
      <c r="V180" s="1">
        <v>16</v>
      </c>
      <c r="W180" s="1">
        <v>20</v>
      </c>
      <c r="X180" s="1">
        <v>10</v>
      </c>
      <c r="Y180" s="1">
        <v>5</v>
      </c>
    </row>
    <row r="181" spans="1:25" x14ac:dyDescent="0.3">
      <c r="A181" s="2">
        <v>42884</v>
      </c>
      <c r="B181" s="1">
        <v>9</v>
      </c>
      <c r="C181" s="1">
        <v>8</v>
      </c>
      <c r="D181" s="1">
        <v>6</v>
      </c>
      <c r="E181" s="1">
        <v>11</v>
      </c>
      <c r="F181" s="1">
        <v>7</v>
      </c>
      <c r="G181" s="1">
        <v>9</v>
      </c>
      <c r="H181" s="1">
        <v>7</v>
      </c>
      <c r="I181" s="1">
        <v>5</v>
      </c>
      <c r="J181" s="1">
        <v>7</v>
      </c>
      <c r="K181" s="1">
        <v>15</v>
      </c>
      <c r="L181" s="1">
        <v>9</v>
      </c>
      <c r="M181" s="1">
        <v>21</v>
      </c>
      <c r="N181" s="1">
        <v>24</v>
      </c>
      <c r="O181" s="1">
        <v>21</v>
      </c>
      <c r="P181" s="1">
        <v>6</v>
      </c>
      <c r="Q181" s="1">
        <v>8</v>
      </c>
      <c r="R181" s="1">
        <v>11</v>
      </c>
      <c r="S181" s="1">
        <v>10</v>
      </c>
      <c r="T181" s="1">
        <v>10</v>
      </c>
      <c r="U181" s="1">
        <v>8</v>
      </c>
      <c r="V181" s="1">
        <v>11</v>
      </c>
      <c r="W181" s="1">
        <v>11</v>
      </c>
      <c r="X181" s="1">
        <v>8</v>
      </c>
      <c r="Y181" s="1">
        <v>3</v>
      </c>
    </row>
    <row r="182" spans="1:25" x14ac:dyDescent="0.3">
      <c r="A182" s="2">
        <v>42885</v>
      </c>
      <c r="B182" s="1">
        <v>5</v>
      </c>
      <c r="C182" s="1">
        <v>7</v>
      </c>
      <c r="D182" s="1">
        <v>2</v>
      </c>
      <c r="E182" s="1">
        <v>6</v>
      </c>
      <c r="F182" s="1">
        <v>0</v>
      </c>
      <c r="G182" s="1">
        <v>5</v>
      </c>
      <c r="H182" s="1">
        <v>11</v>
      </c>
      <c r="I182" s="1">
        <v>19</v>
      </c>
      <c r="J182" s="1">
        <v>24</v>
      </c>
      <c r="K182" s="1">
        <v>17</v>
      </c>
      <c r="L182" s="1">
        <v>19</v>
      </c>
      <c r="M182" s="1">
        <v>40</v>
      </c>
      <c r="N182" s="1">
        <v>23</v>
      </c>
      <c r="O182" s="1">
        <v>38</v>
      </c>
      <c r="P182" s="1">
        <v>23</v>
      </c>
      <c r="Q182" s="1">
        <v>28</v>
      </c>
      <c r="R182" s="1">
        <v>25</v>
      </c>
      <c r="S182" s="1">
        <v>35</v>
      </c>
      <c r="T182" s="1">
        <v>17</v>
      </c>
      <c r="U182" s="1">
        <v>21</v>
      </c>
      <c r="V182" s="1">
        <v>20</v>
      </c>
      <c r="W182" s="1">
        <v>11</v>
      </c>
      <c r="X182" s="1">
        <v>8</v>
      </c>
      <c r="Y182" s="1">
        <v>8</v>
      </c>
    </row>
    <row r="183" spans="1:25" x14ac:dyDescent="0.3">
      <c r="A183" s="2">
        <v>42886</v>
      </c>
      <c r="B183" s="1">
        <v>7</v>
      </c>
      <c r="C183" s="1">
        <v>10</v>
      </c>
      <c r="D183" s="1">
        <v>2</v>
      </c>
      <c r="E183" s="1">
        <v>2</v>
      </c>
      <c r="F183" s="1">
        <v>6</v>
      </c>
      <c r="G183" s="1">
        <v>7</v>
      </c>
      <c r="H183" s="1">
        <v>6</v>
      </c>
      <c r="I183" s="1">
        <v>27</v>
      </c>
      <c r="J183" s="1">
        <v>19</v>
      </c>
      <c r="K183" s="1">
        <v>31</v>
      </c>
      <c r="L183" s="1">
        <v>21</v>
      </c>
      <c r="M183" s="1">
        <v>27</v>
      </c>
      <c r="N183" s="1">
        <v>23</v>
      </c>
      <c r="O183" s="1">
        <v>14</v>
      </c>
      <c r="P183" s="1">
        <v>34</v>
      </c>
      <c r="Q183" s="1">
        <v>22</v>
      </c>
      <c r="R183" s="1">
        <v>23</v>
      </c>
      <c r="S183" s="1">
        <v>27</v>
      </c>
      <c r="T183" s="1">
        <v>22</v>
      </c>
      <c r="U183" s="1">
        <v>31</v>
      </c>
      <c r="V183" s="1">
        <v>23</v>
      </c>
      <c r="W183" s="1">
        <v>12</v>
      </c>
      <c r="X183" s="1">
        <v>22</v>
      </c>
      <c r="Y183" s="1">
        <v>10</v>
      </c>
    </row>
    <row r="184" spans="1:25" x14ac:dyDescent="0.3">
      <c r="A184" s="2">
        <v>42887</v>
      </c>
      <c r="B184" s="1">
        <v>2</v>
      </c>
      <c r="C184" s="1">
        <v>6</v>
      </c>
      <c r="D184" s="1">
        <v>8</v>
      </c>
      <c r="E184" s="1">
        <v>2</v>
      </c>
      <c r="F184" s="1">
        <v>6</v>
      </c>
      <c r="G184" s="1">
        <v>10</v>
      </c>
      <c r="H184" s="1">
        <v>7</v>
      </c>
      <c r="I184" s="1">
        <v>20</v>
      </c>
      <c r="J184" s="1">
        <v>23</v>
      </c>
      <c r="K184" s="1">
        <v>29</v>
      </c>
      <c r="L184" s="1">
        <v>23</v>
      </c>
      <c r="M184" s="1">
        <v>20</v>
      </c>
      <c r="N184" s="1">
        <v>20</v>
      </c>
      <c r="O184" s="1">
        <v>14</v>
      </c>
      <c r="P184" s="1">
        <v>26</v>
      </c>
      <c r="Q184" s="1">
        <v>37</v>
      </c>
      <c r="R184" s="1">
        <v>27</v>
      </c>
      <c r="S184" s="1">
        <v>24</v>
      </c>
      <c r="T184" s="1">
        <v>19</v>
      </c>
      <c r="U184" s="1">
        <v>19</v>
      </c>
      <c r="V184" s="1">
        <v>17</v>
      </c>
      <c r="W184" s="1">
        <v>11</v>
      </c>
      <c r="X184" s="1">
        <v>10</v>
      </c>
      <c r="Y184" s="1">
        <v>11</v>
      </c>
    </row>
    <row r="185" spans="1:25" x14ac:dyDescent="0.3">
      <c r="A185" s="2">
        <v>42888</v>
      </c>
      <c r="B185" s="1">
        <v>3</v>
      </c>
      <c r="C185" s="1">
        <v>2</v>
      </c>
      <c r="D185" s="1">
        <v>8</v>
      </c>
      <c r="E185" s="1">
        <v>3</v>
      </c>
      <c r="F185" s="1">
        <v>3</v>
      </c>
      <c r="G185" s="1">
        <v>4</v>
      </c>
      <c r="H185" s="1">
        <v>7</v>
      </c>
      <c r="I185" s="1">
        <v>13</v>
      </c>
      <c r="J185" s="1">
        <v>19</v>
      </c>
      <c r="K185" s="1">
        <v>19</v>
      </c>
      <c r="L185" s="1">
        <v>24</v>
      </c>
      <c r="M185" s="1">
        <v>15</v>
      </c>
      <c r="N185" s="1">
        <v>25</v>
      </c>
      <c r="O185" s="1">
        <v>29</v>
      </c>
      <c r="P185" s="1">
        <v>32</v>
      </c>
      <c r="Q185" s="1">
        <v>34</v>
      </c>
      <c r="R185" s="1">
        <v>31</v>
      </c>
      <c r="S185" s="1">
        <v>24</v>
      </c>
      <c r="T185" s="1">
        <v>24</v>
      </c>
      <c r="U185" s="1">
        <v>14</v>
      </c>
      <c r="V185" s="1">
        <v>18</v>
      </c>
      <c r="W185" s="1">
        <v>12</v>
      </c>
      <c r="X185" s="1">
        <v>7</v>
      </c>
      <c r="Y185" s="1">
        <v>9</v>
      </c>
    </row>
    <row r="186" spans="1:25" x14ac:dyDescent="0.3">
      <c r="A186" s="2">
        <v>42889</v>
      </c>
      <c r="B186" s="1">
        <v>12</v>
      </c>
      <c r="C186" s="1">
        <v>12</v>
      </c>
      <c r="D186" s="1">
        <v>10</v>
      </c>
      <c r="E186" s="1">
        <v>7</v>
      </c>
      <c r="F186" s="1">
        <v>4</v>
      </c>
      <c r="G186" s="1">
        <v>2</v>
      </c>
      <c r="H186" s="1">
        <v>14</v>
      </c>
      <c r="I186" s="1">
        <v>11</v>
      </c>
      <c r="J186" s="1">
        <v>12</v>
      </c>
      <c r="K186" s="1">
        <v>16</v>
      </c>
      <c r="L186" s="1">
        <v>17</v>
      </c>
      <c r="M186" s="1">
        <v>14</v>
      </c>
      <c r="N186" s="1">
        <v>26</v>
      </c>
      <c r="O186" s="1">
        <v>23</v>
      </c>
      <c r="P186" s="1">
        <v>28</v>
      </c>
      <c r="Q186" s="1">
        <v>18</v>
      </c>
      <c r="R186" s="1">
        <v>25</v>
      </c>
      <c r="S186" s="1">
        <v>29</v>
      </c>
      <c r="T186" s="1">
        <v>23</v>
      </c>
      <c r="U186" s="1">
        <v>16</v>
      </c>
      <c r="V186" s="1">
        <v>20</v>
      </c>
      <c r="W186" s="1">
        <v>24</v>
      </c>
      <c r="X186" s="1">
        <v>17</v>
      </c>
      <c r="Y186" s="1">
        <v>16</v>
      </c>
    </row>
    <row r="187" spans="1:25" x14ac:dyDescent="0.3">
      <c r="A187" s="2">
        <v>42890</v>
      </c>
      <c r="B187" s="1">
        <v>6</v>
      </c>
      <c r="C187" s="1">
        <v>7</v>
      </c>
      <c r="D187" s="1">
        <v>11</v>
      </c>
      <c r="E187" s="1">
        <v>6</v>
      </c>
      <c r="F187" s="1">
        <v>4</v>
      </c>
      <c r="G187" s="1">
        <v>3</v>
      </c>
      <c r="H187" s="1">
        <v>16</v>
      </c>
      <c r="I187" s="1">
        <v>6</v>
      </c>
      <c r="J187" s="1">
        <v>8</v>
      </c>
      <c r="K187" s="1">
        <v>13</v>
      </c>
      <c r="L187" s="1">
        <v>20</v>
      </c>
      <c r="M187" s="1">
        <v>23</v>
      </c>
      <c r="N187" s="1">
        <v>18</v>
      </c>
      <c r="O187" s="1">
        <v>27</v>
      </c>
      <c r="P187" s="1">
        <v>13</v>
      </c>
      <c r="Q187" s="1">
        <v>20</v>
      </c>
      <c r="R187" s="1">
        <v>14</v>
      </c>
      <c r="S187" s="1">
        <v>12</v>
      </c>
      <c r="T187" s="1">
        <v>19</v>
      </c>
      <c r="U187" s="1">
        <v>11</v>
      </c>
      <c r="V187" s="1">
        <v>23</v>
      </c>
      <c r="W187" s="1">
        <v>14</v>
      </c>
      <c r="X187" s="1">
        <v>8</v>
      </c>
      <c r="Y187" s="1">
        <v>11</v>
      </c>
    </row>
    <row r="188" spans="1:25" x14ac:dyDescent="0.3">
      <c r="A188" s="2">
        <v>42891</v>
      </c>
      <c r="B188" s="1">
        <v>6</v>
      </c>
      <c r="C188" s="1">
        <v>4</v>
      </c>
      <c r="D188" s="1">
        <v>5</v>
      </c>
      <c r="E188" s="1">
        <v>4</v>
      </c>
      <c r="F188" s="1">
        <v>6</v>
      </c>
      <c r="G188" s="1">
        <v>5</v>
      </c>
      <c r="H188" s="1">
        <v>2</v>
      </c>
      <c r="I188" s="1">
        <v>17</v>
      </c>
      <c r="J188" s="1">
        <v>22</v>
      </c>
      <c r="K188" s="1">
        <v>18</v>
      </c>
      <c r="L188" s="1">
        <v>24</v>
      </c>
      <c r="M188" s="1">
        <v>22</v>
      </c>
      <c r="N188" s="1">
        <v>22</v>
      </c>
      <c r="O188" s="1">
        <v>19</v>
      </c>
      <c r="P188" s="1">
        <v>20</v>
      </c>
      <c r="Q188" s="1">
        <v>34</v>
      </c>
      <c r="R188" s="1">
        <v>20</v>
      </c>
      <c r="S188" s="1">
        <v>26</v>
      </c>
      <c r="T188" s="1">
        <v>23</v>
      </c>
      <c r="U188" s="1">
        <v>26</v>
      </c>
      <c r="V188" s="1">
        <v>19</v>
      </c>
      <c r="W188" s="1">
        <v>13</v>
      </c>
      <c r="X188" s="1">
        <v>12</v>
      </c>
      <c r="Y188" s="1">
        <v>7</v>
      </c>
    </row>
    <row r="189" spans="1:25" x14ac:dyDescent="0.3">
      <c r="A189" s="2">
        <v>42892</v>
      </c>
      <c r="B189" s="1">
        <v>8</v>
      </c>
      <c r="C189" s="1">
        <v>4</v>
      </c>
      <c r="D189" s="1">
        <v>4</v>
      </c>
      <c r="E189" s="1">
        <v>5</v>
      </c>
      <c r="F189" s="1">
        <v>5</v>
      </c>
      <c r="G189" s="1">
        <v>7</v>
      </c>
      <c r="H189" s="1">
        <v>10</v>
      </c>
      <c r="I189" s="1">
        <v>22</v>
      </c>
      <c r="J189" s="1">
        <v>31</v>
      </c>
      <c r="K189" s="1">
        <v>18</v>
      </c>
      <c r="L189" s="1">
        <v>18</v>
      </c>
      <c r="M189" s="1">
        <v>20</v>
      </c>
      <c r="N189" s="1">
        <v>22</v>
      </c>
      <c r="O189" s="1">
        <v>31</v>
      </c>
      <c r="P189" s="1">
        <v>35</v>
      </c>
      <c r="Q189" s="1">
        <v>33</v>
      </c>
      <c r="R189" s="1">
        <v>35</v>
      </c>
      <c r="S189" s="1">
        <v>34</v>
      </c>
      <c r="T189" s="1">
        <v>19</v>
      </c>
      <c r="U189" s="1">
        <v>22</v>
      </c>
      <c r="V189" s="1">
        <v>25</v>
      </c>
      <c r="W189" s="1">
        <v>13</v>
      </c>
      <c r="X189" s="1">
        <v>15</v>
      </c>
      <c r="Y189" s="1">
        <v>10</v>
      </c>
    </row>
    <row r="190" spans="1:25" x14ac:dyDescent="0.3">
      <c r="A190" s="2">
        <v>42893</v>
      </c>
      <c r="B190" s="1">
        <v>10</v>
      </c>
      <c r="C190" s="1">
        <v>4</v>
      </c>
      <c r="D190" s="1">
        <v>3</v>
      </c>
      <c r="E190" s="1">
        <v>5</v>
      </c>
      <c r="F190" s="1">
        <v>2</v>
      </c>
      <c r="G190" s="1">
        <v>1</v>
      </c>
      <c r="H190" s="1">
        <v>6</v>
      </c>
      <c r="I190" s="1">
        <v>15</v>
      </c>
      <c r="J190" s="1">
        <v>22</v>
      </c>
      <c r="K190" s="1">
        <v>21</v>
      </c>
      <c r="L190" s="1">
        <v>15</v>
      </c>
      <c r="M190" s="1">
        <v>31</v>
      </c>
      <c r="N190" s="1">
        <v>15</v>
      </c>
      <c r="O190" s="1">
        <v>24</v>
      </c>
      <c r="P190" s="1">
        <v>20</v>
      </c>
      <c r="Q190" s="1">
        <v>39</v>
      </c>
      <c r="R190" s="1">
        <v>18</v>
      </c>
      <c r="S190" s="1">
        <v>17</v>
      </c>
      <c r="T190" s="1">
        <v>15</v>
      </c>
      <c r="U190" s="1">
        <v>12</v>
      </c>
      <c r="V190" s="1">
        <v>18</v>
      </c>
      <c r="W190" s="1">
        <v>25</v>
      </c>
      <c r="X190" s="1">
        <v>11</v>
      </c>
      <c r="Y190" s="1">
        <v>17</v>
      </c>
    </row>
    <row r="191" spans="1:25" x14ac:dyDescent="0.3">
      <c r="A191" s="2">
        <v>42894</v>
      </c>
      <c r="B191" s="1">
        <v>11</v>
      </c>
      <c r="C191" s="1">
        <v>4</v>
      </c>
      <c r="D191" s="1">
        <v>6</v>
      </c>
      <c r="E191" s="1">
        <v>8</v>
      </c>
      <c r="F191" s="1">
        <v>1</v>
      </c>
      <c r="G191" s="1">
        <v>5</v>
      </c>
      <c r="H191" s="1">
        <v>8</v>
      </c>
      <c r="I191" s="1">
        <v>13</v>
      </c>
      <c r="J191" s="1">
        <v>21</v>
      </c>
      <c r="K191" s="1">
        <v>19</v>
      </c>
      <c r="L191" s="1">
        <v>34</v>
      </c>
      <c r="M191" s="1">
        <v>24</v>
      </c>
      <c r="N191" s="1">
        <v>26</v>
      </c>
      <c r="O191" s="1">
        <v>14</v>
      </c>
      <c r="P191" s="1">
        <v>25</v>
      </c>
      <c r="Q191" s="1">
        <v>22</v>
      </c>
      <c r="R191" s="1">
        <v>30</v>
      </c>
      <c r="S191" s="1">
        <v>22</v>
      </c>
      <c r="T191" s="1">
        <v>24</v>
      </c>
      <c r="U191" s="1">
        <v>15</v>
      </c>
      <c r="V191" s="1">
        <v>18</v>
      </c>
      <c r="W191" s="1">
        <v>16</v>
      </c>
      <c r="X191" s="1">
        <v>12</v>
      </c>
      <c r="Y191" s="1">
        <v>8</v>
      </c>
    </row>
    <row r="192" spans="1:25" x14ac:dyDescent="0.3">
      <c r="A192" s="2">
        <v>42895</v>
      </c>
      <c r="B192" s="1">
        <v>5</v>
      </c>
      <c r="C192" s="1">
        <v>6</v>
      </c>
      <c r="D192" s="1">
        <v>2</v>
      </c>
      <c r="E192" s="1">
        <v>2</v>
      </c>
      <c r="F192" s="1">
        <v>4</v>
      </c>
      <c r="G192" s="1">
        <v>10</v>
      </c>
      <c r="H192" s="1">
        <v>10</v>
      </c>
      <c r="I192" s="1">
        <v>16</v>
      </c>
      <c r="J192" s="1">
        <v>16</v>
      </c>
      <c r="K192" s="1">
        <v>27</v>
      </c>
      <c r="L192" s="1">
        <v>26</v>
      </c>
      <c r="M192" s="1">
        <v>29</v>
      </c>
      <c r="N192" s="1">
        <v>27</v>
      </c>
      <c r="O192" s="1">
        <v>19</v>
      </c>
      <c r="P192" s="1">
        <v>30</v>
      </c>
      <c r="Q192" s="1">
        <v>31</v>
      </c>
      <c r="R192" s="1">
        <v>36</v>
      </c>
      <c r="S192" s="1">
        <v>35</v>
      </c>
      <c r="T192" s="1">
        <v>22</v>
      </c>
      <c r="U192" s="1">
        <v>26</v>
      </c>
      <c r="V192" s="1">
        <v>20</v>
      </c>
      <c r="W192" s="1">
        <v>13</v>
      </c>
      <c r="X192" s="1">
        <v>14</v>
      </c>
      <c r="Y192" s="1">
        <v>14</v>
      </c>
    </row>
    <row r="193" spans="1:25" x14ac:dyDescent="0.3">
      <c r="A193" s="2">
        <v>42896</v>
      </c>
      <c r="B193" s="1">
        <v>5</v>
      </c>
      <c r="C193" s="1">
        <v>6</v>
      </c>
      <c r="D193" s="1">
        <v>7</v>
      </c>
      <c r="E193" s="1">
        <v>5</v>
      </c>
      <c r="F193" s="1">
        <v>6</v>
      </c>
      <c r="G193" s="1">
        <v>7</v>
      </c>
      <c r="H193" s="1">
        <v>8</v>
      </c>
      <c r="I193" s="1">
        <v>8</v>
      </c>
      <c r="J193" s="1">
        <v>12</v>
      </c>
      <c r="K193" s="1">
        <v>11</v>
      </c>
      <c r="L193" s="1">
        <v>14</v>
      </c>
      <c r="M193" s="1">
        <v>23</v>
      </c>
      <c r="N193" s="1">
        <v>18</v>
      </c>
      <c r="O193" s="1">
        <v>24</v>
      </c>
      <c r="P193" s="1">
        <v>20</v>
      </c>
      <c r="Q193" s="1">
        <v>25</v>
      </c>
      <c r="R193" s="1">
        <v>27</v>
      </c>
      <c r="S193" s="1">
        <v>23</v>
      </c>
      <c r="T193" s="1">
        <v>21</v>
      </c>
      <c r="U193" s="1">
        <v>24</v>
      </c>
      <c r="V193" s="1">
        <v>14</v>
      </c>
      <c r="W193" s="1">
        <v>14</v>
      </c>
      <c r="X193" s="1">
        <v>23</v>
      </c>
      <c r="Y193" s="1">
        <v>7</v>
      </c>
    </row>
    <row r="194" spans="1:25" x14ac:dyDescent="0.3">
      <c r="A194" s="2">
        <v>42897</v>
      </c>
      <c r="B194" s="1">
        <v>9</v>
      </c>
      <c r="C194" s="1">
        <v>9</v>
      </c>
      <c r="D194" s="1">
        <v>7</v>
      </c>
      <c r="E194" s="1">
        <v>9</v>
      </c>
      <c r="F194" s="1">
        <v>2</v>
      </c>
      <c r="G194" s="1">
        <v>7</v>
      </c>
      <c r="H194" s="1">
        <v>7</v>
      </c>
      <c r="I194" s="1">
        <v>6</v>
      </c>
      <c r="J194" s="1">
        <v>11</v>
      </c>
      <c r="K194" s="1">
        <v>25</v>
      </c>
      <c r="L194" s="1">
        <v>16</v>
      </c>
      <c r="M194" s="1">
        <v>23</v>
      </c>
      <c r="N194" s="1">
        <v>20</v>
      </c>
      <c r="O194" s="1">
        <v>25</v>
      </c>
      <c r="P194" s="1">
        <v>32</v>
      </c>
      <c r="Q194" s="1">
        <v>28</v>
      </c>
      <c r="R194" s="1">
        <v>22</v>
      </c>
      <c r="S194" s="1">
        <v>21</v>
      </c>
      <c r="T194" s="1">
        <v>30</v>
      </c>
      <c r="U194" s="1">
        <v>18</v>
      </c>
      <c r="V194" s="1">
        <v>21</v>
      </c>
      <c r="W194" s="1">
        <v>15</v>
      </c>
      <c r="X194" s="1">
        <v>12</v>
      </c>
      <c r="Y194" s="1">
        <v>20</v>
      </c>
    </row>
    <row r="195" spans="1:25" x14ac:dyDescent="0.3">
      <c r="A195" s="2">
        <v>42898</v>
      </c>
      <c r="B195" s="1">
        <v>6</v>
      </c>
      <c r="C195" s="1">
        <v>8</v>
      </c>
      <c r="D195" s="1">
        <v>2</v>
      </c>
      <c r="E195" s="1">
        <v>1</v>
      </c>
      <c r="F195" s="1">
        <v>1</v>
      </c>
      <c r="G195" s="1">
        <v>8</v>
      </c>
      <c r="H195" s="1">
        <v>8</v>
      </c>
      <c r="I195" s="1">
        <v>18</v>
      </c>
      <c r="J195" s="1">
        <v>25</v>
      </c>
      <c r="K195" s="1">
        <v>24</v>
      </c>
      <c r="L195" s="1">
        <v>18</v>
      </c>
      <c r="M195" s="1">
        <v>29</v>
      </c>
      <c r="N195" s="1">
        <v>27</v>
      </c>
      <c r="O195" s="1">
        <v>40</v>
      </c>
      <c r="P195" s="1">
        <v>28</v>
      </c>
      <c r="Q195" s="1">
        <v>40</v>
      </c>
      <c r="R195" s="1">
        <v>37</v>
      </c>
      <c r="S195" s="1">
        <v>29</v>
      </c>
      <c r="T195" s="1">
        <v>23</v>
      </c>
      <c r="U195" s="1">
        <v>18</v>
      </c>
      <c r="V195" s="1">
        <v>17</v>
      </c>
      <c r="W195" s="1">
        <v>8</v>
      </c>
      <c r="X195" s="1">
        <v>13</v>
      </c>
      <c r="Y195" s="1">
        <v>10</v>
      </c>
    </row>
    <row r="196" spans="1:25" x14ac:dyDescent="0.3">
      <c r="A196" s="2">
        <v>42899</v>
      </c>
      <c r="B196" s="1">
        <v>7</v>
      </c>
      <c r="C196" s="1">
        <v>9</v>
      </c>
      <c r="D196" s="1">
        <v>5</v>
      </c>
      <c r="E196" s="1">
        <v>2</v>
      </c>
      <c r="F196" s="1">
        <v>6</v>
      </c>
      <c r="G196" s="1">
        <v>11</v>
      </c>
      <c r="H196" s="1">
        <v>7</v>
      </c>
      <c r="I196" s="1">
        <v>17</v>
      </c>
      <c r="J196" s="1">
        <v>24</v>
      </c>
      <c r="K196" s="1">
        <v>17</v>
      </c>
      <c r="L196" s="1">
        <v>24</v>
      </c>
      <c r="M196" s="1">
        <v>24</v>
      </c>
      <c r="N196" s="1">
        <v>24</v>
      </c>
      <c r="O196" s="1">
        <v>29</v>
      </c>
      <c r="P196" s="1">
        <v>19</v>
      </c>
      <c r="Q196" s="1">
        <v>39</v>
      </c>
      <c r="R196" s="1">
        <v>27</v>
      </c>
      <c r="S196" s="1">
        <v>40</v>
      </c>
      <c r="T196" s="1">
        <v>27</v>
      </c>
      <c r="U196" s="1">
        <v>14</v>
      </c>
      <c r="V196" s="1">
        <v>21</v>
      </c>
      <c r="W196" s="1">
        <v>12</v>
      </c>
      <c r="X196" s="1">
        <v>6</v>
      </c>
      <c r="Y196" s="1">
        <v>12</v>
      </c>
    </row>
    <row r="197" spans="1:25" x14ac:dyDescent="0.3">
      <c r="A197" s="2">
        <v>42900</v>
      </c>
      <c r="B197" s="1">
        <v>8</v>
      </c>
      <c r="C197" s="1">
        <v>3</v>
      </c>
      <c r="D197" s="1">
        <v>2</v>
      </c>
      <c r="E197" s="1">
        <v>2</v>
      </c>
      <c r="F197" s="1">
        <v>3</v>
      </c>
      <c r="G197" s="1">
        <v>7</v>
      </c>
      <c r="H197" s="1">
        <v>7</v>
      </c>
      <c r="I197" s="1">
        <v>22</v>
      </c>
      <c r="J197" s="1">
        <v>27</v>
      </c>
      <c r="K197" s="1">
        <v>19</v>
      </c>
      <c r="L197" s="1">
        <v>26</v>
      </c>
      <c r="M197" s="1">
        <v>18</v>
      </c>
      <c r="N197" s="1">
        <v>23</v>
      </c>
      <c r="O197" s="1">
        <v>16</v>
      </c>
      <c r="P197" s="1">
        <v>31</v>
      </c>
      <c r="Q197" s="1">
        <v>16</v>
      </c>
      <c r="R197" s="1">
        <v>39</v>
      </c>
      <c r="S197" s="1">
        <v>32</v>
      </c>
      <c r="T197" s="1">
        <v>20</v>
      </c>
      <c r="U197" s="1">
        <v>14</v>
      </c>
      <c r="V197" s="1">
        <v>13</v>
      </c>
      <c r="W197" s="1">
        <v>17</v>
      </c>
      <c r="X197" s="1">
        <v>13</v>
      </c>
      <c r="Y197" s="1">
        <v>10</v>
      </c>
    </row>
    <row r="198" spans="1:25" x14ac:dyDescent="0.3">
      <c r="A198" s="2">
        <v>42901</v>
      </c>
      <c r="B198" s="1">
        <v>8</v>
      </c>
      <c r="C198" s="1">
        <v>4</v>
      </c>
      <c r="D198" s="1">
        <v>5</v>
      </c>
      <c r="E198" s="1">
        <v>7</v>
      </c>
      <c r="F198" s="1">
        <v>4</v>
      </c>
      <c r="G198" s="1">
        <v>5</v>
      </c>
      <c r="H198" s="1">
        <v>7</v>
      </c>
      <c r="I198" s="1">
        <v>13</v>
      </c>
      <c r="J198" s="1">
        <v>13</v>
      </c>
      <c r="K198" s="1">
        <v>24</v>
      </c>
      <c r="L198" s="1">
        <v>24</v>
      </c>
      <c r="M198" s="1">
        <v>23</v>
      </c>
      <c r="N198" s="1">
        <v>11</v>
      </c>
      <c r="O198" s="1">
        <v>39</v>
      </c>
      <c r="P198" s="1">
        <v>16</v>
      </c>
      <c r="Q198" s="1">
        <v>23</v>
      </c>
      <c r="R198" s="1">
        <v>41</v>
      </c>
      <c r="S198" s="1">
        <v>32</v>
      </c>
      <c r="T198" s="1">
        <v>18</v>
      </c>
      <c r="U198" s="1">
        <v>18</v>
      </c>
      <c r="V198" s="1">
        <v>19</v>
      </c>
      <c r="W198" s="1">
        <v>16</v>
      </c>
      <c r="X198" s="1">
        <v>12</v>
      </c>
      <c r="Y198" s="1">
        <v>6</v>
      </c>
    </row>
    <row r="199" spans="1:25" x14ac:dyDescent="0.3">
      <c r="A199" s="2">
        <v>42902</v>
      </c>
      <c r="B199" s="1">
        <v>4</v>
      </c>
      <c r="C199" s="1">
        <v>5</v>
      </c>
      <c r="D199" s="1">
        <v>7</v>
      </c>
      <c r="E199" s="1">
        <v>4</v>
      </c>
      <c r="F199" s="1">
        <v>8</v>
      </c>
      <c r="G199" s="1">
        <v>2</v>
      </c>
      <c r="H199" s="1">
        <v>2</v>
      </c>
      <c r="I199" s="1">
        <v>20</v>
      </c>
      <c r="J199" s="1">
        <v>17</v>
      </c>
      <c r="K199" s="1">
        <v>29</v>
      </c>
      <c r="L199" s="1">
        <v>31</v>
      </c>
      <c r="M199" s="1">
        <v>18</v>
      </c>
      <c r="N199" s="1">
        <v>22</v>
      </c>
      <c r="O199" s="1">
        <v>25</v>
      </c>
      <c r="P199" s="1">
        <v>25</v>
      </c>
      <c r="Q199" s="1">
        <v>33</v>
      </c>
      <c r="R199" s="1">
        <v>28</v>
      </c>
      <c r="S199" s="1">
        <v>22</v>
      </c>
      <c r="T199" s="1">
        <v>15</v>
      </c>
      <c r="U199" s="1">
        <v>20</v>
      </c>
      <c r="V199" s="1">
        <v>17</v>
      </c>
      <c r="W199" s="1">
        <v>15</v>
      </c>
      <c r="X199" s="1">
        <v>14</v>
      </c>
      <c r="Y199" s="1">
        <v>11</v>
      </c>
    </row>
    <row r="200" spans="1:25" x14ac:dyDescent="0.3">
      <c r="A200" s="2">
        <v>42903</v>
      </c>
      <c r="B200" s="1">
        <v>8</v>
      </c>
      <c r="C200" s="1">
        <v>11</v>
      </c>
      <c r="D200" s="1">
        <v>8</v>
      </c>
      <c r="E200" s="1">
        <v>3</v>
      </c>
      <c r="F200" s="1">
        <v>4</v>
      </c>
      <c r="G200" s="1">
        <v>4</v>
      </c>
      <c r="H200" s="1">
        <v>6</v>
      </c>
      <c r="I200" s="1">
        <v>11</v>
      </c>
      <c r="J200" s="1">
        <v>7</v>
      </c>
      <c r="K200" s="1">
        <v>18</v>
      </c>
      <c r="L200" s="1">
        <v>19</v>
      </c>
      <c r="M200" s="1">
        <v>25</v>
      </c>
      <c r="N200" s="1">
        <v>21</v>
      </c>
      <c r="O200" s="1">
        <v>19</v>
      </c>
      <c r="P200" s="1">
        <v>20</v>
      </c>
      <c r="Q200" s="1">
        <v>33</v>
      </c>
      <c r="R200" s="1">
        <v>23</v>
      </c>
      <c r="S200" s="1">
        <v>31</v>
      </c>
      <c r="T200" s="1">
        <v>40</v>
      </c>
      <c r="U200" s="1">
        <v>17</v>
      </c>
      <c r="V200" s="1">
        <v>30</v>
      </c>
      <c r="W200" s="1">
        <v>23</v>
      </c>
      <c r="X200" s="1">
        <v>25</v>
      </c>
      <c r="Y200" s="1">
        <v>25</v>
      </c>
    </row>
    <row r="201" spans="1:25" x14ac:dyDescent="0.3">
      <c r="A201" s="2">
        <v>42904</v>
      </c>
      <c r="B201" s="1">
        <v>9</v>
      </c>
      <c r="C201" s="1">
        <v>9</v>
      </c>
      <c r="D201" s="1">
        <v>9</v>
      </c>
      <c r="E201" s="1">
        <v>6</v>
      </c>
      <c r="F201" s="1">
        <v>6</v>
      </c>
      <c r="G201" s="1">
        <v>11</v>
      </c>
      <c r="H201" s="1">
        <v>8</v>
      </c>
      <c r="I201" s="1">
        <v>12</v>
      </c>
      <c r="J201" s="1">
        <v>17</v>
      </c>
      <c r="K201" s="1">
        <v>13</v>
      </c>
      <c r="L201" s="1">
        <v>26</v>
      </c>
      <c r="M201" s="1">
        <v>14</v>
      </c>
      <c r="N201" s="1">
        <v>17</v>
      </c>
      <c r="O201" s="1">
        <v>21</v>
      </c>
      <c r="P201" s="1">
        <v>22</v>
      </c>
      <c r="Q201" s="1">
        <v>14</v>
      </c>
      <c r="R201" s="1">
        <v>25</v>
      </c>
      <c r="S201" s="1">
        <v>20</v>
      </c>
      <c r="T201" s="1">
        <v>17</v>
      </c>
      <c r="U201" s="1">
        <v>17</v>
      </c>
      <c r="V201" s="1">
        <v>17</v>
      </c>
      <c r="W201" s="1">
        <v>9</v>
      </c>
      <c r="X201" s="1">
        <v>7</v>
      </c>
      <c r="Y201" s="1">
        <v>11</v>
      </c>
    </row>
    <row r="202" spans="1:25" x14ac:dyDescent="0.3">
      <c r="A202" s="2">
        <v>42905</v>
      </c>
      <c r="B202" s="1">
        <v>9</v>
      </c>
      <c r="C202" s="1">
        <v>6</v>
      </c>
      <c r="D202" s="1">
        <v>6</v>
      </c>
      <c r="E202" s="1">
        <v>8</v>
      </c>
      <c r="F202" s="1">
        <v>5</v>
      </c>
      <c r="G202" s="1">
        <v>5</v>
      </c>
      <c r="H202" s="1">
        <v>5</v>
      </c>
      <c r="I202" s="1">
        <v>19</v>
      </c>
      <c r="J202" s="1">
        <v>25</v>
      </c>
      <c r="K202" s="1">
        <v>25</v>
      </c>
      <c r="L202" s="1">
        <v>21</v>
      </c>
      <c r="M202" s="1">
        <v>32</v>
      </c>
      <c r="N202" s="1">
        <v>39</v>
      </c>
      <c r="O202" s="1">
        <v>34</v>
      </c>
      <c r="P202" s="1">
        <v>36</v>
      </c>
      <c r="Q202" s="1">
        <v>26</v>
      </c>
      <c r="R202" s="1">
        <v>38</v>
      </c>
      <c r="S202" s="1">
        <v>39</v>
      </c>
      <c r="T202" s="1">
        <v>35</v>
      </c>
      <c r="U202" s="1">
        <v>26</v>
      </c>
      <c r="V202" s="1">
        <v>22</v>
      </c>
      <c r="W202" s="1">
        <v>14</v>
      </c>
      <c r="X202" s="1">
        <v>16</v>
      </c>
      <c r="Y202" s="1">
        <v>6</v>
      </c>
    </row>
    <row r="203" spans="1:25" x14ac:dyDescent="0.3">
      <c r="A203" s="2">
        <v>42906</v>
      </c>
      <c r="B203" s="1">
        <v>7</v>
      </c>
      <c r="C203" s="1">
        <v>3</v>
      </c>
      <c r="D203" s="1">
        <v>5</v>
      </c>
      <c r="E203" s="1">
        <v>5</v>
      </c>
      <c r="F203" s="1">
        <v>6</v>
      </c>
      <c r="G203" s="1">
        <v>10</v>
      </c>
      <c r="H203" s="1">
        <v>12</v>
      </c>
      <c r="I203" s="1">
        <v>21</v>
      </c>
      <c r="J203" s="1">
        <v>24</v>
      </c>
      <c r="K203" s="1">
        <v>25</v>
      </c>
      <c r="L203" s="1">
        <v>31</v>
      </c>
      <c r="M203" s="1">
        <v>20</v>
      </c>
      <c r="N203" s="1">
        <v>25</v>
      </c>
      <c r="O203" s="1">
        <v>16</v>
      </c>
      <c r="P203" s="1">
        <v>24</v>
      </c>
      <c r="Q203" s="1">
        <v>35</v>
      </c>
      <c r="R203" s="1">
        <v>47</v>
      </c>
      <c r="S203" s="1">
        <v>23</v>
      </c>
      <c r="T203" s="1">
        <v>36</v>
      </c>
      <c r="U203" s="1">
        <v>23</v>
      </c>
      <c r="V203" s="1">
        <v>11</v>
      </c>
      <c r="W203" s="1">
        <v>22</v>
      </c>
      <c r="X203" s="1">
        <v>25</v>
      </c>
      <c r="Y203" s="1">
        <v>10</v>
      </c>
    </row>
    <row r="204" spans="1:25" x14ac:dyDescent="0.3">
      <c r="A204" s="2">
        <v>42907</v>
      </c>
      <c r="B204" s="1">
        <v>13</v>
      </c>
      <c r="C204" s="1">
        <v>5</v>
      </c>
      <c r="D204" s="1">
        <v>8</v>
      </c>
      <c r="E204" s="1">
        <v>3</v>
      </c>
      <c r="F204" s="1">
        <v>3</v>
      </c>
      <c r="G204" s="1">
        <v>13</v>
      </c>
      <c r="H204" s="1">
        <v>23</v>
      </c>
      <c r="I204" s="1">
        <v>13</v>
      </c>
      <c r="J204" s="1">
        <v>28</v>
      </c>
      <c r="K204" s="1">
        <v>19</v>
      </c>
      <c r="L204" s="1">
        <v>21</v>
      </c>
      <c r="M204" s="1">
        <v>26</v>
      </c>
      <c r="N204" s="1">
        <v>23</v>
      </c>
      <c r="O204" s="1">
        <v>21</v>
      </c>
      <c r="P204" s="1">
        <v>22</v>
      </c>
      <c r="Q204" s="1">
        <v>13</v>
      </c>
      <c r="R204" s="1">
        <v>124</v>
      </c>
      <c r="S204" s="1">
        <v>118</v>
      </c>
      <c r="T204" s="1">
        <v>37</v>
      </c>
      <c r="U204" s="1">
        <v>44</v>
      </c>
      <c r="V204" s="1">
        <v>28</v>
      </c>
      <c r="W204" s="1">
        <v>19</v>
      </c>
      <c r="X204" s="1">
        <v>18</v>
      </c>
      <c r="Y204" s="1">
        <v>12</v>
      </c>
    </row>
    <row r="205" spans="1:25" x14ac:dyDescent="0.3">
      <c r="A205" s="2">
        <v>42908</v>
      </c>
      <c r="B205" s="1">
        <v>4</v>
      </c>
      <c r="C205" s="1">
        <v>10</v>
      </c>
      <c r="D205" s="1">
        <v>5</v>
      </c>
      <c r="E205" s="1">
        <v>2</v>
      </c>
      <c r="F205" s="1">
        <v>8</v>
      </c>
      <c r="G205" s="1">
        <v>10</v>
      </c>
      <c r="H205" s="1">
        <v>14</v>
      </c>
      <c r="I205" s="1">
        <v>20</v>
      </c>
      <c r="J205" s="1">
        <v>16</v>
      </c>
      <c r="K205" s="1">
        <v>25</v>
      </c>
      <c r="L205" s="1">
        <v>24</v>
      </c>
      <c r="M205" s="1">
        <v>29</v>
      </c>
      <c r="N205" s="1">
        <v>31</v>
      </c>
      <c r="O205" s="1">
        <v>34</v>
      </c>
      <c r="P205" s="1">
        <v>39</v>
      </c>
      <c r="Q205" s="1">
        <v>32</v>
      </c>
      <c r="R205" s="1">
        <v>36</v>
      </c>
      <c r="S205" s="1">
        <v>24</v>
      </c>
      <c r="T205" s="1">
        <v>22</v>
      </c>
      <c r="U205" s="1">
        <v>17</v>
      </c>
      <c r="V205" s="1">
        <v>16</v>
      </c>
      <c r="W205" s="1">
        <v>21</v>
      </c>
      <c r="X205" s="1">
        <v>13</v>
      </c>
      <c r="Y205" s="1">
        <v>14</v>
      </c>
    </row>
    <row r="206" spans="1:25" x14ac:dyDescent="0.3">
      <c r="A206" s="2">
        <v>42909</v>
      </c>
      <c r="B206" s="1">
        <v>5</v>
      </c>
      <c r="C206" s="1">
        <v>5</v>
      </c>
      <c r="D206" s="1">
        <v>4</v>
      </c>
      <c r="E206" s="1">
        <v>5</v>
      </c>
      <c r="F206" s="1">
        <v>4</v>
      </c>
      <c r="G206" s="1">
        <v>7</v>
      </c>
      <c r="H206" s="1">
        <v>8</v>
      </c>
      <c r="I206" s="1">
        <v>15</v>
      </c>
      <c r="J206" s="1">
        <v>14</v>
      </c>
      <c r="K206" s="1">
        <v>23</v>
      </c>
      <c r="L206" s="1">
        <v>22</v>
      </c>
      <c r="M206" s="1">
        <v>31</v>
      </c>
      <c r="N206" s="1">
        <v>16</v>
      </c>
      <c r="O206" s="1">
        <v>23</v>
      </c>
      <c r="P206" s="1">
        <v>24</v>
      </c>
      <c r="Q206" s="1">
        <v>26</v>
      </c>
      <c r="R206" s="1">
        <v>39</v>
      </c>
      <c r="S206" s="1">
        <v>14</v>
      </c>
      <c r="T206" s="1">
        <v>19</v>
      </c>
      <c r="U206" s="1">
        <v>35</v>
      </c>
      <c r="V206" s="1">
        <v>16</v>
      </c>
      <c r="W206" s="1">
        <v>13</v>
      </c>
      <c r="X206" s="1">
        <v>18</v>
      </c>
      <c r="Y206" s="1">
        <v>17</v>
      </c>
    </row>
    <row r="207" spans="1:25" x14ac:dyDescent="0.3">
      <c r="A207" s="2">
        <v>42910</v>
      </c>
      <c r="B207" s="1">
        <v>10</v>
      </c>
      <c r="C207" s="1">
        <v>14</v>
      </c>
      <c r="D207" s="1">
        <v>22</v>
      </c>
      <c r="E207" s="1">
        <v>7</v>
      </c>
      <c r="F207" s="1">
        <v>3</v>
      </c>
      <c r="G207" s="1">
        <v>22</v>
      </c>
      <c r="H207" s="1">
        <v>36</v>
      </c>
      <c r="I207" s="1">
        <v>29</v>
      </c>
      <c r="J207" s="1">
        <v>28</v>
      </c>
      <c r="K207" s="1">
        <v>22</v>
      </c>
      <c r="L207" s="1">
        <v>21</v>
      </c>
      <c r="M207" s="1">
        <v>28</v>
      </c>
      <c r="N207" s="1">
        <v>23</v>
      </c>
      <c r="O207" s="1">
        <v>25</v>
      </c>
      <c r="P207" s="1">
        <v>24</v>
      </c>
      <c r="Q207" s="1">
        <v>14</v>
      </c>
      <c r="R207" s="1">
        <v>25</v>
      </c>
      <c r="S207" s="1">
        <v>15</v>
      </c>
      <c r="T207" s="1">
        <v>22</v>
      </c>
      <c r="U207" s="1">
        <v>17</v>
      </c>
      <c r="V207" s="1">
        <v>17</v>
      </c>
      <c r="W207" s="1">
        <v>15</v>
      </c>
      <c r="X207" s="1">
        <v>21</v>
      </c>
      <c r="Y207" s="1">
        <v>9</v>
      </c>
    </row>
    <row r="208" spans="1:25" x14ac:dyDescent="0.3">
      <c r="A208" s="2">
        <v>42911</v>
      </c>
      <c r="B208" s="1">
        <v>7</v>
      </c>
      <c r="C208" s="1">
        <v>8</v>
      </c>
      <c r="D208" s="1">
        <v>8</v>
      </c>
      <c r="E208" s="1">
        <v>5</v>
      </c>
      <c r="F208" s="1">
        <v>2</v>
      </c>
      <c r="G208" s="1">
        <v>6</v>
      </c>
      <c r="H208" s="1">
        <v>12</v>
      </c>
      <c r="I208" s="1">
        <v>10</v>
      </c>
      <c r="J208" s="1">
        <v>15</v>
      </c>
      <c r="K208" s="1">
        <v>15</v>
      </c>
      <c r="L208" s="1">
        <v>13</v>
      </c>
      <c r="M208" s="1">
        <v>18</v>
      </c>
      <c r="N208" s="1">
        <v>21</v>
      </c>
      <c r="O208" s="1">
        <v>10</v>
      </c>
      <c r="P208" s="1">
        <v>25</v>
      </c>
      <c r="Q208" s="1">
        <v>15</v>
      </c>
      <c r="R208" s="1">
        <v>20</v>
      </c>
      <c r="S208" s="1">
        <v>10</v>
      </c>
      <c r="T208" s="1">
        <v>15</v>
      </c>
      <c r="U208" s="1">
        <v>16</v>
      </c>
      <c r="V208" s="1">
        <v>18</v>
      </c>
      <c r="W208" s="1">
        <v>9</v>
      </c>
      <c r="X208" s="1">
        <v>11</v>
      </c>
      <c r="Y208" s="1">
        <v>16</v>
      </c>
    </row>
    <row r="209" spans="1:25" x14ac:dyDescent="0.3">
      <c r="A209" s="2">
        <v>42912</v>
      </c>
      <c r="B209" s="1">
        <v>8</v>
      </c>
      <c r="C209" s="1">
        <v>3</v>
      </c>
      <c r="D209" s="1">
        <v>4</v>
      </c>
      <c r="E209" s="1">
        <v>4</v>
      </c>
      <c r="F209" s="1">
        <v>5</v>
      </c>
      <c r="G209" s="1">
        <v>7</v>
      </c>
      <c r="H209" s="1">
        <v>7</v>
      </c>
      <c r="I209" s="1">
        <v>20</v>
      </c>
      <c r="J209" s="1">
        <v>14</v>
      </c>
      <c r="K209" s="1">
        <v>24</v>
      </c>
      <c r="L209" s="1">
        <v>16</v>
      </c>
      <c r="M209" s="1">
        <v>30</v>
      </c>
      <c r="N209" s="1">
        <v>17</v>
      </c>
      <c r="O209" s="1">
        <v>17</v>
      </c>
      <c r="P209" s="1">
        <v>16</v>
      </c>
      <c r="Q209" s="1">
        <v>13</v>
      </c>
      <c r="R209" s="1">
        <v>24</v>
      </c>
      <c r="S209" s="1">
        <v>26</v>
      </c>
      <c r="T209" s="1">
        <v>23</v>
      </c>
      <c r="U209" s="1">
        <v>14</v>
      </c>
      <c r="V209" s="1">
        <v>14</v>
      </c>
      <c r="W209" s="1">
        <v>17</v>
      </c>
      <c r="X209" s="1">
        <v>14</v>
      </c>
      <c r="Y209" s="1">
        <v>7</v>
      </c>
    </row>
    <row r="210" spans="1:25" x14ac:dyDescent="0.3">
      <c r="A210" s="2">
        <v>42913</v>
      </c>
      <c r="B210" s="1">
        <v>6</v>
      </c>
      <c r="C210" s="1">
        <v>7</v>
      </c>
      <c r="D210" s="1">
        <v>7</v>
      </c>
      <c r="E210" s="1">
        <v>6</v>
      </c>
      <c r="F210" s="1">
        <v>5</v>
      </c>
      <c r="G210" s="1">
        <v>10</v>
      </c>
      <c r="H210" s="1">
        <v>15</v>
      </c>
      <c r="I210" s="1">
        <v>16</v>
      </c>
      <c r="J210" s="1">
        <v>27</v>
      </c>
      <c r="K210" s="1">
        <v>15</v>
      </c>
      <c r="L210" s="1">
        <v>21</v>
      </c>
      <c r="M210" s="1">
        <v>22</v>
      </c>
      <c r="N210" s="1">
        <v>24</v>
      </c>
      <c r="O210" s="1">
        <v>19</v>
      </c>
      <c r="P210" s="1">
        <v>13</v>
      </c>
      <c r="Q210" s="1">
        <v>29</v>
      </c>
      <c r="R210" s="1">
        <v>19</v>
      </c>
      <c r="S210" s="1">
        <v>27</v>
      </c>
      <c r="T210" s="1">
        <v>12</v>
      </c>
      <c r="U210" s="1">
        <v>21</v>
      </c>
      <c r="V210" s="1">
        <v>16</v>
      </c>
      <c r="W210" s="1">
        <v>17</v>
      </c>
      <c r="X210" s="1">
        <v>7</v>
      </c>
      <c r="Y210" s="1">
        <v>9</v>
      </c>
    </row>
    <row r="211" spans="1:25" x14ac:dyDescent="0.3">
      <c r="A211" s="2">
        <v>42914</v>
      </c>
      <c r="B211" s="1">
        <v>7</v>
      </c>
      <c r="C211" s="1">
        <v>4</v>
      </c>
      <c r="D211" s="1">
        <v>6</v>
      </c>
      <c r="E211" s="1">
        <v>0</v>
      </c>
      <c r="F211" s="1">
        <v>3</v>
      </c>
      <c r="G211" s="1">
        <v>6</v>
      </c>
      <c r="H211" s="1">
        <v>12</v>
      </c>
      <c r="I211" s="1">
        <v>27</v>
      </c>
      <c r="J211" s="1">
        <v>23</v>
      </c>
      <c r="K211" s="1">
        <v>22</v>
      </c>
      <c r="L211" s="1">
        <v>16</v>
      </c>
      <c r="M211" s="1">
        <v>18</v>
      </c>
      <c r="N211" s="1">
        <v>24</v>
      </c>
      <c r="O211" s="1">
        <v>32</v>
      </c>
      <c r="P211" s="1">
        <v>31</v>
      </c>
      <c r="Q211" s="1">
        <v>34</v>
      </c>
      <c r="R211" s="1">
        <v>26</v>
      </c>
      <c r="S211" s="1">
        <v>25</v>
      </c>
      <c r="T211" s="1">
        <v>40</v>
      </c>
      <c r="U211" s="1">
        <v>18</v>
      </c>
      <c r="V211" s="1">
        <v>12</v>
      </c>
      <c r="W211" s="1">
        <v>15</v>
      </c>
      <c r="X211" s="1">
        <v>12</v>
      </c>
      <c r="Y211" s="1">
        <v>14</v>
      </c>
    </row>
    <row r="212" spans="1:25" x14ac:dyDescent="0.3">
      <c r="A212" s="2">
        <v>42915</v>
      </c>
      <c r="B212" s="1">
        <v>8</v>
      </c>
      <c r="C212" s="1">
        <v>12</v>
      </c>
      <c r="D212" s="1">
        <v>3</v>
      </c>
      <c r="E212" s="1">
        <v>3</v>
      </c>
      <c r="F212" s="1">
        <v>2</v>
      </c>
      <c r="G212" s="1">
        <v>5</v>
      </c>
      <c r="H212" s="1">
        <v>8</v>
      </c>
      <c r="I212" s="1">
        <v>17</v>
      </c>
      <c r="J212" s="1">
        <v>21</v>
      </c>
      <c r="K212" s="1">
        <v>19</v>
      </c>
      <c r="L212" s="1">
        <v>19</v>
      </c>
      <c r="M212" s="1">
        <v>34</v>
      </c>
      <c r="N212" s="1">
        <v>30</v>
      </c>
      <c r="O212" s="1">
        <v>32</v>
      </c>
      <c r="P212" s="1">
        <v>33</v>
      </c>
      <c r="Q212" s="1">
        <v>18</v>
      </c>
      <c r="R212" s="1">
        <v>31</v>
      </c>
      <c r="S212" s="1">
        <v>23</v>
      </c>
      <c r="T212" s="1">
        <v>24</v>
      </c>
      <c r="U212" s="1">
        <v>22</v>
      </c>
      <c r="V212" s="1">
        <v>17</v>
      </c>
      <c r="W212" s="1">
        <v>10</v>
      </c>
      <c r="X212" s="1">
        <v>5</v>
      </c>
      <c r="Y212" s="1">
        <v>13</v>
      </c>
    </row>
    <row r="213" spans="1:25" x14ac:dyDescent="0.3">
      <c r="A213" s="2">
        <v>42916</v>
      </c>
      <c r="B213" s="1">
        <v>5</v>
      </c>
      <c r="C213" s="1">
        <v>12</v>
      </c>
      <c r="D213" s="1">
        <v>8</v>
      </c>
      <c r="E213" s="1">
        <v>7</v>
      </c>
      <c r="F213" s="1">
        <v>4</v>
      </c>
      <c r="G213" s="1">
        <v>10</v>
      </c>
      <c r="H213" s="1">
        <v>13</v>
      </c>
      <c r="I213" s="1">
        <v>10</v>
      </c>
      <c r="J213" s="1">
        <v>14</v>
      </c>
      <c r="K213" s="1">
        <v>28</v>
      </c>
      <c r="L213" s="1">
        <v>28</v>
      </c>
      <c r="M213" s="1">
        <v>28</v>
      </c>
      <c r="N213" s="1">
        <v>26</v>
      </c>
      <c r="O213" s="1">
        <v>35</v>
      </c>
      <c r="P213" s="1">
        <v>38</v>
      </c>
      <c r="Q213" s="1">
        <v>47</v>
      </c>
      <c r="R213" s="1">
        <v>34</v>
      </c>
      <c r="S213" s="1">
        <v>23</v>
      </c>
      <c r="T213" s="1">
        <v>25</v>
      </c>
      <c r="U213" s="1">
        <v>26</v>
      </c>
      <c r="V213" s="1">
        <v>20</v>
      </c>
      <c r="W213" s="1">
        <v>24</v>
      </c>
      <c r="X213" s="1">
        <v>8</v>
      </c>
      <c r="Y213" s="1">
        <v>11</v>
      </c>
    </row>
    <row r="214" spans="1:25" x14ac:dyDescent="0.3">
      <c r="A214" s="2">
        <v>42917</v>
      </c>
      <c r="B214" s="1">
        <v>9</v>
      </c>
      <c r="C214" s="1">
        <v>10</v>
      </c>
      <c r="D214" s="1">
        <v>9</v>
      </c>
      <c r="E214" s="1">
        <v>7</v>
      </c>
      <c r="F214" s="1">
        <v>3</v>
      </c>
      <c r="G214" s="1">
        <v>4</v>
      </c>
      <c r="H214" s="1">
        <v>8</v>
      </c>
      <c r="I214" s="1">
        <v>9</v>
      </c>
      <c r="J214" s="1">
        <v>19</v>
      </c>
      <c r="K214" s="1">
        <v>12</v>
      </c>
      <c r="L214" s="1">
        <v>16</v>
      </c>
      <c r="M214" s="1">
        <v>21</v>
      </c>
      <c r="N214" s="1">
        <v>31</v>
      </c>
      <c r="O214" s="1">
        <v>22</v>
      </c>
      <c r="P214" s="1">
        <v>32</v>
      </c>
      <c r="Q214" s="1">
        <v>16</v>
      </c>
      <c r="R214" s="1">
        <v>22</v>
      </c>
      <c r="S214" s="1">
        <v>57</v>
      </c>
      <c r="T214" s="1">
        <v>15</v>
      </c>
      <c r="U214" s="1">
        <v>25</v>
      </c>
      <c r="V214" s="1">
        <v>17</v>
      </c>
      <c r="W214" s="1">
        <v>27</v>
      </c>
      <c r="X214" s="1">
        <v>7</v>
      </c>
      <c r="Y214" s="1">
        <v>20</v>
      </c>
    </row>
    <row r="215" spans="1:25" x14ac:dyDescent="0.3">
      <c r="A215" s="2">
        <v>42918</v>
      </c>
      <c r="B215" s="1">
        <v>17</v>
      </c>
      <c r="C215" s="1">
        <v>9</v>
      </c>
      <c r="D215" s="1">
        <v>2</v>
      </c>
      <c r="E215" s="1">
        <v>6</v>
      </c>
      <c r="F215" s="1">
        <v>6</v>
      </c>
      <c r="G215" s="1">
        <v>5</v>
      </c>
      <c r="H215" s="1">
        <v>6</v>
      </c>
      <c r="I215" s="1">
        <v>7</v>
      </c>
      <c r="J215" s="1">
        <v>20</v>
      </c>
      <c r="K215" s="1">
        <v>26</v>
      </c>
      <c r="L215" s="1">
        <v>17</v>
      </c>
      <c r="M215" s="1">
        <v>20</v>
      </c>
      <c r="N215" s="1">
        <v>18</v>
      </c>
      <c r="O215" s="1">
        <v>17</v>
      </c>
      <c r="P215" s="1">
        <v>36</v>
      </c>
      <c r="Q215" s="1">
        <v>22</v>
      </c>
      <c r="R215" s="1">
        <v>28</v>
      </c>
      <c r="S215" s="1">
        <v>20</v>
      </c>
      <c r="T215" s="1">
        <v>25</v>
      </c>
      <c r="U215" s="1">
        <v>24</v>
      </c>
      <c r="V215" s="1">
        <v>17</v>
      </c>
      <c r="W215" s="1">
        <v>24</v>
      </c>
      <c r="X215" s="1">
        <v>9</v>
      </c>
      <c r="Y215" s="1">
        <v>5</v>
      </c>
    </row>
    <row r="216" spans="1:25" x14ac:dyDescent="0.3">
      <c r="A216" s="2">
        <v>42919</v>
      </c>
      <c r="B216" s="1">
        <v>13</v>
      </c>
      <c r="C216" s="1">
        <v>7</v>
      </c>
      <c r="D216" s="1">
        <v>9</v>
      </c>
      <c r="E216" s="1">
        <v>5</v>
      </c>
      <c r="F216" s="1">
        <v>4</v>
      </c>
      <c r="G216" s="1">
        <v>5</v>
      </c>
      <c r="H216" s="1">
        <v>4</v>
      </c>
      <c r="I216" s="1">
        <v>10</v>
      </c>
      <c r="J216" s="1">
        <v>22</v>
      </c>
      <c r="K216" s="1">
        <v>18</v>
      </c>
      <c r="L216" s="1">
        <v>16</v>
      </c>
      <c r="M216" s="1">
        <v>16</v>
      </c>
      <c r="N216" s="1">
        <v>23</v>
      </c>
      <c r="O216" s="1">
        <v>22</v>
      </c>
      <c r="P216" s="1">
        <v>20</v>
      </c>
      <c r="Q216" s="1">
        <v>16</v>
      </c>
      <c r="R216" s="1">
        <v>17</v>
      </c>
      <c r="S216" s="1">
        <v>25</v>
      </c>
      <c r="T216" s="1">
        <v>16</v>
      </c>
      <c r="U216" s="1">
        <v>21</v>
      </c>
      <c r="V216" s="1">
        <v>11</v>
      </c>
      <c r="W216" s="1">
        <v>19</v>
      </c>
      <c r="X216" s="1">
        <v>12</v>
      </c>
      <c r="Y216" s="1">
        <v>8</v>
      </c>
    </row>
    <row r="217" spans="1:25" x14ac:dyDescent="0.3">
      <c r="A217" s="2">
        <v>42920</v>
      </c>
      <c r="B217" s="1">
        <v>17</v>
      </c>
      <c r="C217" s="1">
        <v>4</v>
      </c>
      <c r="D217" s="1">
        <v>7</v>
      </c>
      <c r="E217" s="1">
        <v>5</v>
      </c>
      <c r="F217" s="1">
        <v>4</v>
      </c>
      <c r="G217" s="1">
        <v>4</v>
      </c>
      <c r="H217" s="1">
        <v>4</v>
      </c>
      <c r="I217" s="1">
        <v>12</v>
      </c>
      <c r="J217" s="1">
        <v>9</v>
      </c>
      <c r="K217" s="1">
        <v>13</v>
      </c>
      <c r="L217" s="1">
        <v>20</v>
      </c>
      <c r="M217" s="1">
        <v>14</v>
      </c>
      <c r="N217" s="1">
        <v>23</v>
      </c>
      <c r="O217" s="1">
        <v>19</v>
      </c>
      <c r="P217" s="1">
        <v>16</v>
      </c>
      <c r="Q217" s="1">
        <v>19</v>
      </c>
      <c r="R217" s="1">
        <v>18</v>
      </c>
      <c r="S217" s="1">
        <v>14</v>
      </c>
      <c r="T217" s="1">
        <v>16</v>
      </c>
      <c r="U217" s="1">
        <v>20</v>
      </c>
      <c r="V217" s="1">
        <v>17</v>
      </c>
      <c r="W217" s="1">
        <v>19</v>
      </c>
      <c r="X217" s="1">
        <v>23</v>
      </c>
      <c r="Y217" s="1">
        <v>15</v>
      </c>
    </row>
    <row r="218" spans="1:25" x14ac:dyDescent="0.3">
      <c r="A218" s="2">
        <v>42921</v>
      </c>
      <c r="B218" s="1">
        <v>8</v>
      </c>
      <c r="C218" s="1">
        <v>10</v>
      </c>
      <c r="D218" s="1">
        <v>3</v>
      </c>
      <c r="E218" s="1">
        <v>2</v>
      </c>
      <c r="F218" s="1">
        <v>5</v>
      </c>
      <c r="G218" s="1">
        <v>11</v>
      </c>
      <c r="H218" s="1">
        <v>10</v>
      </c>
      <c r="I218" s="1">
        <v>12</v>
      </c>
      <c r="J218" s="1">
        <v>14</v>
      </c>
      <c r="K218" s="1">
        <v>20</v>
      </c>
      <c r="L218" s="1">
        <v>24</v>
      </c>
      <c r="M218" s="1">
        <v>31</v>
      </c>
      <c r="N218" s="1">
        <v>21</v>
      </c>
      <c r="O218" s="1">
        <v>25</v>
      </c>
      <c r="P218" s="1">
        <v>25</v>
      </c>
      <c r="Q218" s="1">
        <v>25</v>
      </c>
      <c r="R218" s="1">
        <v>23</v>
      </c>
      <c r="S218" s="1">
        <v>29</v>
      </c>
      <c r="T218" s="1">
        <v>16</v>
      </c>
      <c r="U218" s="1">
        <v>9</v>
      </c>
      <c r="V218" s="1">
        <v>16</v>
      </c>
      <c r="W218" s="1">
        <v>17</v>
      </c>
      <c r="X218" s="1">
        <v>10</v>
      </c>
      <c r="Y218" s="1">
        <v>7</v>
      </c>
    </row>
    <row r="219" spans="1:25" x14ac:dyDescent="0.3">
      <c r="A219" s="2">
        <v>42922</v>
      </c>
      <c r="B219" s="1">
        <v>10</v>
      </c>
      <c r="C219" s="1">
        <v>10</v>
      </c>
      <c r="D219" s="1">
        <v>7</v>
      </c>
      <c r="E219" s="1">
        <v>11</v>
      </c>
      <c r="F219" s="1">
        <v>4</v>
      </c>
      <c r="G219" s="1">
        <v>3</v>
      </c>
      <c r="H219" s="1">
        <v>9</v>
      </c>
      <c r="I219" s="1">
        <v>5</v>
      </c>
      <c r="J219" s="1">
        <v>34</v>
      </c>
      <c r="K219" s="1">
        <v>18</v>
      </c>
      <c r="L219" s="1">
        <v>27</v>
      </c>
      <c r="M219" s="1">
        <v>18</v>
      </c>
      <c r="N219" s="1">
        <v>15</v>
      </c>
      <c r="O219" s="1">
        <v>36</v>
      </c>
      <c r="P219" s="1">
        <v>23</v>
      </c>
      <c r="Q219" s="1">
        <v>21</v>
      </c>
      <c r="R219" s="1">
        <v>38</v>
      </c>
      <c r="S219" s="1">
        <v>41</v>
      </c>
      <c r="T219" s="1">
        <v>22</v>
      </c>
      <c r="U219" s="1">
        <v>21</v>
      </c>
      <c r="V219" s="1">
        <v>10</v>
      </c>
      <c r="W219" s="1">
        <v>17</v>
      </c>
      <c r="X219" s="1">
        <v>9</v>
      </c>
      <c r="Y219" s="1">
        <v>13</v>
      </c>
    </row>
    <row r="220" spans="1:25" x14ac:dyDescent="0.3">
      <c r="A220" s="2">
        <v>42923</v>
      </c>
      <c r="B220" s="1">
        <v>6</v>
      </c>
      <c r="C220" s="1">
        <v>12</v>
      </c>
      <c r="D220" s="1">
        <v>5</v>
      </c>
      <c r="E220" s="1">
        <v>6</v>
      </c>
      <c r="F220" s="1">
        <v>4</v>
      </c>
      <c r="G220" s="1">
        <v>9</v>
      </c>
      <c r="H220" s="1">
        <v>8</v>
      </c>
      <c r="I220" s="1">
        <v>24</v>
      </c>
      <c r="J220" s="1">
        <v>30</v>
      </c>
      <c r="K220" s="1">
        <v>37</v>
      </c>
      <c r="L220" s="1">
        <v>19</v>
      </c>
      <c r="M220" s="1">
        <v>13</v>
      </c>
      <c r="N220" s="1">
        <v>32</v>
      </c>
      <c r="O220" s="1">
        <v>19</v>
      </c>
      <c r="P220" s="1">
        <v>27</v>
      </c>
      <c r="Q220" s="1">
        <v>31</v>
      </c>
      <c r="R220" s="1">
        <v>37</v>
      </c>
      <c r="S220" s="1">
        <v>21</v>
      </c>
      <c r="T220" s="1">
        <v>22</v>
      </c>
      <c r="U220" s="1">
        <v>13</v>
      </c>
      <c r="V220" s="1">
        <v>17</v>
      </c>
      <c r="W220" s="1">
        <v>13</v>
      </c>
      <c r="X220" s="1">
        <v>21</v>
      </c>
      <c r="Y220" s="1">
        <v>8</v>
      </c>
    </row>
    <row r="221" spans="1:25" x14ac:dyDescent="0.3">
      <c r="A221" s="2">
        <v>42924</v>
      </c>
      <c r="B221" s="1">
        <v>5</v>
      </c>
      <c r="C221" s="1">
        <v>5</v>
      </c>
      <c r="D221" s="1">
        <v>14</v>
      </c>
      <c r="E221" s="1">
        <v>6</v>
      </c>
      <c r="F221" s="1">
        <v>6</v>
      </c>
      <c r="G221" s="1">
        <v>4</v>
      </c>
      <c r="H221" s="1">
        <v>3</v>
      </c>
      <c r="I221" s="1">
        <v>8</v>
      </c>
      <c r="J221" s="1">
        <v>11</v>
      </c>
      <c r="K221" s="1">
        <v>2</v>
      </c>
      <c r="L221" s="1">
        <v>10</v>
      </c>
      <c r="M221" s="1">
        <v>19</v>
      </c>
      <c r="N221" s="1">
        <v>9</v>
      </c>
      <c r="O221" s="1">
        <v>0</v>
      </c>
      <c r="P221" s="1">
        <v>5</v>
      </c>
      <c r="Q221" s="1">
        <v>9</v>
      </c>
      <c r="R221" s="1">
        <v>9</v>
      </c>
      <c r="S221" s="1">
        <v>24</v>
      </c>
      <c r="T221" s="1">
        <v>14</v>
      </c>
      <c r="U221" s="1">
        <v>22</v>
      </c>
      <c r="V221" s="1">
        <v>18</v>
      </c>
      <c r="W221" s="1">
        <v>21</v>
      </c>
      <c r="X221" s="1">
        <v>13</v>
      </c>
      <c r="Y221" s="1">
        <v>12</v>
      </c>
    </row>
    <row r="222" spans="1:25" x14ac:dyDescent="0.3">
      <c r="A222" s="2">
        <v>42925</v>
      </c>
      <c r="B222" s="1">
        <v>12</v>
      </c>
      <c r="C222" s="1">
        <v>6</v>
      </c>
      <c r="D222" s="1">
        <v>9</v>
      </c>
      <c r="E222" s="1">
        <v>9</v>
      </c>
      <c r="F222" s="1">
        <v>13</v>
      </c>
      <c r="G222" s="1">
        <v>2</v>
      </c>
      <c r="H222" s="1">
        <v>4</v>
      </c>
      <c r="I222" s="1">
        <v>15</v>
      </c>
      <c r="J222" s="1">
        <v>9</v>
      </c>
      <c r="K222" s="1">
        <v>12</v>
      </c>
      <c r="L222" s="1">
        <v>16</v>
      </c>
      <c r="M222" s="1">
        <v>17</v>
      </c>
      <c r="N222" s="1">
        <v>17</v>
      </c>
      <c r="O222" s="1">
        <v>20</v>
      </c>
      <c r="P222" s="1">
        <v>22</v>
      </c>
      <c r="Q222" s="1">
        <v>11</v>
      </c>
      <c r="R222" s="1">
        <v>12</v>
      </c>
      <c r="S222" s="1">
        <v>14</v>
      </c>
      <c r="T222" s="1">
        <v>16</v>
      </c>
      <c r="U222" s="1">
        <v>18</v>
      </c>
      <c r="V222" s="1">
        <v>18</v>
      </c>
      <c r="W222" s="1">
        <v>12</v>
      </c>
      <c r="X222" s="1">
        <v>11</v>
      </c>
      <c r="Y222" s="1">
        <v>8</v>
      </c>
    </row>
    <row r="223" spans="1:25" x14ac:dyDescent="0.3">
      <c r="A223" s="2">
        <v>42926</v>
      </c>
      <c r="B223" s="1">
        <v>7</v>
      </c>
      <c r="C223" s="1">
        <v>6</v>
      </c>
      <c r="D223" s="1">
        <v>5</v>
      </c>
      <c r="E223" s="1">
        <v>2</v>
      </c>
      <c r="F223" s="1">
        <v>5</v>
      </c>
      <c r="G223" s="1">
        <v>4</v>
      </c>
      <c r="H223" s="1">
        <v>9</v>
      </c>
      <c r="I223" s="1">
        <v>18</v>
      </c>
      <c r="J223" s="1">
        <v>17</v>
      </c>
      <c r="K223" s="1">
        <v>20</v>
      </c>
      <c r="L223" s="1">
        <v>25</v>
      </c>
      <c r="M223" s="1">
        <v>28</v>
      </c>
      <c r="N223" s="1">
        <v>21</v>
      </c>
      <c r="O223" s="1">
        <v>19</v>
      </c>
      <c r="P223" s="1">
        <v>25</v>
      </c>
      <c r="Q223" s="1">
        <v>22</v>
      </c>
      <c r="R223" s="1">
        <v>32</v>
      </c>
      <c r="S223" s="1">
        <v>19</v>
      </c>
      <c r="T223" s="1">
        <v>34</v>
      </c>
      <c r="U223" s="1">
        <v>18</v>
      </c>
      <c r="V223" s="1">
        <v>11</v>
      </c>
      <c r="W223" s="1">
        <v>16</v>
      </c>
      <c r="X223" s="1">
        <v>9</v>
      </c>
      <c r="Y223" s="1">
        <v>7</v>
      </c>
    </row>
    <row r="224" spans="1:25" x14ac:dyDescent="0.3">
      <c r="A224" s="2">
        <v>42927</v>
      </c>
      <c r="B224" s="1">
        <v>3</v>
      </c>
      <c r="C224" s="1">
        <v>4</v>
      </c>
      <c r="D224" s="1">
        <v>4</v>
      </c>
      <c r="E224" s="1">
        <v>3</v>
      </c>
      <c r="F224" s="1">
        <v>2</v>
      </c>
      <c r="G224" s="1">
        <v>5</v>
      </c>
      <c r="H224" s="1">
        <v>8</v>
      </c>
      <c r="I224" s="1">
        <v>20</v>
      </c>
      <c r="J224" s="1">
        <v>7</v>
      </c>
      <c r="K224" s="1">
        <v>17</v>
      </c>
      <c r="L224" s="1">
        <v>16</v>
      </c>
      <c r="M224" s="1">
        <v>27</v>
      </c>
      <c r="N224" s="1">
        <v>24</v>
      </c>
      <c r="O224" s="1">
        <v>21</v>
      </c>
      <c r="P224" s="1">
        <v>27</v>
      </c>
      <c r="Q224" s="1">
        <v>17</v>
      </c>
      <c r="R224" s="1">
        <v>27</v>
      </c>
      <c r="S224" s="1">
        <v>29</v>
      </c>
      <c r="T224" s="1">
        <v>18</v>
      </c>
      <c r="U224" s="1">
        <v>35</v>
      </c>
      <c r="V224" s="1">
        <v>16</v>
      </c>
      <c r="W224" s="1">
        <v>18</v>
      </c>
      <c r="X224" s="1">
        <v>6</v>
      </c>
      <c r="Y224" s="1">
        <v>14</v>
      </c>
    </row>
    <row r="225" spans="1:25" x14ac:dyDescent="0.3">
      <c r="A225" s="2">
        <v>42928</v>
      </c>
      <c r="B225" s="1">
        <v>3</v>
      </c>
      <c r="C225" s="1">
        <v>7</v>
      </c>
      <c r="D225" s="1">
        <v>5</v>
      </c>
      <c r="E225" s="1">
        <v>7</v>
      </c>
      <c r="F225" s="1">
        <v>4</v>
      </c>
      <c r="G225" s="1">
        <v>6</v>
      </c>
      <c r="H225" s="1">
        <v>8</v>
      </c>
      <c r="I225" s="1">
        <v>15</v>
      </c>
      <c r="J225" s="1">
        <v>18</v>
      </c>
      <c r="K225" s="1">
        <v>19</v>
      </c>
      <c r="L225" s="1">
        <v>20</v>
      </c>
      <c r="M225" s="1">
        <v>26</v>
      </c>
      <c r="N225" s="1">
        <v>31</v>
      </c>
      <c r="O225" s="1">
        <v>16</v>
      </c>
      <c r="P225" s="1">
        <v>32</v>
      </c>
      <c r="Q225" s="1">
        <v>19</v>
      </c>
      <c r="R225" s="1">
        <v>27</v>
      </c>
      <c r="S225" s="1">
        <v>21</v>
      </c>
      <c r="T225" s="1">
        <v>32</v>
      </c>
      <c r="U225" s="1">
        <v>15</v>
      </c>
      <c r="V225" s="1">
        <v>16</v>
      </c>
      <c r="W225" s="1">
        <v>8</v>
      </c>
      <c r="X225" s="1">
        <v>13</v>
      </c>
      <c r="Y225" s="1">
        <v>8</v>
      </c>
    </row>
    <row r="226" spans="1:25" x14ac:dyDescent="0.3">
      <c r="A226" s="2">
        <v>42929</v>
      </c>
      <c r="B226" s="1">
        <v>6</v>
      </c>
      <c r="C226" s="1">
        <v>2</v>
      </c>
      <c r="D226" s="1">
        <v>2</v>
      </c>
      <c r="E226" s="1">
        <v>5</v>
      </c>
      <c r="F226" s="1">
        <v>2</v>
      </c>
      <c r="G226" s="1">
        <v>4</v>
      </c>
      <c r="H226" s="1">
        <v>9</v>
      </c>
      <c r="I226" s="1">
        <v>11</v>
      </c>
      <c r="J226" s="1">
        <v>14</v>
      </c>
      <c r="K226" s="1">
        <v>23</v>
      </c>
      <c r="L226" s="1">
        <v>12</v>
      </c>
      <c r="M226" s="1">
        <v>22</v>
      </c>
      <c r="N226" s="1">
        <v>24</v>
      </c>
      <c r="O226" s="1">
        <v>28</v>
      </c>
      <c r="P226" s="1">
        <v>19</v>
      </c>
      <c r="Q226" s="1">
        <v>27</v>
      </c>
      <c r="R226" s="1">
        <v>29</v>
      </c>
      <c r="S226" s="1">
        <v>38</v>
      </c>
      <c r="T226" s="1">
        <v>39</v>
      </c>
      <c r="U226" s="1">
        <v>36</v>
      </c>
      <c r="V226" s="1">
        <v>13</v>
      </c>
      <c r="W226" s="1">
        <v>12</v>
      </c>
      <c r="X226" s="1">
        <v>19</v>
      </c>
      <c r="Y226" s="1">
        <v>13</v>
      </c>
    </row>
    <row r="227" spans="1:25" x14ac:dyDescent="0.3">
      <c r="A227" s="2">
        <v>42930</v>
      </c>
      <c r="B227" s="1">
        <v>15</v>
      </c>
      <c r="C227" s="1">
        <v>7</v>
      </c>
      <c r="D227" s="1">
        <v>3</v>
      </c>
      <c r="E227" s="1">
        <v>5</v>
      </c>
      <c r="F227" s="1">
        <v>6</v>
      </c>
      <c r="G227" s="1">
        <v>10</v>
      </c>
      <c r="H227" s="1">
        <v>8</v>
      </c>
      <c r="I227" s="1">
        <v>15</v>
      </c>
      <c r="J227" s="1">
        <v>22</v>
      </c>
      <c r="K227" s="1">
        <v>16</v>
      </c>
      <c r="L227" s="1">
        <v>25</v>
      </c>
      <c r="M227" s="1">
        <v>30</v>
      </c>
      <c r="N227" s="1">
        <v>32</v>
      </c>
      <c r="O227" s="1">
        <v>22</v>
      </c>
      <c r="P227" s="1">
        <v>24</v>
      </c>
      <c r="Q227" s="1">
        <v>22</v>
      </c>
      <c r="R227" s="1">
        <v>28</v>
      </c>
      <c r="S227" s="1">
        <v>30</v>
      </c>
      <c r="T227" s="1">
        <v>15</v>
      </c>
      <c r="U227" s="1">
        <v>15</v>
      </c>
      <c r="V227" s="1">
        <v>19</v>
      </c>
      <c r="W227" s="1">
        <v>9</v>
      </c>
      <c r="X227" s="1">
        <v>15</v>
      </c>
      <c r="Y227" s="1">
        <v>3</v>
      </c>
    </row>
    <row r="228" spans="1:25" x14ac:dyDescent="0.3">
      <c r="A228" s="2">
        <v>42931</v>
      </c>
      <c r="B228" s="1">
        <v>8</v>
      </c>
      <c r="C228" s="1">
        <v>11</v>
      </c>
      <c r="D228" s="1">
        <v>12</v>
      </c>
      <c r="E228" s="1">
        <v>9</v>
      </c>
      <c r="F228" s="1">
        <v>5</v>
      </c>
      <c r="G228" s="1">
        <v>5</v>
      </c>
      <c r="H228" s="1">
        <v>8</v>
      </c>
      <c r="I228" s="1">
        <v>11</v>
      </c>
      <c r="J228" s="1">
        <v>10</v>
      </c>
      <c r="K228" s="1">
        <v>19</v>
      </c>
      <c r="L228" s="1">
        <v>27</v>
      </c>
      <c r="M228" s="1">
        <v>28</v>
      </c>
      <c r="N228" s="1">
        <v>27</v>
      </c>
      <c r="O228" s="1">
        <v>29</v>
      </c>
      <c r="P228" s="1">
        <v>32</v>
      </c>
      <c r="Q228" s="1">
        <v>19</v>
      </c>
      <c r="R228" s="1">
        <v>28</v>
      </c>
      <c r="S228" s="1">
        <v>20</v>
      </c>
      <c r="T228" s="1">
        <v>40</v>
      </c>
      <c r="U228" s="1">
        <v>17</v>
      </c>
      <c r="V228" s="1">
        <v>18</v>
      </c>
      <c r="W228" s="1">
        <v>20</v>
      </c>
      <c r="X228" s="1">
        <v>6</v>
      </c>
      <c r="Y228" s="1">
        <v>14</v>
      </c>
    </row>
    <row r="229" spans="1:25" x14ac:dyDescent="0.3">
      <c r="A229" s="2">
        <v>42932</v>
      </c>
      <c r="B229" s="1">
        <v>6</v>
      </c>
      <c r="C229" s="1">
        <v>7</v>
      </c>
      <c r="D229" s="1">
        <v>10</v>
      </c>
      <c r="E229" s="1">
        <v>7</v>
      </c>
      <c r="F229" s="1">
        <v>7</v>
      </c>
      <c r="G229" s="1">
        <v>11</v>
      </c>
      <c r="H229" s="1">
        <v>10</v>
      </c>
      <c r="I229" s="1">
        <v>9</v>
      </c>
      <c r="J229" s="1">
        <v>12</v>
      </c>
      <c r="K229" s="1">
        <v>19</v>
      </c>
      <c r="L229" s="1">
        <v>7</v>
      </c>
      <c r="M229" s="1">
        <v>17</v>
      </c>
      <c r="N229" s="1">
        <v>14</v>
      </c>
      <c r="O229" s="1">
        <v>24</v>
      </c>
      <c r="P229" s="1">
        <v>13</v>
      </c>
      <c r="Q229" s="1">
        <v>14</v>
      </c>
      <c r="R229" s="1">
        <v>20</v>
      </c>
      <c r="S229" s="1">
        <v>17</v>
      </c>
      <c r="T229" s="1">
        <v>24</v>
      </c>
      <c r="U229" s="1">
        <v>13</v>
      </c>
      <c r="V229" s="1">
        <v>20</v>
      </c>
      <c r="W229" s="1">
        <v>9</v>
      </c>
      <c r="X229" s="1">
        <v>14</v>
      </c>
      <c r="Y229" s="1">
        <v>11</v>
      </c>
    </row>
    <row r="230" spans="1:25" x14ac:dyDescent="0.3">
      <c r="A230" s="2">
        <v>42933</v>
      </c>
      <c r="B230" s="1">
        <v>11</v>
      </c>
      <c r="C230" s="1">
        <v>8</v>
      </c>
      <c r="D230" s="1">
        <v>5</v>
      </c>
      <c r="E230" s="1">
        <v>3</v>
      </c>
      <c r="F230" s="1">
        <v>7</v>
      </c>
      <c r="G230" s="1">
        <v>7</v>
      </c>
      <c r="H230" s="1">
        <v>14</v>
      </c>
      <c r="I230" s="1">
        <v>10</v>
      </c>
      <c r="J230" s="1">
        <v>24</v>
      </c>
      <c r="K230" s="1">
        <v>27</v>
      </c>
      <c r="L230" s="1">
        <v>31</v>
      </c>
      <c r="M230" s="1">
        <v>17</v>
      </c>
      <c r="N230" s="1">
        <v>31</v>
      </c>
      <c r="O230" s="1">
        <v>20</v>
      </c>
      <c r="P230" s="1">
        <v>30</v>
      </c>
      <c r="Q230" s="1">
        <v>24</v>
      </c>
      <c r="R230" s="1">
        <v>30</v>
      </c>
      <c r="S230" s="1">
        <v>29</v>
      </c>
      <c r="T230" s="1">
        <v>28</v>
      </c>
      <c r="U230" s="1">
        <v>8</v>
      </c>
      <c r="V230" s="1">
        <v>19</v>
      </c>
      <c r="W230" s="1">
        <v>16</v>
      </c>
      <c r="X230" s="1">
        <v>7</v>
      </c>
      <c r="Y230" s="1">
        <v>10</v>
      </c>
    </row>
    <row r="231" spans="1:25" x14ac:dyDescent="0.3">
      <c r="A231" s="2">
        <v>42934</v>
      </c>
      <c r="B231" s="1">
        <v>6</v>
      </c>
      <c r="C231" s="1">
        <v>2</v>
      </c>
      <c r="D231" s="1">
        <v>11</v>
      </c>
      <c r="E231" s="1">
        <v>4</v>
      </c>
      <c r="F231" s="1">
        <v>9</v>
      </c>
      <c r="G231" s="1">
        <v>11</v>
      </c>
      <c r="H231" s="1">
        <v>9</v>
      </c>
      <c r="I231" s="1">
        <v>11</v>
      </c>
      <c r="J231" s="1">
        <v>15</v>
      </c>
      <c r="K231" s="1">
        <v>24</v>
      </c>
      <c r="L231" s="1">
        <v>26</v>
      </c>
      <c r="M231" s="1">
        <v>31</v>
      </c>
      <c r="N231" s="1">
        <v>22</v>
      </c>
      <c r="O231" s="1">
        <v>31</v>
      </c>
      <c r="P231" s="1">
        <v>27</v>
      </c>
      <c r="Q231" s="1">
        <v>24</v>
      </c>
      <c r="R231" s="1">
        <v>31</v>
      </c>
      <c r="S231" s="1">
        <v>26</v>
      </c>
      <c r="T231" s="1">
        <v>26</v>
      </c>
      <c r="U231" s="1">
        <v>20</v>
      </c>
      <c r="V231" s="1">
        <v>14</v>
      </c>
      <c r="W231" s="1">
        <v>10</v>
      </c>
      <c r="X231" s="1">
        <v>14</v>
      </c>
      <c r="Y231" s="1">
        <v>18</v>
      </c>
    </row>
    <row r="232" spans="1:25" x14ac:dyDescent="0.3">
      <c r="A232" s="2">
        <v>42935</v>
      </c>
      <c r="B232" s="1">
        <v>5</v>
      </c>
      <c r="C232" s="1">
        <v>7</v>
      </c>
      <c r="D232" s="1">
        <v>4</v>
      </c>
      <c r="E232" s="1">
        <v>2</v>
      </c>
      <c r="F232" s="1">
        <v>6</v>
      </c>
      <c r="G232" s="1">
        <v>5</v>
      </c>
      <c r="H232" s="1">
        <v>11</v>
      </c>
      <c r="I232" s="1">
        <v>13</v>
      </c>
      <c r="J232" s="1">
        <v>20</v>
      </c>
      <c r="K232" s="1">
        <v>18</v>
      </c>
      <c r="L232" s="1">
        <v>31</v>
      </c>
      <c r="M232" s="1">
        <v>10</v>
      </c>
      <c r="N232" s="1">
        <v>20</v>
      </c>
      <c r="O232" s="1">
        <v>26</v>
      </c>
      <c r="P232" s="1">
        <v>20</v>
      </c>
      <c r="Q232" s="1">
        <v>26</v>
      </c>
      <c r="R232" s="1">
        <v>39</v>
      </c>
      <c r="S232" s="1">
        <v>37</v>
      </c>
      <c r="T232" s="1">
        <v>13</v>
      </c>
      <c r="U232" s="1">
        <v>20</v>
      </c>
      <c r="V232" s="1">
        <v>14</v>
      </c>
      <c r="W232" s="1">
        <v>9</v>
      </c>
      <c r="X232" s="1">
        <v>7</v>
      </c>
      <c r="Y232" s="1">
        <v>14</v>
      </c>
    </row>
    <row r="233" spans="1:25" x14ac:dyDescent="0.3">
      <c r="A233" s="2">
        <v>42936</v>
      </c>
      <c r="B233" s="1">
        <v>3</v>
      </c>
      <c r="C233" s="1">
        <v>5</v>
      </c>
      <c r="D233" s="1">
        <v>9</v>
      </c>
      <c r="E233" s="1">
        <v>4</v>
      </c>
      <c r="F233" s="1">
        <v>7</v>
      </c>
      <c r="G233" s="1">
        <v>8</v>
      </c>
      <c r="H233" s="1">
        <v>7</v>
      </c>
      <c r="I233" s="1">
        <v>20</v>
      </c>
      <c r="J233" s="1">
        <v>19</v>
      </c>
      <c r="K233" s="1">
        <v>26</v>
      </c>
      <c r="L233" s="1">
        <v>28</v>
      </c>
      <c r="M233" s="1">
        <v>27</v>
      </c>
      <c r="N233" s="1">
        <v>24</v>
      </c>
      <c r="O233" s="1">
        <v>29</v>
      </c>
      <c r="P233" s="1">
        <v>21</v>
      </c>
      <c r="Q233" s="1">
        <v>26</v>
      </c>
      <c r="R233" s="1">
        <v>26</v>
      </c>
      <c r="S233" s="1">
        <v>21</v>
      </c>
      <c r="T233" s="1">
        <v>17</v>
      </c>
      <c r="U233" s="1">
        <v>17</v>
      </c>
      <c r="V233" s="1">
        <v>10</v>
      </c>
      <c r="W233" s="1">
        <v>12</v>
      </c>
      <c r="X233" s="1">
        <v>12</v>
      </c>
      <c r="Y233" s="1">
        <v>16</v>
      </c>
    </row>
    <row r="234" spans="1:25" x14ac:dyDescent="0.3">
      <c r="A234" s="2">
        <v>42937</v>
      </c>
      <c r="B234" s="1">
        <v>3</v>
      </c>
      <c r="C234" s="1">
        <v>6</v>
      </c>
      <c r="D234" s="1">
        <v>5</v>
      </c>
      <c r="E234" s="1">
        <v>9</v>
      </c>
      <c r="F234" s="1">
        <v>9</v>
      </c>
      <c r="G234" s="1">
        <v>5</v>
      </c>
      <c r="H234" s="1">
        <v>8</v>
      </c>
      <c r="I234" s="1">
        <v>14</v>
      </c>
      <c r="J234" s="1">
        <v>28</v>
      </c>
      <c r="K234" s="1">
        <v>28</v>
      </c>
      <c r="L234" s="1">
        <v>22</v>
      </c>
      <c r="M234" s="1">
        <v>32</v>
      </c>
      <c r="N234" s="1">
        <v>22</v>
      </c>
      <c r="O234" s="1">
        <v>33</v>
      </c>
      <c r="P234" s="1">
        <v>30</v>
      </c>
      <c r="Q234" s="1">
        <v>33</v>
      </c>
      <c r="R234" s="1">
        <v>31</v>
      </c>
      <c r="S234" s="1">
        <v>34</v>
      </c>
      <c r="T234" s="1">
        <v>27</v>
      </c>
      <c r="U234" s="1">
        <v>17</v>
      </c>
      <c r="V234" s="1">
        <v>14</v>
      </c>
      <c r="W234" s="1">
        <v>12</v>
      </c>
      <c r="X234" s="1">
        <v>19</v>
      </c>
      <c r="Y234" s="1">
        <v>15</v>
      </c>
    </row>
    <row r="235" spans="1:25" x14ac:dyDescent="0.3">
      <c r="A235" s="2">
        <v>42938</v>
      </c>
      <c r="B235" s="1">
        <v>14</v>
      </c>
      <c r="C235" s="1">
        <v>11</v>
      </c>
      <c r="D235" s="1">
        <v>12</v>
      </c>
      <c r="E235" s="1">
        <v>8</v>
      </c>
      <c r="F235" s="1">
        <v>3</v>
      </c>
      <c r="G235" s="1">
        <v>4</v>
      </c>
      <c r="H235" s="1">
        <v>8</v>
      </c>
      <c r="I235" s="1">
        <v>15</v>
      </c>
      <c r="J235" s="1">
        <v>11</v>
      </c>
      <c r="K235" s="1">
        <v>15</v>
      </c>
      <c r="L235" s="1">
        <v>19</v>
      </c>
      <c r="M235" s="1">
        <v>39</v>
      </c>
      <c r="N235" s="1">
        <v>17</v>
      </c>
      <c r="O235" s="1">
        <v>20</v>
      </c>
      <c r="P235" s="1">
        <v>24</v>
      </c>
      <c r="Q235" s="1">
        <v>14</v>
      </c>
      <c r="R235" s="1">
        <v>21</v>
      </c>
      <c r="S235" s="1">
        <v>16</v>
      </c>
      <c r="T235" s="1">
        <v>50</v>
      </c>
      <c r="U235" s="1">
        <v>24</v>
      </c>
      <c r="V235" s="1">
        <v>25</v>
      </c>
      <c r="W235" s="1">
        <v>24</v>
      </c>
      <c r="X235" s="1">
        <v>21</v>
      </c>
      <c r="Y235" s="1">
        <v>9</v>
      </c>
    </row>
    <row r="236" spans="1:25" x14ac:dyDescent="0.3">
      <c r="A236" s="2">
        <v>42939</v>
      </c>
      <c r="B236" s="1">
        <v>7</v>
      </c>
      <c r="C236" s="1">
        <v>6</v>
      </c>
      <c r="D236" s="1">
        <v>7</v>
      </c>
      <c r="E236" s="1">
        <v>2</v>
      </c>
      <c r="F236" s="1">
        <v>8</v>
      </c>
      <c r="G236" s="1">
        <v>11</v>
      </c>
      <c r="H236" s="1">
        <v>3</v>
      </c>
      <c r="I236" s="1">
        <v>10</v>
      </c>
      <c r="J236" s="1">
        <v>5</v>
      </c>
      <c r="K236" s="1">
        <v>10</v>
      </c>
      <c r="L236" s="1">
        <v>21</v>
      </c>
      <c r="M236" s="1">
        <v>21</v>
      </c>
      <c r="N236" s="1">
        <v>26</v>
      </c>
      <c r="O236" s="1">
        <v>18</v>
      </c>
      <c r="P236" s="1">
        <v>19</v>
      </c>
      <c r="Q236" s="1">
        <v>5</v>
      </c>
      <c r="R236" s="1">
        <v>14</v>
      </c>
      <c r="S236" s="1">
        <v>9</v>
      </c>
      <c r="T236" s="1">
        <v>21</v>
      </c>
      <c r="U236" s="1">
        <v>11</v>
      </c>
      <c r="V236" s="1">
        <v>14</v>
      </c>
      <c r="W236" s="1">
        <v>5</v>
      </c>
      <c r="X236" s="1">
        <v>9</v>
      </c>
      <c r="Y236" s="1">
        <v>7</v>
      </c>
    </row>
    <row r="237" spans="1:25" x14ac:dyDescent="0.3">
      <c r="A237" s="2">
        <v>42940</v>
      </c>
      <c r="B237" s="1">
        <v>7</v>
      </c>
      <c r="C237" s="1">
        <v>8</v>
      </c>
      <c r="D237" s="1">
        <v>5</v>
      </c>
      <c r="E237" s="1">
        <v>7</v>
      </c>
      <c r="F237" s="1">
        <v>6</v>
      </c>
      <c r="G237" s="1">
        <v>16</v>
      </c>
      <c r="H237" s="1">
        <v>7</v>
      </c>
      <c r="I237" s="1">
        <v>20</v>
      </c>
      <c r="J237" s="1">
        <v>13</v>
      </c>
      <c r="K237" s="1">
        <v>38</v>
      </c>
      <c r="L237" s="1">
        <v>20</v>
      </c>
      <c r="M237" s="1">
        <v>30</v>
      </c>
      <c r="N237" s="1">
        <v>32</v>
      </c>
      <c r="O237" s="1">
        <v>11</v>
      </c>
      <c r="P237" s="1">
        <v>27</v>
      </c>
      <c r="Q237" s="1">
        <v>19</v>
      </c>
      <c r="R237" s="1">
        <v>33</v>
      </c>
      <c r="S237" s="1">
        <v>34</v>
      </c>
      <c r="T237" s="1">
        <v>18</v>
      </c>
      <c r="U237" s="1">
        <v>29</v>
      </c>
      <c r="V237" s="1">
        <v>66</v>
      </c>
      <c r="W237" s="1">
        <v>23</v>
      </c>
      <c r="X237" s="1">
        <v>10</v>
      </c>
      <c r="Y237" s="1">
        <v>13</v>
      </c>
    </row>
    <row r="238" spans="1:25" x14ac:dyDescent="0.3">
      <c r="A238" s="2">
        <v>42941</v>
      </c>
      <c r="B238" s="1">
        <v>2</v>
      </c>
      <c r="C238" s="1">
        <v>11</v>
      </c>
      <c r="D238" s="1">
        <v>4</v>
      </c>
      <c r="E238" s="1">
        <v>8</v>
      </c>
      <c r="F238" s="1">
        <v>7</v>
      </c>
      <c r="G238" s="1">
        <v>12</v>
      </c>
      <c r="H238" s="1">
        <v>12</v>
      </c>
      <c r="I238" s="1">
        <v>19</v>
      </c>
      <c r="J238" s="1">
        <v>37</v>
      </c>
      <c r="K238" s="1">
        <v>28</v>
      </c>
      <c r="L238" s="1">
        <v>29</v>
      </c>
      <c r="M238" s="1">
        <v>40</v>
      </c>
      <c r="N238" s="1">
        <v>25</v>
      </c>
      <c r="O238" s="1">
        <v>20</v>
      </c>
      <c r="P238" s="1">
        <v>20</v>
      </c>
      <c r="Q238" s="1">
        <v>28</v>
      </c>
      <c r="R238" s="1">
        <v>23</v>
      </c>
      <c r="S238" s="1">
        <v>20</v>
      </c>
      <c r="T238" s="1">
        <v>34</v>
      </c>
      <c r="U238" s="1">
        <v>20</v>
      </c>
      <c r="V238" s="1">
        <v>13</v>
      </c>
      <c r="W238" s="1">
        <v>14</v>
      </c>
      <c r="X238" s="1">
        <v>9</v>
      </c>
      <c r="Y238" s="1">
        <v>6</v>
      </c>
    </row>
    <row r="239" spans="1:25" x14ac:dyDescent="0.3">
      <c r="A239" s="2">
        <v>42942</v>
      </c>
      <c r="B239" s="1">
        <v>6</v>
      </c>
      <c r="C239" s="1">
        <v>5</v>
      </c>
      <c r="D239" s="1">
        <v>3</v>
      </c>
      <c r="E239" s="1">
        <v>8</v>
      </c>
      <c r="F239" s="1">
        <v>5</v>
      </c>
      <c r="G239" s="1">
        <v>5</v>
      </c>
      <c r="H239" s="1">
        <v>11</v>
      </c>
      <c r="I239" s="1">
        <v>7</v>
      </c>
      <c r="J239" s="1">
        <v>17</v>
      </c>
      <c r="K239" s="1">
        <v>20</v>
      </c>
      <c r="L239" s="1">
        <v>23</v>
      </c>
      <c r="M239" s="1">
        <v>18</v>
      </c>
      <c r="N239" s="1">
        <v>22</v>
      </c>
      <c r="O239" s="1">
        <v>25</v>
      </c>
      <c r="P239" s="1">
        <v>23</v>
      </c>
      <c r="Q239" s="1">
        <v>19</v>
      </c>
      <c r="R239" s="1">
        <v>24</v>
      </c>
      <c r="S239" s="1">
        <v>27</v>
      </c>
      <c r="T239" s="1">
        <v>14</v>
      </c>
      <c r="U239" s="1">
        <v>25</v>
      </c>
      <c r="V239" s="1">
        <v>16</v>
      </c>
      <c r="W239" s="1">
        <v>17</v>
      </c>
      <c r="X239" s="1">
        <v>10</v>
      </c>
      <c r="Y239" s="1">
        <v>11</v>
      </c>
    </row>
    <row r="240" spans="1:25" x14ac:dyDescent="0.3">
      <c r="A240" s="2">
        <v>42943</v>
      </c>
      <c r="B240" s="1">
        <v>7</v>
      </c>
      <c r="C240" s="1">
        <v>8</v>
      </c>
      <c r="D240" s="1">
        <v>9</v>
      </c>
      <c r="E240" s="1">
        <v>6</v>
      </c>
      <c r="F240" s="1">
        <v>9</v>
      </c>
      <c r="G240" s="1">
        <v>6</v>
      </c>
      <c r="H240" s="1">
        <v>6</v>
      </c>
      <c r="I240" s="1">
        <v>17</v>
      </c>
      <c r="J240" s="1">
        <v>20</v>
      </c>
      <c r="K240" s="1">
        <v>19</v>
      </c>
      <c r="L240" s="1">
        <v>13</v>
      </c>
      <c r="M240" s="1">
        <v>26</v>
      </c>
      <c r="N240" s="1">
        <v>21</v>
      </c>
      <c r="O240" s="1">
        <v>29</v>
      </c>
      <c r="P240" s="1">
        <v>19</v>
      </c>
      <c r="Q240" s="1">
        <v>28</v>
      </c>
      <c r="R240" s="1">
        <v>33</v>
      </c>
      <c r="S240" s="1">
        <v>27</v>
      </c>
      <c r="T240" s="1">
        <v>23</v>
      </c>
      <c r="U240" s="1">
        <v>16</v>
      </c>
      <c r="V240" s="1">
        <v>11</v>
      </c>
      <c r="W240" s="1">
        <v>10</v>
      </c>
      <c r="X240" s="1">
        <v>6</v>
      </c>
      <c r="Y240" s="1">
        <v>12</v>
      </c>
    </row>
    <row r="241" spans="1:25" x14ac:dyDescent="0.3">
      <c r="A241" s="2">
        <v>42944</v>
      </c>
      <c r="B241" s="1">
        <v>13</v>
      </c>
      <c r="C241" s="1">
        <v>10</v>
      </c>
      <c r="D241" s="1">
        <v>6</v>
      </c>
      <c r="E241" s="1">
        <v>2</v>
      </c>
      <c r="F241" s="1">
        <v>3</v>
      </c>
      <c r="G241" s="1">
        <v>6</v>
      </c>
      <c r="H241" s="1">
        <v>9</v>
      </c>
      <c r="I241" s="1">
        <v>12</v>
      </c>
      <c r="J241" s="1">
        <v>17</v>
      </c>
      <c r="K241" s="1">
        <v>27</v>
      </c>
      <c r="L241" s="1">
        <v>30</v>
      </c>
      <c r="M241" s="1">
        <v>33</v>
      </c>
      <c r="N241" s="1">
        <v>26</v>
      </c>
      <c r="O241" s="1">
        <v>21</v>
      </c>
      <c r="P241" s="1">
        <v>24</v>
      </c>
      <c r="Q241" s="1">
        <v>22</v>
      </c>
      <c r="R241" s="1">
        <v>31</v>
      </c>
      <c r="S241" s="1">
        <v>31</v>
      </c>
      <c r="T241" s="1">
        <v>18</v>
      </c>
      <c r="U241" s="1">
        <v>20</v>
      </c>
      <c r="V241" s="1">
        <v>9</v>
      </c>
      <c r="W241" s="1">
        <v>12</v>
      </c>
      <c r="X241" s="1">
        <v>6</v>
      </c>
      <c r="Y241" s="1">
        <v>20</v>
      </c>
    </row>
    <row r="242" spans="1:25" x14ac:dyDescent="0.3">
      <c r="A242" s="2">
        <v>42945</v>
      </c>
      <c r="B242" s="1">
        <v>9</v>
      </c>
      <c r="C242" s="1">
        <v>7</v>
      </c>
      <c r="D242" s="1">
        <v>6</v>
      </c>
      <c r="E242" s="1">
        <v>7</v>
      </c>
      <c r="F242" s="1">
        <v>2</v>
      </c>
      <c r="G242" s="1">
        <v>12</v>
      </c>
      <c r="H242" s="1">
        <v>10</v>
      </c>
      <c r="I242" s="1">
        <v>6</v>
      </c>
      <c r="J242" s="1">
        <v>15</v>
      </c>
      <c r="K242" s="1">
        <v>12</v>
      </c>
      <c r="L242" s="1">
        <v>12</v>
      </c>
      <c r="M242" s="1">
        <v>17</v>
      </c>
      <c r="N242" s="1">
        <v>27</v>
      </c>
      <c r="O242" s="1">
        <v>16</v>
      </c>
      <c r="P242" s="1">
        <v>21</v>
      </c>
      <c r="Q242" s="1">
        <v>14</v>
      </c>
      <c r="R242" s="1">
        <v>25</v>
      </c>
      <c r="S242" s="1">
        <v>9</v>
      </c>
      <c r="T242" s="1">
        <v>11</v>
      </c>
      <c r="U242" s="1">
        <v>16</v>
      </c>
      <c r="V242" s="1">
        <v>21</v>
      </c>
      <c r="W242" s="1">
        <v>19</v>
      </c>
      <c r="X242" s="1">
        <v>11</v>
      </c>
      <c r="Y242" s="1">
        <v>5</v>
      </c>
    </row>
    <row r="243" spans="1:25" x14ac:dyDescent="0.3">
      <c r="A243" s="2">
        <v>42946</v>
      </c>
      <c r="B243" s="1">
        <v>4</v>
      </c>
      <c r="C243" s="1">
        <v>6</v>
      </c>
      <c r="D243" s="1">
        <v>4</v>
      </c>
      <c r="E243" s="1">
        <v>7</v>
      </c>
      <c r="F243" s="1">
        <v>5</v>
      </c>
      <c r="G243" s="1">
        <v>6</v>
      </c>
      <c r="H243" s="1">
        <v>2</v>
      </c>
      <c r="I243" s="1">
        <v>8</v>
      </c>
      <c r="J243" s="1">
        <v>8</v>
      </c>
      <c r="K243" s="1">
        <v>22</v>
      </c>
      <c r="L243" s="1">
        <v>13</v>
      </c>
      <c r="M243" s="1">
        <v>9</v>
      </c>
      <c r="N243" s="1">
        <v>24</v>
      </c>
      <c r="O243" s="1">
        <v>24</v>
      </c>
      <c r="P243" s="1">
        <v>21</v>
      </c>
      <c r="Q243" s="1">
        <v>33</v>
      </c>
      <c r="R243" s="1">
        <v>26</v>
      </c>
      <c r="S243" s="1">
        <v>25</v>
      </c>
      <c r="T243" s="1">
        <v>15</v>
      </c>
      <c r="U243" s="1">
        <v>13</v>
      </c>
      <c r="V243" s="1">
        <v>11</v>
      </c>
      <c r="W243" s="1">
        <v>12</v>
      </c>
      <c r="X243" s="1">
        <v>12</v>
      </c>
      <c r="Y243" s="1">
        <v>9</v>
      </c>
    </row>
    <row r="244" spans="1:25" x14ac:dyDescent="0.3">
      <c r="A244" s="2">
        <v>42947</v>
      </c>
      <c r="B244" s="1">
        <v>11</v>
      </c>
      <c r="C244" s="1">
        <v>8</v>
      </c>
      <c r="D244" s="1">
        <v>3</v>
      </c>
      <c r="E244" s="1">
        <v>7</v>
      </c>
      <c r="F244" s="1">
        <v>2</v>
      </c>
      <c r="G244" s="1">
        <v>4</v>
      </c>
      <c r="H244" s="1">
        <v>10</v>
      </c>
      <c r="I244" s="1">
        <v>11</v>
      </c>
      <c r="J244" s="1">
        <v>12</v>
      </c>
      <c r="K244" s="1">
        <v>27</v>
      </c>
      <c r="L244" s="1">
        <v>21</v>
      </c>
      <c r="M244" s="1">
        <v>23</v>
      </c>
      <c r="N244" s="1">
        <v>18</v>
      </c>
      <c r="O244" s="1">
        <v>26</v>
      </c>
      <c r="P244" s="1">
        <v>31</v>
      </c>
      <c r="Q244" s="1">
        <v>24</v>
      </c>
      <c r="R244" s="1">
        <v>27</v>
      </c>
      <c r="S244" s="1">
        <v>34</v>
      </c>
      <c r="T244" s="1">
        <v>22</v>
      </c>
      <c r="U244" s="1">
        <v>14</v>
      </c>
      <c r="V244" s="1">
        <v>10</v>
      </c>
      <c r="W244" s="1">
        <v>17</v>
      </c>
      <c r="X244" s="1">
        <v>9</v>
      </c>
      <c r="Y244" s="1">
        <v>5</v>
      </c>
    </row>
    <row r="245" spans="1:25" x14ac:dyDescent="0.3">
      <c r="A245" s="2">
        <v>42948</v>
      </c>
      <c r="B245" s="1">
        <v>11</v>
      </c>
      <c r="C245" s="1">
        <v>5</v>
      </c>
      <c r="D245" s="1">
        <v>6</v>
      </c>
      <c r="E245" s="1">
        <v>5</v>
      </c>
      <c r="F245" s="1">
        <v>4</v>
      </c>
      <c r="G245" s="1">
        <v>16</v>
      </c>
      <c r="H245" s="1">
        <v>3</v>
      </c>
      <c r="I245" s="1">
        <v>21</v>
      </c>
      <c r="J245" s="1">
        <v>21</v>
      </c>
      <c r="K245" s="1">
        <v>25</v>
      </c>
      <c r="L245" s="1">
        <v>21</v>
      </c>
      <c r="M245" s="1">
        <v>25</v>
      </c>
      <c r="N245" s="1">
        <v>28</v>
      </c>
      <c r="O245" s="1">
        <v>29</v>
      </c>
      <c r="P245" s="1">
        <v>30</v>
      </c>
      <c r="Q245" s="1">
        <v>29</v>
      </c>
      <c r="R245" s="1">
        <v>29</v>
      </c>
      <c r="S245" s="1">
        <v>24</v>
      </c>
      <c r="T245" s="1">
        <v>21</v>
      </c>
      <c r="U245" s="1">
        <v>19</v>
      </c>
      <c r="V245" s="1">
        <v>18</v>
      </c>
      <c r="W245" s="1">
        <v>17</v>
      </c>
      <c r="X245" s="1">
        <v>11</v>
      </c>
      <c r="Y245" s="1">
        <v>12</v>
      </c>
    </row>
    <row r="246" spans="1:25" x14ac:dyDescent="0.3">
      <c r="A246" s="2">
        <v>42949</v>
      </c>
      <c r="B246" s="1">
        <v>5</v>
      </c>
      <c r="C246" s="1">
        <v>3</v>
      </c>
      <c r="D246" s="1">
        <v>2</v>
      </c>
      <c r="E246" s="1">
        <v>4</v>
      </c>
      <c r="F246" s="1">
        <v>2</v>
      </c>
      <c r="G246" s="1">
        <v>9</v>
      </c>
      <c r="H246" s="1">
        <v>16</v>
      </c>
      <c r="I246" s="1">
        <v>15</v>
      </c>
      <c r="J246" s="1">
        <v>23</v>
      </c>
      <c r="K246" s="1">
        <v>13</v>
      </c>
      <c r="L246" s="1">
        <v>21</v>
      </c>
      <c r="M246" s="1">
        <v>17</v>
      </c>
      <c r="N246" s="1">
        <v>42</v>
      </c>
      <c r="O246" s="1">
        <v>32</v>
      </c>
      <c r="P246" s="1">
        <v>36</v>
      </c>
      <c r="Q246" s="1">
        <v>34</v>
      </c>
      <c r="R246" s="1">
        <v>32</v>
      </c>
      <c r="S246" s="1">
        <v>39</v>
      </c>
      <c r="T246" s="1">
        <v>28</v>
      </c>
      <c r="U246" s="1">
        <v>19</v>
      </c>
      <c r="V246" s="1">
        <v>14</v>
      </c>
      <c r="W246" s="1">
        <v>11</v>
      </c>
      <c r="X246" s="1">
        <v>10</v>
      </c>
      <c r="Y246" s="1">
        <v>5</v>
      </c>
    </row>
    <row r="247" spans="1:25" x14ac:dyDescent="0.3">
      <c r="A247" s="2">
        <v>42950</v>
      </c>
      <c r="B247" s="1">
        <v>6</v>
      </c>
      <c r="C247" s="1">
        <v>2</v>
      </c>
      <c r="D247" s="1">
        <v>5</v>
      </c>
      <c r="E247" s="1">
        <v>13</v>
      </c>
      <c r="F247" s="1">
        <v>9</v>
      </c>
      <c r="G247" s="1">
        <v>18</v>
      </c>
      <c r="H247" s="1">
        <v>14</v>
      </c>
      <c r="I247" s="1">
        <v>13</v>
      </c>
      <c r="J247" s="1">
        <v>16</v>
      </c>
      <c r="K247" s="1">
        <v>19</v>
      </c>
      <c r="L247" s="1">
        <v>18</v>
      </c>
      <c r="M247" s="1">
        <v>16</v>
      </c>
      <c r="N247" s="1">
        <v>25</v>
      </c>
      <c r="O247" s="1">
        <v>25</v>
      </c>
      <c r="P247" s="1">
        <v>21</v>
      </c>
      <c r="Q247" s="1">
        <v>33</v>
      </c>
      <c r="R247" s="1">
        <v>23</v>
      </c>
      <c r="S247" s="1">
        <v>27</v>
      </c>
      <c r="T247" s="1">
        <v>29</v>
      </c>
      <c r="U247" s="1">
        <v>15</v>
      </c>
      <c r="V247" s="1">
        <v>23</v>
      </c>
      <c r="W247" s="1">
        <v>14</v>
      </c>
      <c r="X247" s="1">
        <v>7</v>
      </c>
      <c r="Y247" s="1">
        <v>12</v>
      </c>
    </row>
    <row r="248" spans="1:25" x14ac:dyDescent="0.3">
      <c r="A248" s="2">
        <v>42951</v>
      </c>
      <c r="B248" s="1">
        <v>8</v>
      </c>
      <c r="C248" s="1">
        <v>7</v>
      </c>
      <c r="D248" s="1">
        <v>10</v>
      </c>
      <c r="E248" s="1">
        <v>6</v>
      </c>
      <c r="F248" s="1">
        <v>5</v>
      </c>
      <c r="G248" s="1">
        <v>3</v>
      </c>
      <c r="H248" s="1">
        <v>9</v>
      </c>
      <c r="I248" s="1">
        <v>15</v>
      </c>
      <c r="J248" s="1">
        <v>21</v>
      </c>
      <c r="K248" s="1">
        <v>25</v>
      </c>
      <c r="L248" s="1">
        <v>18</v>
      </c>
      <c r="M248" s="1">
        <v>21</v>
      </c>
      <c r="N248" s="1">
        <v>25</v>
      </c>
      <c r="O248" s="1">
        <v>27</v>
      </c>
      <c r="P248" s="1">
        <v>30</v>
      </c>
      <c r="Q248" s="1">
        <v>22</v>
      </c>
      <c r="R248" s="1">
        <v>27</v>
      </c>
      <c r="S248" s="1">
        <v>21</v>
      </c>
      <c r="T248" s="1">
        <v>25</v>
      </c>
      <c r="U248" s="1">
        <v>15</v>
      </c>
      <c r="V248" s="1">
        <v>28</v>
      </c>
      <c r="W248" s="1">
        <v>14</v>
      </c>
      <c r="X248" s="1">
        <v>19</v>
      </c>
      <c r="Y248" s="1">
        <v>7</v>
      </c>
    </row>
    <row r="249" spans="1:25" x14ac:dyDescent="0.3">
      <c r="A249" s="2">
        <v>42952</v>
      </c>
      <c r="B249" s="1">
        <v>8</v>
      </c>
      <c r="C249" s="1">
        <v>7</v>
      </c>
      <c r="D249" s="1">
        <v>17</v>
      </c>
      <c r="E249" s="1">
        <v>13</v>
      </c>
      <c r="F249" s="1">
        <v>5</v>
      </c>
      <c r="G249" s="1">
        <v>8</v>
      </c>
      <c r="H249" s="1">
        <v>9</v>
      </c>
      <c r="I249" s="1">
        <v>14</v>
      </c>
      <c r="J249" s="1">
        <v>17</v>
      </c>
      <c r="K249" s="1">
        <v>17</v>
      </c>
      <c r="L249" s="1">
        <v>23</v>
      </c>
      <c r="M249" s="1">
        <v>16</v>
      </c>
      <c r="N249" s="1">
        <v>18</v>
      </c>
      <c r="O249" s="1">
        <v>11</v>
      </c>
      <c r="P249" s="1">
        <v>22</v>
      </c>
      <c r="Q249" s="1">
        <v>24</v>
      </c>
      <c r="R249" s="1">
        <v>20</v>
      </c>
      <c r="S249" s="1">
        <v>19</v>
      </c>
      <c r="T249" s="1">
        <v>6</v>
      </c>
      <c r="U249" s="1">
        <v>11</v>
      </c>
      <c r="V249" s="1">
        <v>9</v>
      </c>
      <c r="W249" s="1">
        <v>14</v>
      </c>
      <c r="X249" s="1">
        <v>11</v>
      </c>
      <c r="Y249" s="1">
        <v>9</v>
      </c>
    </row>
    <row r="250" spans="1:25" x14ac:dyDescent="0.3">
      <c r="A250" s="2">
        <v>42953</v>
      </c>
      <c r="B250" s="1">
        <v>5</v>
      </c>
      <c r="C250" s="1">
        <v>3</v>
      </c>
      <c r="D250" s="1">
        <v>12</v>
      </c>
      <c r="E250" s="1">
        <v>5</v>
      </c>
      <c r="F250" s="1">
        <v>4</v>
      </c>
      <c r="G250" s="1">
        <v>10</v>
      </c>
      <c r="H250" s="1">
        <v>8</v>
      </c>
      <c r="I250" s="1">
        <v>8</v>
      </c>
      <c r="J250" s="1">
        <v>5</v>
      </c>
      <c r="K250" s="1">
        <v>19</v>
      </c>
      <c r="L250" s="1">
        <v>17</v>
      </c>
      <c r="M250" s="1">
        <v>23</v>
      </c>
      <c r="N250" s="1">
        <v>19</v>
      </c>
      <c r="O250" s="1">
        <v>22</v>
      </c>
      <c r="P250" s="1">
        <v>15</v>
      </c>
      <c r="Q250" s="1">
        <v>13</v>
      </c>
      <c r="R250" s="1">
        <v>20</v>
      </c>
      <c r="S250" s="1">
        <v>15</v>
      </c>
      <c r="T250" s="1">
        <v>22</v>
      </c>
      <c r="U250" s="1">
        <v>32</v>
      </c>
      <c r="V250" s="1">
        <v>14</v>
      </c>
      <c r="W250" s="1">
        <v>11</v>
      </c>
      <c r="X250" s="1">
        <v>6</v>
      </c>
      <c r="Y250" s="1">
        <v>11</v>
      </c>
    </row>
    <row r="251" spans="1:25" x14ac:dyDescent="0.3">
      <c r="A251" s="2">
        <v>42954</v>
      </c>
      <c r="B251" s="1">
        <v>7</v>
      </c>
      <c r="C251" s="1">
        <v>3</v>
      </c>
      <c r="D251" s="1">
        <v>5</v>
      </c>
      <c r="E251" s="1">
        <v>7</v>
      </c>
      <c r="F251" s="1">
        <v>10</v>
      </c>
      <c r="G251" s="1">
        <v>7</v>
      </c>
      <c r="H251" s="1">
        <v>13</v>
      </c>
      <c r="I251" s="1">
        <v>19</v>
      </c>
      <c r="J251" s="1">
        <v>26</v>
      </c>
      <c r="K251" s="1">
        <v>28</v>
      </c>
      <c r="L251" s="1">
        <v>12</v>
      </c>
      <c r="M251" s="1">
        <v>31</v>
      </c>
      <c r="N251" s="1">
        <v>26</v>
      </c>
      <c r="O251" s="1">
        <v>30</v>
      </c>
      <c r="P251" s="1">
        <v>22</v>
      </c>
      <c r="Q251" s="1">
        <v>33</v>
      </c>
      <c r="R251" s="1">
        <v>30</v>
      </c>
      <c r="S251" s="1">
        <v>31</v>
      </c>
      <c r="T251" s="1">
        <v>24</v>
      </c>
      <c r="U251" s="1">
        <v>10</v>
      </c>
      <c r="V251" s="1">
        <v>9</v>
      </c>
      <c r="W251" s="1">
        <v>18</v>
      </c>
      <c r="X251" s="1">
        <v>13</v>
      </c>
      <c r="Y251" s="1">
        <v>12</v>
      </c>
    </row>
    <row r="252" spans="1:25" x14ac:dyDescent="0.3">
      <c r="A252" s="2">
        <v>42955</v>
      </c>
      <c r="B252" s="1">
        <v>0</v>
      </c>
      <c r="C252" s="1">
        <v>7</v>
      </c>
      <c r="D252" s="1">
        <v>3</v>
      </c>
      <c r="E252" s="1">
        <v>8</v>
      </c>
      <c r="F252" s="1">
        <v>2</v>
      </c>
      <c r="G252" s="1">
        <v>4</v>
      </c>
      <c r="H252" s="1">
        <v>6</v>
      </c>
      <c r="I252" s="1">
        <v>21</v>
      </c>
      <c r="J252" s="1">
        <v>23</v>
      </c>
      <c r="K252" s="1">
        <v>15</v>
      </c>
      <c r="L252" s="1">
        <v>29</v>
      </c>
      <c r="M252" s="1">
        <v>18</v>
      </c>
      <c r="N252" s="1">
        <v>11</v>
      </c>
      <c r="O252" s="1">
        <v>28</v>
      </c>
      <c r="P252" s="1">
        <v>17</v>
      </c>
      <c r="Q252" s="1">
        <v>28</v>
      </c>
      <c r="R252" s="1">
        <v>25</v>
      </c>
      <c r="S252" s="1">
        <v>25</v>
      </c>
      <c r="T252" s="1">
        <v>23</v>
      </c>
      <c r="U252" s="1">
        <v>17</v>
      </c>
      <c r="V252" s="1">
        <v>20</v>
      </c>
      <c r="W252" s="1">
        <v>12</v>
      </c>
      <c r="X252" s="1">
        <v>13</v>
      </c>
      <c r="Y252" s="1">
        <v>12</v>
      </c>
    </row>
    <row r="253" spans="1:25" x14ac:dyDescent="0.3">
      <c r="A253" s="2">
        <v>42956</v>
      </c>
      <c r="B253" s="1">
        <v>5</v>
      </c>
      <c r="C253" s="1">
        <v>8</v>
      </c>
      <c r="D253" s="1">
        <v>9</v>
      </c>
      <c r="E253" s="1">
        <v>6</v>
      </c>
      <c r="F253" s="1">
        <v>3</v>
      </c>
      <c r="G253" s="1">
        <v>4</v>
      </c>
      <c r="H253" s="1">
        <v>5</v>
      </c>
      <c r="I253" s="1">
        <v>14</v>
      </c>
      <c r="J253" s="1">
        <v>19</v>
      </c>
      <c r="K253" s="1">
        <v>17</v>
      </c>
      <c r="L253" s="1">
        <v>26</v>
      </c>
      <c r="M253" s="1">
        <v>14</v>
      </c>
      <c r="N253" s="1">
        <v>26</v>
      </c>
      <c r="O253" s="1">
        <v>27</v>
      </c>
      <c r="P253" s="1">
        <v>28</v>
      </c>
      <c r="Q253" s="1">
        <v>27</v>
      </c>
      <c r="R253" s="1">
        <v>33</v>
      </c>
      <c r="S253" s="1">
        <v>28</v>
      </c>
      <c r="T253" s="1">
        <v>21</v>
      </c>
      <c r="U253" s="1">
        <v>10</v>
      </c>
      <c r="V253" s="1">
        <v>10</v>
      </c>
      <c r="W253" s="1">
        <v>10</v>
      </c>
      <c r="X253" s="1">
        <v>15</v>
      </c>
      <c r="Y253" s="1">
        <v>5</v>
      </c>
    </row>
    <row r="254" spans="1:25" x14ac:dyDescent="0.3">
      <c r="A254" s="2">
        <v>42957</v>
      </c>
      <c r="B254" s="1">
        <v>7</v>
      </c>
      <c r="C254" s="1">
        <v>2</v>
      </c>
      <c r="D254" s="1">
        <v>3</v>
      </c>
      <c r="E254" s="1">
        <v>4</v>
      </c>
      <c r="F254" s="1">
        <v>3</v>
      </c>
      <c r="G254" s="1">
        <v>3</v>
      </c>
      <c r="H254" s="1">
        <v>13</v>
      </c>
      <c r="I254" s="1">
        <v>28</v>
      </c>
      <c r="J254" s="1">
        <v>16</v>
      </c>
      <c r="K254" s="1">
        <v>18</v>
      </c>
      <c r="L254" s="1">
        <v>19</v>
      </c>
      <c r="M254" s="1">
        <v>13</v>
      </c>
      <c r="N254" s="1">
        <v>36</v>
      </c>
      <c r="O254" s="1">
        <v>24</v>
      </c>
      <c r="P254" s="1">
        <v>30</v>
      </c>
      <c r="Q254" s="1">
        <v>24</v>
      </c>
      <c r="R254" s="1">
        <v>19</v>
      </c>
      <c r="S254" s="1">
        <v>25</v>
      </c>
      <c r="T254" s="1">
        <v>17</v>
      </c>
      <c r="U254" s="1">
        <v>18</v>
      </c>
      <c r="V254" s="1">
        <v>12</v>
      </c>
      <c r="W254" s="1">
        <v>19</v>
      </c>
      <c r="X254" s="1">
        <v>12</v>
      </c>
      <c r="Y254" s="1">
        <v>11</v>
      </c>
    </row>
    <row r="255" spans="1:25" x14ac:dyDescent="0.3">
      <c r="A255" s="2">
        <v>42958</v>
      </c>
      <c r="B255" s="1">
        <v>7</v>
      </c>
      <c r="C255" s="1">
        <v>7</v>
      </c>
      <c r="D255" s="1">
        <v>8</v>
      </c>
      <c r="E255" s="1">
        <v>12</v>
      </c>
      <c r="F255" s="1">
        <v>3</v>
      </c>
      <c r="G255" s="1">
        <v>9</v>
      </c>
      <c r="H255" s="1">
        <v>6</v>
      </c>
      <c r="I255" s="1">
        <v>8</v>
      </c>
      <c r="J255" s="1">
        <v>20</v>
      </c>
      <c r="K255" s="1">
        <v>15</v>
      </c>
      <c r="L255" s="1">
        <v>18</v>
      </c>
      <c r="M255" s="1">
        <v>33</v>
      </c>
      <c r="N255" s="1">
        <v>35</v>
      </c>
      <c r="O255" s="1">
        <v>25</v>
      </c>
      <c r="P255" s="1">
        <v>18</v>
      </c>
      <c r="Q255" s="1">
        <v>23</v>
      </c>
      <c r="R255" s="1">
        <v>19</v>
      </c>
      <c r="S255" s="1">
        <v>16</v>
      </c>
      <c r="T255" s="1">
        <v>21</v>
      </c>
      <c r="U255" s="1">
        <v>26</v>
      </c>
      <c r="V255" s="1">
        <v>14</v>
      </c>
      <c r="W255" s="1">
        <v>14</v>
      </c>
      <c r="X255" s="1">
        <v>21</v>
      </c>
      <c r="Y255" s="1">
        <v>13</v>
      </c>
    </row>
    <row r="256" spans="1:25" x14ac:dyDescent="0.3">
      <c r="A256" s="2">
        <v>42959</v>
      </c>
      <c r="B256" s="1">
        <v>7</v>
      </c>
      <c r="C256" s="1">
        <v>7</v>
      </c>
      <c r="D256" s="1">
        <v>5</v>
      </c>
      <c r="E256" s="1">
        <v>5</v>
      </c>
      <c r="F256" s="1">
        <v>5</v>
      </c>
      <c r="G256" s="1">
        <v>3</v>
      </c>
      <c r="H256" s="1">
        <v>10</v>
      </c>
      <c r="I256" s="1">
        <v>11</v>
      </c>
      <c r="J256" s="1">
        <v>8</v>
      </c>
      <c r="K256" s="1">
        <v>15</v>
      </c>
      <c r="L256" s="1">
        <v>10</v>
      </c>
      <c r="M256" s="1">
        <v>15</v>
      </c>
      <c r="N256" s="1">
        <v>16</v>
      </c>
      <c r="O256" s="1">
        <v>7</v>
      </c>
      <c r="P256" s="1">
        <v>21</v>
      </c>
      <c r="Q256" s="1">
        <v>22</v>
      </c>
      <c r="R256" s="1">
        <v>17</v>
      </c>
      <c r="S256" s="1">
        <v>17</v>
      </c>
      <c r="T256" s="1">
        <v>18</v>
      </c>
      <c r="U256" s="1">
        <v>13</v>
      </c>
      <c r="V256" s="1">
        <v>30</v>
      </c>
      <c r="W256" s="1">
        <v>20</v>
      </c>
      <c r="X256" s="1">
        <v>11</v>
      </c>
      <c r="Y256" s="1">
        <v>8</v>
      </c>
    </row>
    <row r="257" spans="1:25" x14ac:dyDescent="0.3">
      <c r="A257" s="2">
        <v>42960</v>
      </c>
      <c r="B257" s="1">
        <v>17</v>
      </c>
      <c r="C257" s="1">
        <v>11</v>
      </c>
      <c r="D257" s="1">
        <v>16</v>
      </c>
      <c r="E257" s="1">
        <v>7</v>
      </c>
      <c r="F257" s="1">
        <v>8</v>
      </c>
      <c r="G257" s="1">
        <v>3</v>
      </c>
      <c r="H257" s="1">
        <v>11</v>
      </c>
      <c r="I257" s="1">
        <v>11</v>
      </c>
      <c r="J257" s="1">
        <v>11</v>
      </c>
      <c r="K257" s="1">
        <v>11</v>
      </c>
      <c r="L257" s="1">
        <v>15</v>
      </c>
      <c r="M257" s="1">
        <v>14</v>
      </c>
      <c r="N257" s="1">
        <v>23</v>
      </c>
      <c r="O257" s="1">
        <v>19</v>
      </c>
      <c r="P257" s="1">
        <v>25</v>
      </c>
      <c r="Q257" s="1">
        <v>18</v>
      </c>
      <c r="R257" s="1">
        <v>25</v>
      </c>
      <c r="S257" s="1">
        <v>16</v>
      </c>
      <c r="T257" s="1">
        <v>16</v>
      </c>
      <c r="U257" s="1">
        <v>18</v>
      </c>
      <c r="V257" s="1">
        <v>14</v>
      </c>
      <c r="W257" s="1">
        <v>17</v>
      </c>
      <c r="X257" s="1">
        <v>8</v>
      </c>
      <c r="Y257" s="1">
        <v>11</v>
      </c>
    </row>
    <row r="258" spans="1:25" x14ac:dyDescent="0.3">
      <c r="A258" s="2">
        <v>42961</v>
      </c>
      <c r="B258" s="1">
        <v>12</v>
      </c>
      <c r="C258" s="1">
        <v>5</v>
      </c>
      <c r="D258" s="1">
        <v>8</v>
      </c>
      <c r="E258" s="1">
        <v>2</v>
      </c>
      <c r="F258" s="1">
        <v>3</v>
      </c>
      <c r="G258" s="1">
        <v>5</v>
      </c>
      <c r="H258" s="1">
        <v>2</v>
      </c>
      <c r="I258" s="1">
        <v>18</v>
      </c>
      <c r="J258" s="1">
        <v>19</v>
      </c>
      <c r="K258" s="1">
        <v>16</v>
      </c>
      <c r="L258" s="1">
        <v>22</v>
      </c>
      <c r="M258" s="1">
        <v>21</v>
      </c>
      <c r="N258" s="1">
        <v>20</v>
      </c>
      <c r="O258" s="1">
        <v>26</v>
      </c>
      <c r="P258" s="1">
        <v>20</v>
      </c>
      <c r="Q258" s="1">
        <v>24</v>
      </c>
      <c r="R258" s="1">
        <v>25</v>
      </c>
      <c r="S258" s="1">
        <v>18</v>
      </c>
      <c r="T258" s="1">
        <v>18</v>
      </c>
      <c r="U258" s="1">
        <v>11</v>
      </c>
      <c r="V258" s="1">
        <v>10</v>
      </c>
      <c r="W258" s="1">
        <v>10</v>
      </c>
      <c r="X258" s="1">
        <v>10</v>
      </c>
      <c r="Y258" s="1">
        <v>9</v>
      </c>
    </row>
    <row r="259" spans="1:25" x14ac:dyDescent="0.3">
      <c r="A259" s="2">
        <v>42962</v>
      </c>
      <c r="B259" s="1">
        <v>12</v>
      </c>
      <c r="C259" s="1">
        <v>6</v>
      </c>
      <c r="D259" s="1">
        <v>10</v>
      </c>
      <c r="E259" s="1">
        <v>6</v>
      </c>
      <c r="F259" s="1">
        <v>5</v>
      </c>
      <c r="G259" s="1">
        <v>7</v>
      </c>
      <c r="H259" s="1">
        <v>9</v>
      </c>
      <c r="I259" s="1">
        <v>16</v>
      </c>
      <c r="J259" s="1">
        <v>24</v>
      </c>
      <c r="K259" s="1">
        <v>26</v>
      </c>
      <c r="L259" s="1">
        <v>31</v>
      </c>
      <c r="M259" s="1">
        <v>26</v>
      </c>
      <c r="N259" s="1">
        <v>26</v>
      </c>
      <c r="O259" s="1">
        <v>28</v>
      </c>
      <c r="P259" s="1">
        <v>28</v>
      </c>
      <c r="Q259" s="1">
        <v>13</v>
      </c>
      <c r="R259" s="1">
        <v>27</v>
      </c>
      <c r="S259" s="1">
        <v>21</v>
      </c>
      <c r="T259" s="1">
        <v>12</v>
      </c>
      <c r="U259" s="1">
        <v>15</v>
      </c>
      <c r="V259" s="1">
        <v>20</v>
      </c>
      <c r="W259" s="1">
        <v>7</v>
      </c>
      <c r="X259" s="1">
        <v>15</v>
      </c>
      <c r="Y259" s="1">
        <v>5</v>
      </c>
    </row>
    <row r="260" spans="1:25" x14ac:dyDescent="0.3">
      <c r="A260" s="2">
        <v>42963</v>
      </c>
      <c r="B260" s="1">
        <v>8</v>
      </c>
      <c r="C260" s="1">
        <v>6</v>
      </c>
      <c r="D260" s="1">
        <v>4</v>
      </c>
      <c r="E260" s="1">
        <v>3</v>
      </c>
      <c r="F260" s="1">
        <v>6</v>
      </c>
      <c r="G260" s="1">
        <v>0</v>
      </c>
      <c r="H260" s="1">
        <v>9</v>
      </c>
      <c r="I260" s="1">
        <v>25</v>
      </c>
      <c r="J260" s="1">
        <v>20</v>
      </c>
      <c r="K260" s="1">
        <v>28</v>
      </c>
      <c r="L260" s="1">
        <v>24</v>
      </c>
      <c r="M260" s="1">
        <v>22</v>
      </c>
      <c r="N260" s="1">
        <v>20</v>
      </c>
      <c r="O260" s="1">
        <v>16</v>
      </c>
      <c r="P260" s="1">
        <v>25</v>
      </c>
      <c r="Q260" s="1">
        <v>35</v>
      </c>
      <c r="R260" s="1">
        <v>31</v>
      </c>
      <c r="S260" s="1">
        <v>28</v>
      </c>
      <c r="T260" s="1">
        <v>31</v>
      </c>
      <c r="U260" s="1">
        <v>21</v>
      </c>
      <c r="V260" s="1">
        <v>24</v>
      </c>
      <c r="W260" s="1">
        <v>16</v>
      </c>
      <c r="X260" s="1">
        <v>12</v>
      </c>
      <c r="Y260" s="1">
        <v>12</v>
      </c>
    </row>
    <row r="261" spans="1:25" x14ac:dyDescent="0.3">
      <c r="A261" s="2">
        <v>42964</v>
      </c>
      <c r="B261" s="1">
        <v>5</v>
      </c>
      <c r="C261" s="1">
        <v>9</v>
      </c>
      <c r="D261" s="1">
        <v>5</v>
      </c>
      <c r="E261" s="1">
        <v>5</v>
      </c>
      <c r="F261" s="1">
        <v>14</v>
      </c>
      <c r="G261" s="1">
        <v>4</v>
      </c>
      <c r="H261" s="1">
        <v>7</v>
      </c>
      <c r="I261" s="1">
        <v>20</v>
      </c>
      <c r="J261" s="1">
        <v>8</v>
      </c>
      <c r="K261" s="1">
        <v>21</v>
      </c>
      <c r="L261" s="1">
        <v>25</v>
      </c>
      <c r="M261" s="1">
        <v>20</v>
      </c>
      <c r="N261" s="1">
        <v>22</v>
      </c>
      <c r="O261" s="1">
        <v>27</v>
      </c>
      <c r="P261" s="1">
        <v>24</v>
      </c>
      <c r="Q261" s="1">
        <v>21</v>
      </c>
      <c r="R261" s="1">
        <v>24</v>
      </c>
      <c r="S261" s="1">
        <v>28</v>
      </c>
      <c r="T261" s="1">
        <v>18</v>
      </c>
      <c r="U261" s="1">
        <v>19</v>
      </c>
      <c r="V261" s="1">
        <v>19</v>
      </c>
      <c r="W261" s="1">
        <v>16</v>
      </c>
      <c r="X261" s="1">
        <v>6</v>
      </c>
      <c r="Y261" s="1">
        <v>10</v>
      </c>
    </row>
    <row r="262" spans="1:25" x14ac:dyDescent="0.3">
      <c r="A262" s="2">
        <v>42965</v>
      </c>
      <c r="B262" s="1">
        <v>7</v>
      </c>
      <c r="C262" s="1">
        <v>11</v>
      </c>
      <c r="D262" s="1">
        <v>8</v>
      </c>
      <c r="E262" s="1">
        <v>3</v>
      </c>
      <c r="F262" s="1">
        <v>7</v>
      </c>
      <c r="G262" s="1">
        <v>6</v>
      </c>
      <c r="H262" s="1">
        <v>9</v>
      </c>
      <c r="I262" s="1">
        <v>9</v>
      </c>
      <c r="J262" s="1">
        <v>12</v>
      </c>
      <c r="K262" s="1">
        <v>23</v>
      </c>
      <c r="L262" s="1">
        <v>17</v>
      </c>
      <c r="M262" s="1">
        <v>22</v>
      </c>
      <c r="N262" s="1">
        <v>28</v>
      </c>
      <c r="O262" s="1">
        <v>19</v>
      </c>
      <c r="P262" s="1">
        <v>18</v>
      </c>
      <c r="Q262" s="1">
        <v>22</v>
      </c>
      <c r="R262" s="1">
        <v>23</v>
      </c>
      <c r="S262" s="1">
        <v>25</v>
      </c>
      <c r="T262" s="1">
        <v>32</v>
      </c>
      <c r="U262" s="1">
        <v>34</v>
      </c>
      <c r="V262" s="1">
        <v>20</v>
      </c>
      <c r="W262" s="1">
        <v>15</v>
      </c>
      <c r="X262" s="1">
        <v>20</v>
      </c>
      <c r="Y262" s="1">
        <v>10</v>
      </c>
    </row>
    <row r="263" spans="1:25" x14ac:dyDescent="0.3">
      <c r="A263" s="2">
        <v>42966</v>
      </c>
      <c r="B263" s="1">
        <v>5</v>
      </c>
      <c r="C263" s="1">
        <v>6</v>
      </c>
      <c r="D263" s="1">
        <v>9</v>
      </c>
      <c r="E263" s="1">
        <v>5</v>
      </c>
      <c r="F263" s="1">
        <v>4</v>
      </c>
      <c r="G263" s="1">
        <v>13</v>
      </c>
      <c r="H263" s="1">
        <v>9</v>
      </c>
      <c r="I263" s="1">
        <v>14</v>
      </c>
      <c r="J263" s="1">
        <v>13</v>
      </c>
      <c r="K263" s="1">
        <v>16</v>
      </c>
      <c r="L263" s="1">
        <v>29</v>
      </c>
      <c r="M263" s="1">
        <v>25</v>
      </c>
      <c r="N263" s="1">
        <v>41</v>
      </c>
      <c r="O263" s="1">
        <v>30</v>
      </c>
      <c r="P263" s="1">
        <v>22</v>
      </c>
      <c r="Q263" s="1">
        <v>22</v>
      </c>
      <c r="R263" s="1">
        <v>15</v>
      </c>
      <c r="S263" s="1">
        <v>29</v>
      </c>
      <c r="T263" s="1">
        <v>16</v>
      </c>
      <c r="U263" s="1">
        <v>19</v>
      </c>
      <c r="V263" s="1">
        <v>21</v>
      </c>
      <c r="W263" s="1">
        <v>18</v>
      </c>
      <c r="X263" s="1">
        <v>10</v>
      </c>
      <c r="Y263" s="1">
        <v>11</v>
      </c>
    </row>
    <row r="264" spans="1:25" x14ac:dyDescent="0.3">
      <c r="A264" s="2">
        <v>42967</v>
      </c>
      <c r="B264" s="1">
        <v>7</v>
      </c>
      <c r="C264" s="1">
        <v>4</v>
      </c>
      <c r="D264" s="1">
        <v>12</v>
      </c>
      <c r="E264" s="1">
        <v>7</v>
      </c>
      <c r="F264" s="1">
        <v>8</v>
      </c>
      <c r="G264" s="1">
        <v>7</v>
      </c>
      <c r="H264" s="1">
        <v>3</v>
      </c>
      <c r="I264" s="1">
        <v>14</v>
      </c>
      <c r="J264" s="1">
        <v>16</v>
      </c>
      <c r="K264" s="1">
        <v>7</v>
      </c>
      <c r="L264" s="1">
        <v>30</v>
      </c>
      <c r="M264" s="1">
        <v>12</v>
      </c>
      <c r="N264" s="1">
        <v>16</v>
      </c>
      <c r="O264" s="1">
        <v>26</v>
      </c>
      <c r="P264" s="1">
        <v>15</v>
      </c>
      <c r="Q264" s="1">
        <v>23</v>
      </c>
      <c r="R264" s="1">
        <v>20</v>
      </c>
      <c r="S264" s="1">
        <v>10</v>
      </c>
      <c r="T264" s="1">
        <v>21</v>
      </c>
      <c r="U264" s="1">
        <v>15</v>
      </c>
      <c r="V264" s="1">
        <v>16</v>
      </c>
      <c r="W264" s="1">
        <v>22</v>
      </c>
      <c r="X264" s="1">
        <v>8</v>
      </c>
      <c r="Y264" s="1">
        <v>10</v>
      </c>
    </row>
    <row r="265" spans="1:25" x14ac:dyDescent="0.3">
      <c r="A265" s="2">
        <v>42968</v>
      </c>
      <c r="B265" s="1">
        <v>7</v>
      </c>
      <c r="C265" s="1">
        <v>5</v>
      </c>
      <c r="D265" s="1">
        <v>6</v>
      </c>
      <c r="E265" s="1">
        <v>9</v>
      </c>
      <c r="F265" s="1">
        <v>2</v>
      </c>
      <c r="G265" s="1">
        <v>8</v>
      </c>
      <c r="H265" s="1">
        <v>9</v>
      </c>
      <c r="I265" s="1">
        <v>15</v>
      </c>
      <c r="J265" s="1">
        <v>17</v>
      </c>
      <c r="K265" s="1">
        <v>27</v>
      </c>
      <c r="L265" s="1">
        <v>27</v>
      </c>
      <c r="M265" s="1">
        <v>20</v>
      </c>
      <c r="N265" s="1">
        <v>19</v>
      </c>
      <c r="O265" s="1">
        <v>27</v>
      </c>
      <c r="P265" s="1">
        <v>15</v>
      </c>
      <c r="Q265" s="1">
        <v>21</v>
      </c>
      <c r="R265" s="1">
        <v>26</v>
      </c>
      <c r="S265" s="1">
        <v>21</v>
      </c>
      <c r="T265" s="1">
        <v>15</v>
      </c>
      <c r="U265" s="1">
        <v>19</v>
      </c>
      <c r="V265" s="1">
        <v>15</v>
      </c>
      <c r="W265" s="1">
        <v>11</v>
      </c>
      <c r="X265" s="1">
        <v>7</v>
      </c>
      <c r="Y265" s="1">
        <v>6</v>
      </c>
    </row>
    <row r="266" spans="1:25" x14ac:dyDescent="0.3">
      <c r="A266" s="2">
        <v>42969</v>
      </c>
      <c r="B266" s="1">
        <v>6</v>
      </c>
      <c r="C266" s="1">
        <v>9</v>
      </c>
      <c r="D266" s="1">
        <v>6</v>
      </c>
      <c r="E266" s="1">
        <v>7</v>
      </c>
      <c r="F266" s="1">
        <v>8</v>
      </c>
      <c r="G266" s="1">
        <v>9</v>
      </c>
      <c r="H266" s="1">
        <v>11</v>
      </c>
      <c r="I266" s="1">
        <v>13</v>
      </c>
      <c r="J266" s="1">
        <v>15</v>
      </c>
      <c r="K266" s="1">
        <v>13</v>
      </c>
      <c r="L266" s="1">
        <v>20</v>
      </c>
      <c r="M266" s="1">
        <v>24</v>
      </c>
      <c r="N266" s="1">
        <v>29</v>
      </c>
      <c r="O266" s="1">
        <v>27</v>
      </c>
      <c r="P266" s="1">
        <v>24</v>
      </c>
      <c r="Q266" s="1">
        <v>29</v>
      </c>
      <c r="R266" s="1">
        <v>39</v>
      </c>
      <c r="S266" s="1">
        <v>21</v>
      </c>
      <c r="T266" s="1">
        <v>27</v>
      </c>
      <c r="U266" s="1">
        <v>13</v>
      </c>
      <c r="V266" s="1">
        <v>24</v>
      </c>
      <c r="W266" s="1">
        <v>14</v>
      </c>
      <c r="X266" s="1">
        <v>24</v>
      </c>
      <c r="Y266" s="1">
        <v>13</v>
      </c>
    </row>
    <row r="267" spans="1:25" x14ac:dyDescent="0.3">
      <c r="A267" s="2">
        <v>42970</v>
      </c>
      <c r="B267" s="1">
        <v>11</v>
      </c>
      <c r="C267" s="1">
        <v>8</v>
      </c>
      <c r="D267" s="1">
        <v>10</v>
      </c>
      <c r="E267" s="1">
        <v>9</v>
      </c>
      <c r="F267" s="1">
        <v>10</v>
      </c>
      <c r="G267" s="1">
        <v>12</v>
      </c>
      <c r="H267" s="1">
        <v>13</v>
      </c>
      <c r="I267" s="1">
        <v>25</v>
      </c>
      <c r="J267" s="1">
        <v>16</v>
      </c>
      <c r="K267" s="1">
        <v>19</v>
      </c>
      <c r="L267" s="1">
        <v>40</v>
      </c>
      <c r="M267" s="1">
        <v>36</v>
      </c>
      <c r="N267" s="1">
        <v>28</v>
      </c>
      <c r="O267" s="1">
        <v>22</v>
      </c>
      <c r="P267" s="1">
        <v>39</v>
      </c>
      <c r="Q267" s="1">
        <v>29</v>
      </c>
      <c r="R267" s="1">
        <v>30</v>
      </c>
      <c r="S267" s="1">
        <v>26</v>
      </c>
      <c r="T267" s="1">
        <v>19</v>
      </c>
      <c r="U267" s="1">
        <v>12</v>
      </c>
      <c r="V267" s="1">
        <v>21</v>
      </c>
      <c r="W267" s="1">
        <v>15</v>
      </c>
      <c r="X267" s="1">
        <v>7</v>
      </c>
      <c r="Y267" s="1">
        <v>8</v>
      </c>
    </row>
    <row r="268" spans="1:25" x14ac:dyDescent="0.3">
      <c r="A268" s="2">
        <v>42971</v>
      </c>
      <c r="B268" s="1">
        <v>9</v>
      </c>
      <c r="C268" s="1">
        <v>9</v>
      </c>
      <c r="D268" s="1">
        <v>0</v>
      </c>
      <c r="E268" s="1">
        <v>7</v>
      </c>
      <c r="F268" s="1">
        <v>4</v>
      </c>
      <c r="G268" s="1">
        <v>8</v>
      </c>
      <c r="H268" s="1">
        <v>9</v>
      </c>
      <c r="I268" s="1">
        <v>13</v>
      </c>
      <c r="J268" s="1">
        <v>18</v>
      </c>
      <c r="K268" s="1">
        <v>21</v>
      </c>
      <c r="L268" s="1">
        <v>25</v>
      </c>
      <c r="M268" s="1">
        <v>29</v>
      </c>
      <c r="N268" s="1">
        <v>18</v>
      </c>
      <c r="O268" s="1">
        <v>18</v>
      </c>
      <c r="P268" s="1">
        <v>20</v>
      </c>
      <c r="Q268" s="1">
        <v>22</v>
      </c>
      <c r="R268" s="1">
        <v>25</v>
      </c>
      <c r="S268" s="1">
        <v>23</v>
      </c>
      <c r="T268" s="1">
        <v>19</v>
      </c>
      <c r="U268" s="1">
        <v>16</v>
      </c>
      <c r="V268" s="1">
        <v>16</v>
      </c>
      <c r="W268" s="1">
        <v>20</v>
      </c>
      <c r="X268" s="1">
        <v>14</v>
      </c>
      <c r="Y268" s="1">
        <v>7</v>
      </c>
    </row>
    <row r="269" spans="1:25" x14ac:dyDescent="0.3">
      <c r="A269" s="2">
        <v>42972</v>
      </c>
      <c r="B269" s="1">
        <v>5</v>
      </c>
      <c r="C269" s="1">
        <v>9</v>
      </c>
      <c r="D269" s="1">
        <v>12</v>
      </c>
      <c r="E269" s="1">
        <v>2</v>
      </c>
      <c r="F269" s="1">
        <v>9</v>
      </c>
      <c r="G269" s="1">
        <v>8</v>
      </c>
      <c r="H269" s="1">
        <v>3</v>
      </c>
      <c r="I269" s="1">
        <v>11</v>
      </c>
      <c r="J269" s="1">
        <v>11</v>
      </c>
      <c r="K269" s="1">
        <v>13</v>
      </c>
      <c r="L269" s="1">
        <v>31</v>
      </c>
      <c r="M269" s="1">
        <v>24</v>
      </c>
      <c r="N269" s="1">
        <v>22</v>
      </c>
      <c r="O269" s="1">
        <v>23</v>
      </c>
      <c r="P269" s="1">
        <v>20</v>
      </c>
      <c r="Q269" s="1">
        <v>28</v>
      </c>
      <c r="R269" s="1">
        <v>26</v>
      </c>
      <c r="S269" s="1">
        <v>20</v>
      </c>
      <c r="T269" s="1">
        <v>10</v>
      </c>
      <c r="U269" s="1">
        <v>16</v>
      </c>
      <c r="V269" s="1">
        <v>11</v>
      </c>
      <c r="W269" s="1">
        <v>25</v>
      </c>
      <c r="X269" s="1">
        <v>13</v>
      </c>
      <c r="Y269" s="1">
        <v>6</v>
      </c>
    </row>
    <row r="270" spans="1:25" x14ac:dyDescent="0.3">
      <c r="A270" s="2">
        <v>42973</v>
      </c>
      <c r="B270" s="1">
        <v>8</v>
      </c>
      <c r="C270" s="1">
        <v>2</v>
      </c>
      <c r="D270" s="1">
        <v>8</v>
      </c>
      <c r="E270" s="1">
        <v>2</v>
      </c>
      <c r="F270" s="1">
        <v>10</v>
      </c>
      <c r="G270" s="1">
        <v>6</v>
      </c>
      <c r="H270" s="1">
        <v>5</v>
      </c>
      <c r="I270" s="1">
        <v>7</v>
      </c>
      <c r="J270" s="1">
        <v>23</v>
      </c>
      <c r="K270" s="1">
        <v>15</v>
      </c>
      <c r="L270" s="1">
        <v>16</v>
      </c>
      <c r="M270" s="1">
        <v>23</v>
      </c>
      <c r="N270" s="1">
        <v>20</v>
      </c>
      <c r="O270" s="1">
        <v>29</v>
      </c>
      <c r="P270" s="1">
        <v>28</v>
      </c>
      <c r="Q270" s="1">
        <v>19</v>
      </c>
      <c r="R270" s="1">
        <v>19</v>
      </c>
      <c r="S270" s="1">
        <v>16</v>
      </c>
      <c r="T270" s="1">
        <v>26</v>
      </c>
      <c r="U270" s="1">
        <v>15</v>
      </c>
      <c r="V270" s="1">
        <v>29</v>
      </c>
      <c r="W270" s="1">
        <v>13</v>
      </c>
      <c r="X270" s="1">
        <v>8</v>
      </c>
      <c r="Y270" s="1">
        <v>9</v>
      </c>
    </row>
    <row r="271" spans="1:25" x14ac:dyDescent="0.3">
      <c r="A271" s="2">
        <v>42974</v>
      </c>
      <c r="B271" s="1">
        <v>10</v>
      </c>
      <c r="C271" s="1">
        <v>15</v>
      </c>
      <c r="D271" s="1">
        <v>6</v>
      </c>
      <c r="E271" s="1">
        <v>7</v>
      </c>
      <c r="F271" s="1">
        <v>4</v>
      </c>
      <c r="G271" s="1">
        <v>13</v>
      </c>
      <c r="H271" s="1">
        <v>9</v>
      </c>
      <c r="I271" s="1">
        <v>9</v>
      </c>
      <c r="J271" s="1">
        <v>4</v>
      </c>
      <c r="K271" s="1">
        <v>13</v>
      </c>
      <c r="L271" s="1">
        <v>16</v>
      </c>
      <c r="M271" s="1">
        <v>16</v>
      </c>
      <c r="N271" s="1">
        <v>20</v>
      </c>
      <c r="O271" s="1">
        <v>19</v>
      </c>
      <c r="P271" s="1">
        <v>15</v>
      </c>
      <c r="Q271" s="1">
        <v>19</v>
      </c>
      <c r="R271" s="1">
        <v>13</v>
      </c>
      <c r="S271" s="1">
        <v>23</v>
      </c>
      <c r="T271" s="1">
        <v>19</v>
      </c>
      <c r="U271" s="1">
        <v>18</v>
      </c>
      <c r="V271" s="1">
        <v>15</v>
      </c>
      <c r="W271" s="1">
        <v>7</v>
      </c>
      <c r="X271" s="1">
        <v>7</v>
      </c>
      <c r="Y271" s="1">
        <v>8</v>
      </c>
    </row>
    <row r="272" spans="1:25" x14ac:dyDescent="0.3">
      <c r="A272" s="2">
        <v>42975</v>
      </c>
      <c r="B272" s="1">
        <v>8</v>
      </c>
      <c r="C272" s="1">
        <v>5</v>
      </c>
      <c r="D272" s="1">
        <v>5</v>
      </c>
      <c r="E272" s="1">
        <v>1</v>
      </c>
      <c r="F272" s="1">
        <v>5</v>
      </c>
      <c r="G272" s="1">
        <v>11</v>
      </c>
      <c r="H272" s="1">
        <v>9</v>
      </c>
      <c r="I272" s="1">
        <v>26</v>
      </c>
      <c r="J272" s="1">
        <v>30</v>
      </c>
      <c r="K272" s="1">
        <v>24</v>
      </c>
      <c r="L272" s="1">
        <v>18</v>
      </c>
      <c r="M272" s="1">
        <v>13</v>
      </c>
      <c r="N272" s="1">
        <v>27</v>
      </c>
      <c r="O272" s="1">
        <v>15</v>
      </c>
      <c r="P272" s="1">
        <v>24</v>
      </c>
      <c r="Q272" s="1">
        <v>18</v>
      </c>
      <c r="R272" s="1">
        <v>19</v>
      </c>
      <c r="S272" s="1">
        <v>22</v>
      </c>
      <c r="T272" s="1">
        <v>26</v>
      </c>
      <c r="U272" s="1">
        <v>9</v>
      </c>
      <c r="V272" s="1">
        <v>18</v>
      </c>
      <c r="W272" s="1">
        <v>4</v>
      </c>
      <c r="X272" s="1">
        <v>4</v>
      </c>
      <c r="Y272" s="1">
        <v>5</v>
      </c>
    </row>
    <row r="273" spans="1:25" x14ac:dyDescent="0.3">
      <c r="A273" s="2">
        <v>42976</v>
      </c>
      <c r="B273" s="1">
        <v>8</v>
      </c>
      <c r="C273" s="1">
        <v>4</v>
      </c>
      <c r="D273" s="1">
        <v>3</v>
      </c>
      <c r="E273" s="1">
        <v>9</v>
      </c>
      <c r="F273" s="1">
        <v>9</v>
      </c>
      <c r="G273" s="1">
        <v>5</v>
      </c>
      <c r="H273" s="1">
        <v>8</v>
      </c>
      <c r="I273" s="1">
        <v>12</v>
      </c>
      <c r="J273" s="1">
        <v>27</v>
      </c>
      <c r="K273" s="1">
        <v>23</v>
      </c>
      <c r="L273" s="1">
        <v>28</v>
      </c>
      <c r="M273" s="1">
        <v>28</v>
      </c>
      <c r="N273" s="1">
        <v>22</v>
      </c>
      <c r="O273" s="1">
        <v>28</v>
      </c>
      <c r="P273" s="1">
        <v>35</v>
      </c>
      <c r="Q273" s="1">
        <v>37</v>
      </c>
      <c r="R273" s="1">
        <v>27</v>
      </c>
      <c r="S273" s="1">
        <v>33</v>
      </c>
      <c r="T273" s="1">
        <v>23</v>
      </c>
      <c r="U273" s="1">
        <v>21</v>
      </c>
      <c r="V273" s="1">
        <v>6</v>
      </c>
      <c r="W273" s="1">
        <v>22</v>
      </c>
      <c r="X273" s="1">
        <v>9</v>
      </c>
      <c r="Y273" s="1">
        <v>7</v>
      </c>
    </row>
    <row r="274" spans="1:25" x14ac:dyDescent="0.3">
      <c r="A274" s="2">
        <v>42977</v>
      </c>
      <c r="B274" s="1">
        <v>4</v>
      </c>
      <c r="C274" s="1">
        <v>5</v>
      </c>
      <c r="D274" s="1">
        <v>2</v>
      </c>
      <c r="E274" s="1">
        <v>4</v>
      </c>
      <c r="F274" s="1">
        <v>4</v>
      </c>
      <c r="G274" s="1">
        <v>6</v>
      </c>
      <c r="H274" s="1">
        <v>10</v>
      </c>
      <c r="I274" s="1">
        <v>16</v>
      </c>
      <c r="J274" s="1">
        <v>22</v>
      </c>
      <c r="K274" s="1">
        <v>18</v>
      </c>
      <c r="L274" s="1">
        <v>20</v>
      </c>
      <c r="M274" s="1">
        <v>20</v>
      </c>
      <c r="N274" s="1">
        <v>29</v>
      </c>
      <c r="O274" s="1">
        <v>26</v>
      </c>
      <c r="P274" s="1">
        <v>23</v>
      </c>
      <c r="Q274" s="1">
        <v>26</v>
      </c>
      <c r="R274" s="1">
        <v>27</v>
      </c>
      <c r="S274" s="1">
        <v>25</v>
      </c>
      <c r="T274" s="1">
        <v>19</v>
      </c>
      <c r="U274" s="1">
        <v>15</v>
      </c>
      <c r="V274" s="1">
        <v>21</v>
      </c>
      <c r="W274" s="1">
        <v>9</v>
      </c>
      <c r="X274" s="1">
        <v>18</v>
      </c>
      <c r="Y274" s="1">
        <v>10</v>
      </c>
    </row>
    <row r="275" spans="1:25" x14ac:dyDescent="0.3">
      <c r="A275" s="2">
        <v>42978</v>
      </c>
      <c r="B275" s="1">
        <v>7</v>
      </c>
      <c r="C275" s="1">
        <v>8</v>
      </c>
      <c r="D275" s="1">
        <v>6</v>
      </c>
      <c r="E275" s="1">
        <v>5</v>
      </c>
      <c r="F275" s="1">
        <v>6</v>
      </c>
      <c r="G275" s="1">
        <v>7</v>
      </c>
      <c r="H275" s="1">
        <v>8</v>
      </c>
      <c r="I275" s="1">
        <v>18</v>
      </c>
      <c r="J275" s="1">
        <v>10</v>
      </c>
      <c r="K275" s="1">
        <v>16</v>
      </c>
      <c r="L275" s="1">
        <v>23</v>
      </c>
      <c r="M275" s="1">
        <v>21</v>
      </c>
      <c r="N275" s="1">
        <v>27</v>
      </c>
      <c r="O275" s="1">
        <v>31</v>
      </c>
      <c r="P275" s="1">
        <v>41</v>
      </c>
      <c r="Q275" s="1">
        <v>21</v>
      </c>
      <c r="R275" s="1">
        <v>21</v>
      </c>
      <c r="S275" s="1">
        <v>34</v>
      </c>
      <c r="T275" s="1">
        <v>16</v>
      </c>
      <c r="U275" s="1">
        <v>26</v>
      </c>
      <c r="V275" s="1">
        <v>17</v>
      </c>
      <c r="W275" s="1">
        <v>11</v>
      </c>
      <c r="X275" s="1">
        <v>11</v>
      </c>
      <c r="Y275" s="1">
        <v>11</v>
      </c>
    </row>
    <row r="276" spans="1:25" x14ac:dyDescent="0.3">
      <c r="A276" s="2">
        <v>42979</v>
      </c>
      <c r="B276" s="1">
        <v>10</v>
      </c>
      <c r="C276" s="1">
        <v>4</v>
      </c>
      <c r="D276" s="1">
        <v>7</v>
      </c>
      <c r="E276" s="1">
        <v>2</v>
      </c>
      <c r="F276" s="1">
        <v>8</v>
      </c>
      <c r="G276" s="1">
        <v>5</v>
      </c>
      <c r="H276" s="1">
        <v>8</v>
      </c>
      <c r="I276" s="1">
        <v>27</v>
      </c>
      <c r="J276" s="1">
        <v>13</v>
      </c>
      <c r="K276" s="1">
        <v>16</v>
      </c>
      <c r="L276" s="1">
        <v>18</v>
      </c>
      <c r="M276" s="1">
        <v>22</v>
      </c>
      <c r="N276" s="1">
        <v>28</v>
      </c>
      <c r="O276" s="1">
        <v>17</v>
      </c>
      <c r="P276" s="1">
        <v>35</v>
      </c>
      <c r="Q276" s="1">
        <v>22</v>
      </c>
      <c r="R276" s="1">
        <v>19</v>
      </c>
      <c r="S276" s="1">
        <v>16</v>
      </c>
      <c r="T276" s="1">
        <v>16</v>
      </c>
      <c r="U276" s="1">
        <v>22</v>
      </c>
      <c r="V276" s="1">
        <v>20</v>
      </c>
      <c r="W276" s="1">
        <v>17</v>
      </c>
      <c r="X276" s="1">
        <v>9</v>
      </c>
      <c r="Y276" s="1">
        <v>16</v>
      </c>
    </row>
    <row r="277" spans="1:25" x14ac:dyDescent="0.3">
      <c r="A277" s="2">
        <v>42980</v>
      </c>
      <c r="B277" s="1">
        <v>4</v>
      </c>
      <c r="C277" s="1">
        <v>7</v>
      </c>
      <c r="D277" s="1">
        <v>8</v>
      </c>
      <c r="E277" s="1">
        <v>6</v>
      </c>
      <c r="F277" s="1">
        <v>5</v>
      </c>
      <c r="G277" s="1">
        <v>9</v>
      </c>
      <c r="H277" s="1">
        <v>8</v>
      </c>
      <c r="I277" s="1">
        <v>11</v>
      </c>
      <c r="J277" s="1">
        <v>7</v>
      </c>
      <c r="K277" s="1">
        <v>7</v>
      </c>
      <c r="L277" s="1">
        <v>19</v>
      </c>
      <c r="M277" s="1">
        <v>24</v>
      </c>
      <c r="N277" s="1">
        <v>24</v>
      </c>
      <c r="O277" s="1">
        <v>21</v>
      </c>
      <c r="P277" s="1">
        <v>24</v>
      </c>
      <c r="Q277" s="1">
        <v>20</v>
      </c>
      <c r="R277" s="1">
        <v>29</v>
      </c>
      <c r="S277" s="1">
        <v>12</v>
      </c>
      <c r="T277" s="1">
        <v>22</v>
      </c>
      <c r="U277" s="1">
        <v>23</v>
      </c>
      <c r="V277" s="1">
        <v>16</v>
      </c>
      <c r="W277" s="1">
        <v>18</v>
      </c>
      <c r="X277" s="1">
        <v>11</v>
      </c>
      <c r="Y277" s="1">
        <v>7</v>
      </c>
    </row>
    <row r="278" spans="1:25" x14ac:dyDescent="0.3">
      <c r="A278" s="2">
        <v>42981</v>
      </c>
      <c r="B278" s="1">
        <v>11</v>
      </c>
      <c r="C278" s="1">
        <v>10</v>
      </c>
      <c r="D278" s="1">
        <v>8</v>
      </c>
      <c r="E278" s="1">
        <v>8</v>
      </c>
      <c r="F278" s="1">
        <v>6</v>
      </c>
      <c r="G278" s="1">
        <v>8</v>
      </c>
      <c r="H278" s="1">
        <v>13</v>
      </c>
      <c r="I278" s="1">
        <v>28</v>
      </c>
      <c r="J278" s="1">
        <v>11</v>
      </c>
      <c r="K278" s="1">
        <v>17</v>
      </c>
      <c r="L278" s="1">
        <v>27</v>
      </c>
      <c r="M278" s="1">
        <v>14</v>
      </c>
      <c r="N278" s="1">
        <v>17</v>
      </c>
      <c r="O278" s="1">
        <v>15</v>
      </c>
      <c r="P278" s="1">
        <v>29</v>
      </c>
      <c r="Q278" s="1">
        <v>20</v>
      </c>
      <c r="R278" s="1">
        <v>11</v>
      </c>
      <c r="S278" s="1">
        <v>17</v>
      </c>
      <c r="T278" s="1">
        <v>12</v>
      </c>
      <c r="U278" s="1">
        <v>13</v>
      </c>
      <c r="V278" s="1">
        <v>16</v>
      </c>
      <c r="W278" s="1">
        <v>15</v>
      </c>
      <c r="X278" s="1">
        <v>10</v>
      </c>
      <c r="Y278" s="1">
        <v>12</v>
      </c>
    </row>
    <row r="279" spans="1:25" x14ac:dyDescent="0.3">
      <c r="A279" s="2">
        <v>42982</v>
      </c>
      <c r="B279" s="1">
        <v>17</v>
      </c>
      <c r="C279" s="1">
        <v>8</v>
      </c>
      <c r="D279" s="1">
        <v>2</v>
      </c>
      <c r="E279" s="1">
        <v>5</v>
      </c>
      <c r="F279" s="1">
        <v>5</v>
      </c>
      <c r="G279" s="1">
        <v>6</v>
      </c>
      <c r="H279" s="1">
        <v>8</v>
      </c>
      <c r="I279" s="1">
        <v>5</v>
      </c>
      <c r="J279" s="1">
        <v>10</v>
      </c>
      <c r="K279" s="1">
        <v>12</v>
      </c>
      <c r="L279" s="1">
        <v>10</v>
      </c>
      <c r="M279" s="1">
        <v>15</v>
      </c>
      <c r="N279" s="1">
        <v>28</v>
      </c>
      <c r="O279" s="1">
        <v>23</v>
      </c>
      <c r="P279" s="1">
        <v>16</v>
      </c>
      <c r="Q279" s="1">
        <v>23</v>
      </c>
      <c r="R279" s="1">
        <v>12</v>
      </c>
      <c r="S279" s="1">
        <v>18</v>
      </c>
      <c r="T279" s="1">
        <v>23</v>
      </c>
      <c r="U279" s="1">
        <v>17</v>
      </c>
      <c r="V279" s="1">
        <v>17</v>
      </c>
      <c r="W279" s="1">
        <v>12</v>
      </c>
      <c r="X279" s="1">
        <v>11</v>
      </c>
      <c r="Y279" s="1">
        <v>6</v>
      </c>
    </row>
    <row r="280" spans="1:25" x14ac:dyDescent="0.3">
      <c r="A280" s="2">
        <v>42983</v>
      </c>
      <c r="B280" s="1">
        <v>5</v>
      </c>
      <c r="C280" s="1">
        <v>4</v>
      </c>
      <c r="D280" s="1">
        <v>9</v>
      </c>
      <c r="E280" s="1">
        <v>4</v>
      </c>
      <c r="F280" s="1">
        <v>7</v>
      </c>
      <c r="G280" s="1">
        <v>8</v>
      </c>
      <c r="H280" s="1">
        <v>11</v>
      </c>
      <c r="I280" s="1">
        <v>19</v>
      </c>
      <c r="J280" s="1">
        <v>21</v>
      </c>
      <c r="K280" s="1">
        <v>21</v>
      </c>
      <c r="L280" s="1">
        <v>25</v>
      </c>
      <c r="M280" s="1">
        <v>27</v>
      </c>
      <c r="N280" s="1">
        <v>31</v>
      </c>
      <c r="O280" s="1">
        <v>32</v>
      </c>
      <c r="P280" s="1">
        <v>22</v>
      </c>
      <c r="Q280" s="1">
        <v>30</v>
      </c>
      <c r="R280" s="1">
        <v>29</v>
      </c>
      <c r="S280" s="1">
        <v>25</v>
      </c>
      <c r="T280" s="1">
        <v>70</v>
      </c>
      <c r="U280" s="1">
        <v>22</v>
      </c>
      <c r="V280" s="1">
        <v>20</v>
      </c>
      <c r="W280" s="1">
        <v>23</v>
      </c>
      <c r="X280" s="1">
        <v>17</v>
      </c>
      <c r="Y280" s="1">
        <v>6</v>
      </c>
    </row>
    <row r="281" spans="1:25" x14ac:dyDescent="0.3">
      <c r="A281" s="2">
        <v>42984</v>
      </c>
      <c r="B281" s="1">
        <v>1</v>
      </c>
      <c r="C281" s="1">
        <v>11</v>
      </c>
      <c r="D281" s="1">
        <v>10</v>
      </c>
      <c r="E281" s="1">
        <v>5</v>
      </c>
      <c r="F281" s="1">
        <v>11</v>
      </c>
      <c r="G281" s="1">
        <v>8</v>
      </c>
      <c r="H281" s="1">
        <v>15</v>
      </c>
      <c r="I281" s="1">
        <v>39</v>
      </c>
      <c r="J281" s="1">
        <v>29</v>
      </c>
      <c r="K281" s="1">
        <v>20</v>
      </c>
      <c r="L281" s="1">
        <v>24</v>
      </c>
      <c r="M281" s="1">
        <v>21</v>
      </c>
      <c r="N281" s="1">
        <v>19</v>
      </c>
      <c r="O281" s="1">
        <v>22</v>
      </c>
      <c r="P281" s="1">
        <v>18</v>
      </c>
      <c r="Q281" s="1">
        <v>22</v>
      </c>
      <c r="R281" s="1">
        <v>28</v>
      </c>
      <c r="S281" s="1">
        <v>30</v>
      </c>
      <c r="T281" s="1">
        <v>27</v>
      </c>
      <c r="U281" s="1">
        <v>15</v>
      </c>
      <c r="V281" s="1">
        <v>22</v>
      </c>
      <c r="W281" s="1">
        <v>19</v>
      </c>
      <c r="X281" s="1">
        <v>13</v>
      </c>
      <c r="Y281" s="1">
        <v>7</v>
      </c>
    </row>
    <row r="282" spans="1:25" x14ac:dyDescent="0.3">
      <c r="A282" s="2">
        <v>42985</v>
      </c>
      <c r="B282" s="1">
        <v>5</v>
      </c>
      <c r="C282" s="1">
        <v>7</v>
      </c>
      <c r="D282" s="1">
        <v>9</v>
      </c>
      <c r="E282" s="1">
        <v>8</v>
      </c>
      <c r="F282" s="1">
        <v>4</v>
      </c>
      <c r="G282" s="1">
        <v>6</v>
      </c>
      <c r="H282" s="1">
        <v>6</v>
      </c>
      <c r="I282" s="1">
        <v>20</v>
      </c>
      <c r="J282" s="1">
        <v>21</v>
      </c>
      <c r="K282" s="1">
        <v>25</v>
      </c>
      <c r="L282" s="1">
        <v>28</v>
      </c>
      <c r="M282" s="1">
        <v>25</v>
      </c>
      <c r="N282" s="1">
        <v>20</v>
      </c>
      <c r="O282" s="1">
        <v>23</v>
      </c>
      <c r="P282" s="1">
        <v>18</v>
      </c>
      <c r="Q282" s="1">
        <v>24</v>
      </c>
      <c r="R282" s="1">
        <v>30</v>
      </c>
      <c r="S282" s="1">
        <v>34</v>
      </c>
      <c r="T282" s="1">
        <v>21</v>
      </c>
      <c r="U282" s="1">
        <v>13</v>
      </c>
      <c r="V282" s="1">
        <v>13</v>
      </c>
      <c r="W282" s="1">
        <v>14</v>
      </c>
      <c r="X282" s="1">
        <v>14</v>
      </c>
      <c r="Y282" s="1">
        <v>7</v>
      </c>
    </row>
    <row r="283" spans="1:25" x14ac:dyDescent="0.3">
      <c r="A283" s="2">
        <v>42986</v>
      </c>
      <c r="B283" s="1">
        <v>14</v>
      </c>
      <c r="C283" s="1">
        <v>4</v>
      </c>
      <c r="D283" s="1">
        <v>6</v>
      </c>
      <c r="E283" s="1">
        <v>1</v>
      </c>
      <c r="F283" s="1">
        <v>1</v>
      </c>
      <c r="G283" s="1">
        <v>3</v>
      </c>
      <c r="H283" s="1">
        <v>6</v>
      </c>
      <c r="I283" s="1">
        <v>18</v>
      </c>
      <c r="J283" s="1">
        <v>14</v>
      </c>
      <c r="K283" s="1">
        <v>13</v>
      </c>
      <c r="L283" s="1">
        <v>20</v>
      </c>
      <c r="M283" s="1">
        <v>17</v>
      </c>
      <c r="N283" s="1">
        <v>28</v>
      </c>
      <c r="O283" s="1">
        <v>20</v>
      </c>
      <c r="P283" s="1">
        <v>19</v>
      </c>
      <c r="Q283" s="1">
        <v>21</v>
      </c>
      <c r="R283" s="1">
        <v>19</v>
      </c>
      <c r="S283" s="1">
        <v>23</v>
      </c>
      <c r="T283" s="1">
        <v>17</v>
      </c>
      <c r="U283" s="1">
        <v>18</v>
      </c>
      <c r="V283" s="1">
        <v>23</v>
      </c>
      <c r="W283" s="1">
        <v>9</v>
      </c>
      <c r="X283" s="1">
        <v>17</v>
      </c>
      <c r="Y283" s="1">
        <v>9</v>
      </c>
    </row>
    <row r="284" spans="1:25" x14ac:dyDescent="0.3">
      <c r="A284" s="2">
        <v>42987</v>
      </c>
      <c r="B284" s="1">
        <v>4</v>
      </c>
      <c r="C284" s="1">
        <v>8</v>
      </c>
      <c r="D284" s="1">
        <v>6</v>
      </c>
      <c r="E284" s="1">
        <v>2</v>
      </c>
      <c r="F284" s="1">
        <v>6</v>
      </c>
      <c r="G284" s="1">
        <v>8</v>
      </c>
      <c r="H284" s="1">
        <v>7</v>
      </c>
      <c r="I284" s="1">
        <v>15</v>
      </c>
      <c r="J284" s="1">
        <v>18</v>
      </c>
      <c r="K284" s="1">
        <v>11</v>
      </c>
      <c r="L284" s="1">
        <v>25</v>
      </c>
      <c r="M284" s="1">
        <v>23</v>
      </c>
      <c r="N284" s="1">
        <v>19</v>
      </c>
      <c r="O284" s="1">
        <v>16</v>
      </c>
      <c r="P284" s="1">
        <v>20</v>
      </c>
      <c r="Q284" s="1">
        <v>12</v>
      </c>
      <c r="R284" s="1">
        <v>19</v>
      </c>
      <c r="S284" s="1">
        <v>19</v>
      </c>
      <c r="T284" s="1">
        <v>14</v>
      </c>
      <c r="U284" s="1">
        <v>12</v>
      </c>
      <c r="V284" s="1">
        <v>17</v>
      </c>
      <c r="W284" s="1">
        <v>17</v>
      </c>
      <c r="X284" s="1">
        <v>15</v>
      </c>
      <c r="Y284" s="1">
        <v>8</v>
      </c>
    </row>
    <row r="285" spans="1:25" x14ac:dyDescent="0.3">
      <c r="A285" s="2">
        <v>42988</v>
      </c>
      <c r="B285" s="1">
        <v>11</v>
      </c>
      <c r="C285" s="1">
        <v>8</v>
      </c>
      <c r="D285" s="1">
        <v>8</v>
      </c>
      <c r="E285" s="1">
        <v>6</v>
      </c>
      <c r="F285" s="1">
        <v>4</v>
      </c>
      <c r="G285" s="1">
        <v>3</v>
      </c>
      <c r="H285" s="1">
        <v>8</v>
      </c>
      <c r="I285" s="1">
        <v>8</v>
      </c>
      <c r="J285" s="1">
        <v>17</v>
      </c>
      <c r="K285" s="1">
        <v>19</v>
      </c>
      <c r="L285" s="1">
        <v>11</v>
      </c>
      <c r="M285" s="1">
        <v>16</v>
      </c>
      <c r="N285" s="1">
        <v>19</v>
      </c>
      <c r="O285" s="1">
        <v>23</v>
      </c>
      <c r="P285" s="1">
        <v>14</v>
      </c>
      <c r="Q285" s="1">
        <v>25</v>
      </c>
      <c r="R285" s="1">
        <v>24</v>
      </c>
      <c r="S285" s="1">
        <v>12</v>
      </c>
      <c r="T285" s="1">
        <v>25</v>
      </c>
      <c r="U285" s="1">
        <v>20</v>
      </c>
      <c r="V285" s="1">
        <v>19</v>
      </c>
      <c r="W285" s="1">
        <v>9</v>
      </c>
      <c r="X285" s="1">
        <v>5</v>
      </c>
      <c r="Y285" s="1">
        <v>4</v>
      </c>
    </row>
    <row r="286" spans="1:25" x14ac:dyDescent="0.3">
      <c r="A286" s="2">
        <v>42989</v>
      </c>
      <c r="B286" s="1">
        <v>12</v>
      </c>
      <c r="C286" s="1">
        <v>4</v>
      </c>
      <c r="D286" s="1">
        <v>4</v>
      </c>
      <c r="E286" s="1">
        <v>4</v>
      </c>
      <c r="F286" s="1">
        <v>6</v>
      </c>
      <c r="G286" s="1">
        <v>7</v>
      </c>
      <c r="H286" s="1">
        <v>8</v>
      </c>
      <c r="I286" s="1">
        <v>19</v>
      </c>
      <c r="J286" s="1">
        <v>22</v>
      </c>
      <c r="K286" s="1">
        <v>36</v>
      </c>
      <c r="L286" s="1">
        <v>13</v>
      </c>
      <c r="M286" s="1">
        <v>18</v>
      </c>
      <c r="N286" s="1">
        <v>24</v>
      </c>
      <c r="O286" s="1">
        <v>22</v>
      </c>
      <c r="P286" s="1">
        <v>19</v>
      </c>
      <c r="Q286" s="1">
        <v>30</v>
      </c>
      <c r="R286" s="1">
        <v>24</v>
      </c>
      <c r="S286" s="1">
        <v>27</v>
      </c>
      <c r="T286" s="1">
        <v>20</v>
      </c>
      <c r="U286" s="1">
        <v>19</v>
      </c>
      <c r="V286" s="1">
        <v>11</v>
      </c>
      <c r="W286" s="1">
        <v>13</v>
      </c>
      <c r="X286" s="1">
        <v>12</v>
      </c>
      <c r="Y286" s="1">
        <v>4</v>
      </c>
    </row>
    <row r="287" spans="1:25" x14ac:dyDescent="0.3">
      <c r="A287" s="2">
        <v>42990</v>
      </c>
      <c r="B287" s="1">
        <v>7</v>
      </c>
      <c r="C287" s="1">
        <v>6</v>
      </c>
      <c r="D287" s="1">
        <v>5</v>
      </c>
      <c r="E287" s="1">
        <v>5</v>
      </c>
      <c r="F287" s="1">
        <v>3</v>
      </c>
      <c r="G287" s="1">
        <v>6</v>
      </c>
      <c r="H287" s="1">
        <v>7</v>
      </c>
      <c r="I287" s="1">
        <v>16</v>
      </c>
      <c r="J287" s="1">
        <v>21</v>
      </c>
      <c r="K287" s="1">
        <v>32</v>
      </c>
      <c r="L287" s="1">
        <v>23</v>
      </c>
      <c r="M287" s="1">
        <v>24</v>
      </c>
      <c r="N287" s="1">
        <v>19</v>
      </c>
      <c r="O287" s="1">
        <v>13</v>
      </c>
      <c r="P287" s="1">
        <v>25</v>
      </c>
      <c r="Q287" s="1">
        <v>31</v>
      </c>
      <c r="R287" s="1">
        <v>19</v>
      </c>
      <c r="S287" s="1">
        <v>33</v>
      </c>
      <c r="T287" s="1">
        <v>16</v>
      </c>
      <c r="U287" s="1">
        <v>14</v>
      </c>
      <c r="V287" s="1">
        <v>19</v>
      </c>
      <c r="W287" s="1">
        <v>10</v>
      </c>
      <c r="X287" s="1">
        <v>5</v>
      </c>
      <c r="Y287" s="1">
        <v>4</v>
      </c>
    </row>
    <row r="288" spans="1:25" x14ac:dyDescent="0.3">
      <c r="A288" s="2">
        <v>42991</v>
      </c>
      <c r="B288" s="1">
        <v>8</v>
      </c>
      <c r="C288" s="1">
        <v>3</v>
      </c>
      <c r="D288" s="1">
        <v>3</v>
      </c>
      <c r="E288" s="1">
        <v>3</v>
      </c>
      <c r="F288" s="1">
        <v>5</v>
      </c>
      <c r="G288" s="1">
        <v>8</v>
      </c>
      <c r="H288" s="1">
        <v>17</v>
      </c>
      <c r="I288" s="1">
        <v>22</v>
      </c>
      <c r="J288" s="1">
        <v>16</v>
      </c>
      <c r="K288" s="1">
        <v>14</v>
      </c>
      <c r="L288" s="1">
        <v>20</v>
      </c>
      <c r="M288" s="1">
        <v>26</v>
      </c>
      <c r="N288" s="1">
        <v>27</v>
      </c>
      <c r="O288" s="1">
        <v>24</v>
      </c>
      <c r="P288" s="1">
        <v>26</v>
      </c>
      <c r="Q288" s="1">
        <v>26</v>
      </c>
      <c r="R288" s="1">
        <v>34</v>
      </c>
      <c r="S288" s="1">
        <v>25</v>
      </c>
      <c r="T288" s="1">
        <v>16</v>
      </c>
      <c r="U288" s="1">
        <v>17</v>
      </c>
      <c r="V288" s="1">
        <v>12</v>
      </c>
      <c r="W288" s="1">
        <v>11</v>
      </c>
      <c r="X288" s="1">
        <v>9</v>
      </c>
      <c r="Y288" s="1">
        <v>11</v>
      </c>
    </row>
    <row r="289" spans="1:25" x14ac:dyDescent="0.3">
      <c r="A289" s="2">
        <v>42992</v>
      </c>
      <c r="B289" s="1">
        <v>8</v>
      </c>
      <c r="C289" s="1">
        <v>4</v>
      </c>
      <c r="D289" s="1">
        <v>10</v>
      </c>
      <c r="E289" s="1">
        <v>4</v>
      </c>
      <c r="F289" s="1">
        <v>7</v>
      </c>
      <c r="G289" s="1">
        <v>3</v>
      </c>
      <c r="H289" s="1">
        <v>7</v>
      </c>
      <c r="I289" s="1">
        <v>14</v>
      </c>
      <c r="J289" s="1">
        <v>17</v>
      </c>
      <c r="K289" s="1">
        <v>19</v>
      </c>
      <c r="L289" s="1">
        <v>20</v>
      </c>
      <c r="M289" s="1">
        <v>16</v>
      </c>
      <c r="N289" s="1">
        <v>14</v>
      </c>
      <c r="O289" s="1">
        <v>21</v>
      </c>
      <c r="P289" s="1">
        <v>19</v>
      </c>
      <c r="Q289" s="1">
        <v>22</v>
      </c>
      <c r="R289" s="1">
        <v>23</v>
      </c>
      <c r="S289" s="1">
        <v>30</v>
      </c>
      <c r="T289" s="1">
        <v>27</v>
      </c>
      <c r="U289" s="1">
        <v>23</v>
      </c>
      <c r="V289" s="1">
        <v>25</v>
      </c>
      <c r="W289" s="1">
        <v>13</v>
      </c>
      <c r="X289" s="1">
        <v>12</v>
      </c>
      <c r="Y289" s="1">
        <v>10</v>
      </c>
    </row>
    <row r="290" spans="1:25" x14ac:dyDescent="0.3">
      <c r="A290" s="2">
        <v>42993</v>
      </c>
      <c r="B290" s="1">
        <v>3</v>
      </c>
      <c r="C290" s="1">
        <v>7</v>
      </c>
      <c r="D290" s="1">
        <v>5</v>
      </c>
      <c r="E290" s="1">
        <v>6</v>
      </c>
      <c r="F290" s="1">
        <v>3</v>
      </c>
      <c r="G290" s="1">
        <v>10</v>
      </c>
      <c r="H290" s="1">
        <v>11</v>
      </c>
      <c r="I290" s="1">
        <v>17</v>
      </c>
      <c r="J290" s="1">
        <v>24</v>
      </c>
      <c r="K290" s="1">
        <v>18</v>
      </c>
      <c r="L290" s="1">
        <v>23</v>
      </c>
      <c r="M290" s="1">
        <v>25</v>
      </c>
      <c r="N290" s="1">
        <v>26</v>
      </c>
      <c r="O290" s="1">
        <v>27</v>
      </c>
      <c r="P290" s="1">
        <v>28</v>
      </c>
      <c r="Q290" s="1">
        <v>28</v>
      </c>
      <c r="R290" s="1">
        <v>38</v>
      </c>
      <c r="S290" s="1">
        <v>32</v>
      </c>
      <c r="T290" s="1">
        <v>21</v>
      </c>
      <c r="U290" s="1">
        <v>26</v>
      </c>
      <c r="V290" s="1">
        <v>16</v>
      </c>
      <c r="W290" s="1">
        <v>19</v>
      </c>
      <c r="X290" s="1">
        <v>11</v>
      </c>
      <c r="Y290" s="1">
        <v>6</v>
      </c>
    </row>
    <row r="291" spans="1:25" x14ac:dyDescent="0.3">
      <c r="A291" s="2">
        <v>42994</v>
      </c>
      <c r="B291" s="1">
        <v>12</v>
      </c>
      <c r="C291" s="1">
        <v>6</v>
      </c>
      <c r="D291" s="1">
        <v>7</v>
      </c>
      <c r="E291" s="1">
        <v>5</v>
      </c>
      <c r="F291" s="1">
        <v>4</v>
      </c>
      <c r="G291" s="1">
        <v>7</v>
      </c>
      <c r="H291" s="1">
        <v>1</v>
      </c>
      <c r="I291" s="1">
        <v>13</v>
      </c>
      <c r="J291" s="1">
        <v>14</v>
      </c>
      <c r="K291" s="1">
        <v>18</v>
      </c>
      <c r="L291" s="1">
        <v>21</v>
      </c>
      <c r="M291" s="1">
        <v>21</v>
      </c>
      <c r="N291" s="1">
        <v>22</v>
      </c>
      <c r="O291" s="1">
        <v>22</v>
      </c>
      <c r="P291" s="1">
        <v>25</v>
      </c>
      <c r="Q291" s="1">
        <v>16</v>
      </c>
      <c r="R291" s="1">
        <v>13</v>
      </c>
      <c r="S291" s="1">
        <v>15</v>
      </c>
      <c r="T291" s="1">
        <v>13</v>
      </c>
      <c r="U291" s="1">
        <v>17</v>
      </c>
      <c r="V291" s="1">
        <v>14</v>
      </c>
      <c r="W291" s="1">
        <v>18</v>
      </c>
      <c r="X291" s="1">
        <v>5</v>
      </c>
      <c r="Y291" s="1">
        <v>14</v>
      </c>
    </row>
    <row r="292" spans="1:25" x14ac:dyDescent="0.3">
      <c r="A292" s="2">
        <v>42995</v>
      </c>
      <c r="B292" s="1">
        <v>18</v>
      </c>
      <c r="C292" s="1">
        <v>7</v>
      </c>
      <c r="D292" s="1">
        <v>6</v>
      </c>
      <c r="E292" s="1">
        <v>4</v>
      </c>
      <c r="F292" s="1">
        <v>7</v>
      </c>
      <c r="G292" s="1">
        <v>4</v>
      </c>
      <c r="H292" s="1">
        <v>9</v>
      </c>
      <c r="I292" s="1">
        <v>9</v>
      </c>
      <c r="J292" s="1">
        <v>15</v>
      </c>
      <c r="K292" s="1">
        <v>2</v>
      </c>
      <c r="L292" s="1">
        <v>14</v>
      </c>
      <c r="M292" s="1">
        <v>12</v>
      </c>
      <c r="N292" s="1">
        <v>19</v>
      </c>
      <c r="O292" s="1">
        <v>23</v>
      </c>
      <c r="P292" s="1">
        <v>14</v>
      </c>
      <c r="Q292" s="1">
        <v>20</v>
      </c>
      <c r="R292" s="1">
        <v>29</v>
      </c>
      <c r="S292" s="1">
        <v>22</v>
      </c>
      <c r="T292" s="1">
        <v>26</v>
      </c>
      <c r="U292" s="1">
        <v>23</v>
      </c>
      <c r="V292" s="1">
        <v>7</v>
      </c>
      <c r="W292" s="1">
        <v>19</v>
      </c>
      <c r="X292" s="1">
        <v>6</v>
      </c>
      <c r="Y292" s="1">
        <v>5</v>
      </c>
    </row>
    <row r="293" spans="1:25" x14ac:dyDescent="0.3">
      <c r="A293" s="2">
        <v>42996</v>
      </c>
      <c r="B293" s="1">
        <v>3</v>
      </c>
      <c r="C293" s="1">
        <v>6</v>
      </c>
      <c r="D293" s="1">
        <v>5</v>
      </c>
      <c r="E293" s="1">
        <v>3</v>
      </c>
      <c r="F293" s="1">
        <v>3</v>
      </c>
      <c r="G293" s="1">
        <v>10</v>
      </c>
      <c r="H293" s="1">
        <v>10</v>
      </c>
      <c r="I293" s="1">
        <v>16</v>
      </c>
      <c r="J293" s="1">
        <v>16</v>
      </c>
      <c r="K293" s="1">
        <v>21</v>
      </c>
      <c r="L293" s="1">
        <v>25</v>
      </c>
      <c r="M293" s="1">
        <v>25</v>
      </c>
      <c r="N293" s="1">
        <v>32</v>
      </c>
      <c r="O293" s="1">
        <v>17</v>
      </c>
      <c r="P293" s="1">
        <v>24</v>
      </c>
      <c r="Q293" s="1">
        <v>18</v>
      </c>
      <c r="R293" s="1">
        <v>24</v>
      </c>
      <c r="S293" s="1">
        <v>20</v>
      </c>
      <c r="T293" s="1">
        <v>12</v>
      </c>
      <c r="U293" s="1">
        <v>17</v>
      </c>
      <c r="V293" s="1">
        <v>11</v>
      </c>
      <c r="W293" s="1">
        <v>10</v>
      </c>
      <c r="X293" s="1">
        <v>9</v>
      </c>
      <c r="Y293" s="1">
        <v>10</v>
      </c>
    </row>
    <row r="294" spans="1:25" x14ac:dyDescent="0.3">
      <c r="A294" s="2">
        <v>42997</v>
      </c>
      <c r="B294" s="1">
        <v>8</v>
      </c>
      <c r="C294" s="1">
        <v>6</v>
      </c>
      <c r="D294" s="1">
        <v>6</v>
      </c>
      <c r="E294" s="1">
        <v>5</v>
      </c>
      <c r="F294" s="1">
        <v>2</v>
      </c>
      <c r="G294" s="1">
        <v>8</v>
      </c>
      <c r="H294" s="1">
        <v>9</v>
      </c>
      <c r="I294" s="1">
        <v>13</v>
      </c>
      <c r="J294" s="1">
        <v>20</v>
      </c>
      <c r="K294" s="1">
        <v>24</v>
      </c>
      <c r="L294" s="1">
        <v>18</v>
      </c>
      <c r="M294" s="1">
        <v>14</v>
      </c>
      <c r="N294" s="1">
        <v>15</v>
      </c>
      <c r="O294" s="1">
        <v>32</v>
      </c>
      <c r="P294" s="1">
        <v>23</v>
      </c>
      <c r="Q294" s="1">
        <v>31</v>
      </c>
      <c r="R294" s="1">
        <v>21</v>
      </c>
      <c r="S294" s="1">
        <v>21</v>
      </c>
      <c r="T294" s="1">
        <v>13</v>
      </c>
      <c r="U294" s="1">
        <v>14</v>
      </c>
      <c r="V294" s="1">
        <v>12</v>
      </c>
      <c r="W294" s="1">
        <v>10</v>
      </c>
      <c r="X294" s="1">
        <v>11</v>
      </c>
      <c r="Y294" s="1">
        <v>5</v>
      </c>
    </row>
    <row r="295" spans="1:25" x14ac:dyDescent="0.3">
      <c r="A295" s="2">
        <v>42998</v>
      </c>
      <c r="B295" s="1">
        <v>5</v>
      </c>
      <c r="C295" s="1">
        <v>6</v>
      </c>
      <c r="D295" s="1">
        <v>9</v>
      </c>
      <c r="E295" s="1">
        <v>3</v>
      </c>
      <c r="F295" s="1">
        <v>5</v>
      </c>
      <c r="G295" s="1">
        <v>6</v>
      </c>
      <c r="H295" s="1">
        <v>7</v>
      </c>
      <c r="I295" s="1">
        <v>15</v>
      </c>
      <c r="J295" s="1">
        <v>15</v>
      </c>
      <c r="K295" s="1">
        <v>32</v>
      </c>
      <c r="L295" s="1">
        <v>16</v>
      </c>
      <c r="M295" s="1">
        <v>30</v>
      </c>
      <c r="N295" s="1">
        <v>21</v>
      </c>
      <c r="O295" s="1">
        <v>22</v>
      </c>
      <c r="P295" s="1">
        <v>29</v>
      </c>
      <c r="Q295" s="1">
        <v>28</v>
      </c>
      <c r="R295" s="1">
        <v>26</v>
      </c>
      <c r="S295" s="1">
        <v>41</v>
      </c>
      <c r="T295" s="1">
        <v>19</v>
      </c>
      <c r="U295" s="1">
        <v>19</v>
      </c>
      <c r="V295" s="1">
        <v>27</v>
      </c>
      <c r="W295" s="1">
        <v>18</v>
      </c>
      <c r="X295" s="1">
        <v>7</v>
      </c>
      <c r="Y295" s="1">
        <v>5</v>
      </c>
    </row>
    <row r="296" spans="1:25" x14ac:dyDescent="0.3">
      <c r="A296" s="2">
        <v>42999</v>
      </c>
      <c r="B296" s="1">
        <v>6</v>
      </c>
      <c r="C296" s="1">
        <v>4</v>
      </c>
      <c r="D296" s="1">
        <v>2</v>
      </c>
      <c r="E296" s="1">
        <v>5</v>
      </c>
      <c r="F296" s="1">
        <v>3</v>
      </c>
      <c r="G296" s="1">
        <v>5</v>
      </c>
      <c r="H296" s="1">
        <v>12</v>
      </c>
      <c r="I296" s="1">
        <v>16</v>
      </c>
      <c r="J296" s="1">
        <v>28</v>
      </c>
      <c r="K296" s="1">
        <v>19</v>
      </c>
      <c r="L296" s="1">
        <v>27</v>
      </c>
      <c r="M296" s="1">
        <v>26</v>
      </c>
      <c r="N296" s="1">
        <v>24</v>
      </c>
      <c r="O296" s="1">
        <v>27</v>
      </c>
      <c r="P296" s="1">
        <v>21</v>
      </c>
      <c r="Q296" s="1">
        <v>20</v>
      </c>
      <c r="R296" s="1">
        <v>14</v>
      </c>
      <c r="S296" s="1">
        <v>10</v>
      </c>
      <c r="T296" s="1">
        <v>21</v>
      </c>
      <c r="U296" s="1">
        <v>11</v>
      </c>
      <c r="V296" s="1">
        <v>16</v>
      </c>
      <c r="W296" s="1">
        <v>8</v>
      </c>
      <c r="X296" s="1">
        <v>11</v>
      </c>
      <c r="Y296" s="1">
        <v>7</v>
      </c>
    </row>
    <row r="297" spans="1:25" x14ac:dyDescent="0.3">
      <c r="A297" s="2">
        <v>43000</v>
      </c>
      <c r="B297" s="1">
        <v>8</v>
      </c>
      <c r="C297" s="1">
        <v>8</v>
      </c>
      <c r="D297" s="1">
        <v>5</v>
      </c>
      <c r="E297" s="1">
        <v>9</v>
      </c>
      <c r="F297" s="1">
        <v>5</v>
      </c>
      <c r="G297" s="1">
        <v>7</v>
      </c>
      <c r="H297" s="1">
        <v>9</v>
      </c>
      <c r="I297" s="1">
        <v>12</v>
      </c>
      <c r="J297" s="1">
        <v>26</v>
      </c>
      <c r="K297" s="1">
        <v>27</v>
      </c>
      <c r="L297" s="1">
        <v>17</v>
      </c>
      <c r="M297" s="1">
        <v>24</v>
      </c>
      <c r="N297" s="1">
        <v>42</v>
      </c>
      <c r="O297" s="1">
        <v>30</v>
      </c>
      <c r="P297" s="1">
        <v>22</v>
      </c>
      <c r="Q297" s="1">
        <v>18</v>
      </c>
      <c r="R297" s="1">
        <v>26</v>
      </c>
      <c r="S297" s="1">
        <v>29</v>
      </c>
      <c r="T297" s="1">
        <v>21</v>
      </c>
      <c r="U297" s="1">
        <v>25</v>
      </c>
      <c r="V297" s="1">
        <v>22</v>
      </c>
      <c r="W297" s="1">
        <v>20</v>
      </c>
      <c r="X297" s="1">
        <v>13</v>
      </c>
      <c r="Y297" s="1">
        <v>11</v>
      </c>
    </row>
    <row r="298" spans="1:25" x14ac:dyDescent="0.3">
      <c r="A298" s="2">
        <v>43001</v>
      </c>
      <c r="B298" s="1">
        <v>9</v>
      </c>
      <c r="C298" s="1">
        <v>8</v>
      </c>
      <c r="D298" s="1">
        <v>10</v>
      </c>
      <c r="E298" s="1">
        <v>2</v>
      </c>
      <c r="F298" s="1">
        <v>4</v>
      </c>
      <c r="G298" s="1">
        <v>7</v>
      </c>
      <c r="H298" s="1">
        <v>9</v>
      </c>
      <c r="I298" s="1">
        <v>7</v>
      </c>
      <c r="J298" s="1">
        <v>14</v>
      </c>
      <c r="K298" s="1">
        <v>14</v>
      </c>
      <c r="L298" s="1">
        <v>22</v>
      </c>
      <c r="M298" s="1">
        <v>24</v>
      </c>
      <c r="N298" s="1">
        <v>36</v>
      </c>
      <c r="O298" s="1">
        <v>33</v>
      </c>
      <c r="P298" s="1">
        <v>30</v>
      </c>
      <c r="Q298" s="1">
        <v>21</v>
      </c>
      <c r="R298" s="1">
        <v>19</v>
      </c>
      <c r="S298" s="1">
        <v>26</v>
      </c>
      <c r="T298" s="1">
        <v>21</v>
      </c>
      <c r="U298" s="1">
        <v>26</v>
      </c>
      <c r="V298" s="1">
        <v>13</v>
      </c>
      <c r="W298" s="1">
        <v>10</v>
      </c>
      <c r="X298" s="1">
        <v>13</v>
      </c>
      <c r="Y298" s="1">
        <v>11</v>
      </c>
    </row>
    <row r="299" spans="1:25" x14ac:dyDescent="0.3">
      <c r="A299" s="2">
        <v>43002</v>
      </c>
      <c r="B299" s="1">
        <v>16</v>
      </c>
      <c r="C299" s="1">
        <v>8</v>
      </c>
      <c r="D299" s="1">
        <v>9</v>
      </c>
      <c r="E299" s="1">
        <v>6</v>
      </c>
      <c r="F299" s="1">
        <v>4</v>
      </c>
      <c r="G299" s="1">
        <v>8</v>
      </c>
      <c r="H299" s="1">
        <v>8</v>
      </c>
      <c r="I299" s="1">
        <v>6</v>
      </c>
      <c r="J299" s="1">
        <v>19</v>
      </c>
      <c r="K299" s="1">
        <v>20</v>
      </c>
      <c r="L299" s="1">
        <v>30</v>
      </c>
      <c r="M299" s="1">
        <v>24</v>
      </c>
      <c r="N299" s="1">
        <v>19</v>
      </c>
      <c r="O299" s="1">
        <v>12</v>
      </c>
      <c r="P299" s="1">
        <v>25</v>
      </c>
      <c r="Q299" s="1">
        <v>22</v>
      </c>
      <c r="R299" s="1">
        <v>21</v>
      </c>
      <c r="S299" s="1">
        <v>22</v>
      </c>
      <c r="T299" s="1">
        <v>13</v>
      </c>
      <c r="U299" s="1">
        <v>13</v>
      </c>
      <c r="V299" s="1">
        <v>5</v>
      </c>
      <c r="W299" s="1">
        <v>10</v>
      </c>
      <c r="X299" s="1">
        <v>12</v>
      </c>
      <c r="Y299" s="1">
        <v>12</v>
      </c>
    </row>
    <row r="300" spans="1:25" x14ac:dyDescent="0.3">
      <c r="A300" s="2">
        <v>43003</v>
      </c>
      <c r="B300" s="1">
        <v>8</v>
      </c>
      <c r="C300" s="1">
        <v>4</v>
      </c>
      <c r="D300" s="1">
        <v>4</v>
      </c>
      <c r="E300" s="1">
        <v>2</v>
      </c>
      <c r="F300" s="1">
        <v>7</v>
      </c>
      <c r="G300" s="1">
        <v>11</v>
      </c>
      <c r="H300" s="1">
        <v>16</v>
      </c>
      <c r="I300" s="1">
        <v>36</v>
      </c>
      <c r="J300" s="1">
        <v>27</v>
      </c>
      <c r="K300" s="1">
        <v>34</v>
      </c>
      <c r="L300" s="1">
        <v>11</v>
      </c>
      <c r="M300" s="1">
        <v>25</v>
      </c>
      <c r="N300" s="1">
        <v>21</v>
      </c>
      <c r="O300" s="1">
        <v>23</v>
      </c>
      <c r="P300" s="1">
        <v>27</v>
      </c>
      <c r="Q300" s="1">
        <v>27</v>
      </c>
      <c r="R300" s="1">
        <v>35</v>
      </c>
      <c r="S300" s="1">
        <v>32</v>
      </c>
      <c r="T300" s="1">
        <v>22</v>
      </c>
      <c r="U300" s="1">
        <v>22</v>
      </c>
      <c r="V300" s="1">
        <v>23</v>
      </c>
      <c r="W300" s="1">
        <v>13</v>
      </c>
      <c r="X300" s="1">
        <v>5</v>
      </c>
      <c r="Y300" s="1">
        <v>10</v>
      </c>
    </row>
    <row r="301" spans="1:25" x14ac:dyDescent="0.3">
      <c r="A301" s="2">
        <v>43004</v>
      </c>
      <c r="B301" s="1">
        <v>10</v>
      </c>
      <c r="C301" s="1">
        <v>4</v>
      </c>
      <c r="D301" s="1">
        <v>2</v>
      </c>
      <c r="E301" s="1">
        <v>8</v>
      </c>
      <c r="F301" s="1">
        <v>4</v>
      </c>
      <c r="G301" s="1">
        <v>12</v>
      </c>
      <c r="H301" s="1">
        <v>12</v>
      </c>
      <c r="I301" s="1">
        <v>29</v>
      </c>
      <c r="J301" s="1">
        <v>33</v>
      </c>
      <c r="K301" s="1">
        <v>18</v>
      </c>
      <c r="L301" s="1">
        <v>24</v>
      </c>
      <c r="M301" s="1">
        <v>21</v>
      </c>
      <c r="N301" s="1">
        <v>15</v>
      </c>
      <c r="O301" s="1">
        <v>19</v>
      </c>
      <c r="P301" s="1">
        <v>20</v>
      </c>
      <c r="Q301" s="1">
        <v>30</v>
      </c>
      <c r="R301" s="1">
        <v>28</v>
      </c>
      <c r="S301" s="1">
        <v>25</v>
      </c>
      <c r="T301" s="1">
        <v>16</v>
      </c>
      <c r="U301" s="1">
        <v>18</v>
      </c>
      <c r="V301" s="1">
        <v>15</v>
      </c>
      <c r="W301" s="1">
        <v>12</v>
      </c>
      <c r="X301" s="1">
        <v>7</v>
      </c>
      <c r="Y301" s="1">
        <v>9</v>
      </c>
    </row>
    <row r="302" spans="1:25" x14ac:dyDescent="0.3">
      <c r="A302" s="2">
        <v>43005</v>
      </c>
      <c r="B302" s="1">
        <v>10</v>
      </c>
      <c r="C302" s="1">
        <v>5</v>
      </c>
      <c r="D302" s="1">
        <v>6</v>
      </c>
      <c r="E302" s="1">
        <v>3</v>
      </c>
      <c r="F302" s="1">
        <v>3</v>
      </c>
      <c r="G302" s="1">
        <v>2</v>
      </c>
      <c r="H302" s="1">
        <v>12</v>
      </c>
      <c r="I302" s="1">
        <v>17</v>
      </c>
      <c r="J302" s="1">
        <v>24</v>
      </c>
      <c r="K302" s="1">
        <v>25</v>
      </c>
      <c r="L302" s="1">
        <v>23</v>
      </c>
      <c r="M302" s="1">
        <v>17</v>
      </c>
      <c r="N302" s="1">
        <v>31</v>
      </c>
      <c r="O302" s="1">
        <v>29</v>
      </c>
      <c r="P302" s="1">
        <v>24</v>
      </c>
      <c r="Q302" s="1">
        <v>24</v>
      </c>
      <c r="R302" s="1">
        <v>29</v>
      </c>
      <c r="S302" s="1">
        <v>38</v>
      </c>
      <c r="T302" s="1">
        <v>23</v>
      </c>
      <c r="U302" s="1">
        <v>14</v>
      </c>
      <c r="V302" s="1">
        <v>16</v>
      </c>
      <c r="W302" s="1">
        <v>9</v>
      </c>
      <c r="X302" s="1">
        <v>12</v>
      </c>
      <c r="Y302" s="1">
        <v>8</v>
      </c>
    </row>
    <row r="303" spans="1:25" x14ac:dyDescent="0.3">
      <c r="A303" s="2">
        <v>43006</v>
      </c>
      <c r="B303" s="1">
        <v>8</v>
      </c>
      <c r="C303" s="1">
        <v>3</v>
      </c>
      <c r="D303" s="1">
        <v>6</v>
      </c>
      <c r="E303" s="1">
        <v>3</v>
      </c>
      <c r="F303" s="1">
        <v>3</v>
      </c>
      <c r="G303" s="1">
        <v>7</v>
      </c>
      <c r="H303" s="1">
        <v>7</v>
      </c>
      <c r="I303" s="1">
        <v>18</v>
      </c>
      <c r="J303" s="1">
        <v>25</v>
      </c>
      <c r="K303" s="1">
        <v>25</v>
      </c>
      <c r="L303" s="1">
        <v>37</v>
      </c>
      <c r="M303" s="1">
        <v>29</v>
      </c>
      <c r="N303" s="1">
        <v>26</v>
      </c>
      <c r="O303" s="1">
        <v>33</v>
      </c>
      <c r="P303" s="1">
        <v>32</v>
      </c>
      <c r="Q303" s="1">
        <v>22</v>
      </c>
      <c r="R303" s="1">
        <v>29</v>
      </c>
      <c r="S303" s="1">
        <v>25</v>
      </c>
      <c r="T303" s="1">
        <v>25</v>
      </c>
      <c r="U303" s="1">
        <v>18</v>
      </c>
      <c r="V303" s="1">
        <v>18</v>
      </c>
      <c r="W303" s="1">
        <v>12</v>
      </c>
      <c r="X303" s="1">
        <v>9</v>
      </c>
      <c r="Y303" s="1">
        <v>11</v>
      </c>
    </row>
    <row r="304" spans="1:25" x14ac:dyDescent="0.3">
      <c r="A304" s="2">
        <v>43007</v>
      </c>
      <c r="B304" s="1">
        <v>11</v>
      </c>
      <c r="C304" s="1">
        <v>5</v>
      </c>
      <c r="D304" s="1">
        <v>6</v>
      </c>
      <c r="E304" s="1">
        <v>8</v>
      </c>
      <c r="F304" s="1">
        <v>4</v>
      </c>
      <c r="G304" s="1">
        <v>7</v>
      </c>
      <c r="H304" s="1">
        <v>19</v>
      </c>
      <c r="I304" s="1">
        <v>27</v>
      </c>
      <c r="J304" s="1">
        <v>18</v>
      </c>
      <c r="K304" s="1">
        <v>27</v>
      </c>
      <c r="L304" s="1">
        <v>23</v>
      </c>
      <c r="M304" s="1">
        <v>26</v>
      </c>
      <c r="N304" s="1">
        <v>27</v>
      </c>
      <c r="O304" s="1">
        <v>27</v>
      </c>
      <c r="P304" s="1">
        <v>23</v>
      </c>
      <c r="Q304" s="1">
        <v>26</v>
      </c>
      <c r="R304" s="1">
        <v>36</v>
      </c>
      <c r="S304" s="1">
        <v>30</v>
      </c>
      <c r="T304" s="1">
        <v>24</v>
      </c>
      <c r="U304" s="1">
        <v>22</v>
      </c>
      <c r="V304" s="1">
        <v>10</v>
      </c>
      <c r="W304" s="1">
        <v>14</v>
      </c>
      <c r="X304" s="1">
        <v>14</v>
      </c>
      <c r="Y304" s="1">
        <v>14</v>
      </c>
    </row>
    <row r="305" spans="1:25" x14ac:dyDescent="0.3">
      <c r="A305" s="2">
        <v>43008</v>
      </c>
      <c r="B305" s="1">
        <v>6</v>
      </c>
      <c r="C305" s="1">
        <v>16</v>
      </c>
      <c r="D305" s="1">
        <v>5</v>
      </c>
      <c r="E305" s="1">
        <v>13</v>
      </c>
      <c r="F305" s="1">
        <v>6</v>
      </c>
      <c r="G305" s="1">
        <v>8</v>
      </c>
      <c r="H305" s="1">
        <v>3</v>
      </c>
      <c r="I305" s="1">
        <v>7</v>
      </c>
      <c r="J305" s="1">
        <v>14</v>
      </c>
      <c r="K305" s="1">
        <v>15</v>
      </c>
      <c r="L305" s="1">
        <v>15</v>
      </c>
      <c r="M305" s="1">
        <v>20</v>
      </c>
      <c r="N305" s="1">
        <v>14</v>
      </c>
      <c r="O305" s="1">
        <v>20</v>
      </c>
      <c r="P305" s="1">
        <v>12</v>
      </c>
      <c r="Q305" s="1">
        <v>34</v>
      </c>
      <c r="R305" s="1">
        <v>19</v>
      </c>
      <c r="S305" s="1">
        <v>31</v>
      </c>
      <c r="T305" s="1">
        <v>12</v>
      </c>
      <c r="U305" s="1">
        <v>29</v>
      </c>
      <c r="V305" s="1">
        <v>22</v>
      </c>
      <c r="W305" s="1">
        <v>12</v>
      </c>
      <c r="X305" s="1">
        <v>16</v>
      </c>
      <c r="Y305" s="1">
        <v>14</v>
      </c>
    </row>
    <row r="306" spans="1:25" x14ac:dyDescent="0.3">
      <c r="A306" s="2">
        <v>43009</v>
      </c>
      <c r="B306" s="1">
        <v>9</v>
      </c>
      <c r="C306" s="1">
        <v>13</v>
      </c>
      <c r="D306" s="1">
        <v>7</v>
      </c>
      <c r="E306" s="1">
        <v>4</v>
      </c>
      <c r="F306" s="1">
        <v>1</v>
      </c>
      <c r="G306" s="1">
        <v>7</v>
      </c>
      <c r="H306" s="1">
        <v>5</v>
      </c>
      <c r="I306" s="1">
        <v>8</v>
      </c>
      <c r="J306" s="1">
        <v>14</v>
      </c>
      <c r="K306" s="1">
        <v>11</v>
      </c>
      <c r="L306" s="1">
        <v>19</v>
      </c>
      <c r="M306" s="1">
        <v>16</v>
      </c>
      <c r="N306" s="1">
        <v>28</v>
      </c>
      <c r="O306" s="1">
        <v>13</v>
      </c>
      <c r="P306" s="1">
        <v>28</v>
      </c>
      <c r="Q306" s="1">
        <v>17</v>
      </c>
      <c r="R306" s="1">
        <v>28</v>
      </c>
      <c r="S306" s="1">
        <v>15</v>
      </c>
      <c r="T306" s="1">
        <v>16</v>
      </c>
      <c r="U306" s="1">
        <v>18</v>
      </c>
      <c r="V306" s="1">
        <v>12</v>
      </c>
      <c r="W306" s="1">
        <v>10</v>
      </c>
      <c r="X306" s="1">
        <v>11</v>
      </c>
      <c r="Y306" s="1">
        <v>6</v>
      </c>
    </row>
    <row r="307" spans="1:25" x14ac:dyDescent="0.3">
      <c r="A307" s="2">
        <v>43010</v>
      </c>
      <c r="B307" s="1">
        <v>3</v>
      </c>
      <c r="C307" s="1">
        <v>2</v>
      </c>
      <c r="D307" s="1">
        <v>5</v>
      </c>
      <c r="E307" s="1">
        <v>3</v>
      </c>
      <c r="F307" s="1">
        <v>5</v>
      </c>
      <c r="G307" s="1">
        <v>4</v>
      </c>
      <c r="H307" s="1">
        <v>8</v>
      </c>
      <c r="I307" s="1">
        <v>29</v>
      </c>
      <c r="J307" s="1">
        <v>24</v>
      </c>
      <c r="K307" s="1">
        <v>28</v>
      </c>
      <c r="L307" s="1">
        <v>26</v>
      </c>
      <c r="M307" s="1">
        <v>19</v>
      </c>
      <c r="N307" s="1">
        <v>24</v>
      </c>
      <c r="O307" s="1">
        <v>27</v>
      </c>
      <c r="P307" s="1">
        <v>24</v>
      </c>
      <c r="Q307" s="1">
        <v>29</v>
      </c>
      <c r="R307" s="1">
        <v>48</v>
      </c>
      <c r="S307" s="1">
        <v>40</v>
      </c>
      <c r="T307" s="1">
        <v>21</v>
      </c>
      <c r="U307" s="1">
        <v>19</v>
      </c>
      <c r="V307" s="1">
        <v>8</v>
      </c>
      <c r="W307" s="1">
        <v>10</v>
      </c>
      <c r="X307" s="1">
        <v>11</v>
      </c>
      <c r="Y307" s="1">
        <v>8</v>
      </c>
    </row>
    <row r="308" spans="1:25" x14ac:dyDescent="0.3">
      <c r="A308" s="2">
        <v>43011</v>
      </c>
      <c r="B308" s="1">
        <v>9</v>
      </c>
      <c r="C308" s="1">
        <v>1</v>
      </c>
      <c r="D308" s="1">
        <v>5</v>
      </c>
      <c r="E308" s="1">
        <v>6</v>
      </c>
      <c r="F308" s="1">
        <v>4</v>
      </c>
      <c r="G308" s="1">
        <v>12</v>
      </c>
      <c r="H308" s="1">
        <v>24</v>
      </c>
      <c r="I308" s="1">
        <v>18</v>
      </c>
      <c r="J308" s="1">
        <v>27</v>
      </c>
      <c r="K308" s="1">
        <v>33</v>
      </c>
      <c r="L308" s="1">
        <v>26</v>
      </c>
      <c r="M308" s="1">
        <v>28</v>
      </c>
      <c r="N308" s="1">
        <v>21</v>
      </c>
      <c r="O308" s="1">
        <v>18</v>
      </c>
      <c r="P308" s="1">
        <v>29</v>
      </c>
      <c r="Q308" s="1">
        <v>30</v>
      </c>
      <c r="R308" s="1">
        <v>21</v>
      </c>
      <c r="S308" s="1">
        <v>24</v>
      </c>
      <c r="T308" s="1">
        <v>15</v>
      </c>
      <c r="U308" s="1">
        <v>16</v>
      </c>
      <c r="V308" s="1">
        <v>12</v>
      </c>
      <c r="W308" s="1">
        <v>19</v>
      </c>
      <c r="X308" s="1">
        <v>9</v>
      </c>
      <c r="Y308" s="1">
        <v>9</v>
      </c>
    </row>
    <row r="309" spans="1:25" x14ac:dyDescent="0.3">
      <c r="A309" s="2">
        <v>43012</v>
      </c>
      <c r="B309" s="1">
        <v>8</v>
      </c>
      <c r="C309" s="1">
        <v>7</v>
      </c>
      <c r="D309" s="1">
        <v>3</v>
      </c>
      <c r="E309" s="1">
        <v>5</v>
      </c>
      <c r="F309" s="1">
        <v>5</v>
      </c>
      <c r="G309" s="1">
        <v>7</v>
      </c>
      <c r="H309" s="1">
        <v>14</v>
      </c>
      <c r="I309" s="1">
        <v>18</v>
      </c>
      <c r="J309" s="1">
        <v>22</v>
      </c>
      <c r="K309" s="1">
        <v>26</v>
      </c>
      <c r="L309" s="1">
        <v>29</v>
      </c>
      <c r="M309" s="1">
        <v>27</v>
      </c>
      <c r="N309" s="1">
        <v>21</v>
      </c>
      <c r="O309" s="1">
        <v>29</v>
      </c>
      <c r="P309" s="1">
        <v>25</v>
      </c>
      <c r="Q309" s="1">
        <v>27</v>
      </c>
      <c r="R309" s="1">
        <v>29</v>
      </c>
      <c r="S309" s="1">
        <v>43</v>
      </c>
      <c r="T309" s="1">
        <v>15</v>
      </c>
      <c r="U309" s="1">
        <v>30</v>
      </c>
      <c r="V309" s="1">
        <v>18</v>
      </c>
      <c r="W309" s="1">
        <v>13</v>
      </c>
      <c r="X309" s="1">
        <v>11</v>
      </c>
      <c r="Y309" s="1">
        <v>10</v>
      </c>
    </row>
    <row r="310" spans="1:25" x14ac:dyDescent="0.3">
      <c r="A310" s="2">
        <v>43013</v>
      </c>
      <c r="B310" s="1">
        <v>9</v>
      </c>
      <c r="C310" s="1">
        <v>4</v>
      </c>
      <c r="D310" s="1">
        <v>5</v>
      </c>
      <c r="E310" s="1">
        <v>5</v>
      </c>
      <c r="F310" s="1">
        <v>8</v>
      </c>
      <c r="G310" s="1">
        <v>5</v>
      </c>
      <c r="H310" s="1">
        <v>12</v>
      </c>
      <c r="I310" s="1">
        <v>11</v>
      </c>
      <c r="J310" s="1">
        <v>27</v>
      </c>
      <c r="K310" s="1">
        <v>19</v>
      </c>
      <c r="L310" s="1">
        <v>19</v>
      </c>
      <c r="M310" s="1">
        <v>16</v>
      </c>
      <c r="N310" s="1">
        <v>25</v>
      </c>
      <c r="O310" s="1">
        <v>22</v>
      </c>
      <c r="P310" s="1">
        <v>25</v>
      </c>
      <c r="Q310" s="1">
        <v>22</v>
      </c>
      <c r="R310" s="1">
        <v>22</v>
      </c>
      <c r="S310" s="1">
        <v>29</v>
      </c>
      <c r="T310" s="1">
        <v>40</v>
      </c>
      <c r="U310" s="1">
        <v>23</v>
      </c>
      <c r="V310" s="1">
        <v>16</v>
      </c>
      <c r="W310" s="1">
        <v>13</v>
      </c>
      <c r="X310" s="1">
        <v>6</v>
      </c>
      <c r="Y310" s="1">
        <v>7</v>
      </c>
    </row>
    <row r="311" spans="1:25" x14ac:dyDescent="0.3">
      <c r="A311" s="2">
        <v>43014</v>
      </c>
      <c r="B311" s="1">
        <v>2</v>
      </c>
      <c r="C311" s="1">
        <v>8</v>
      </c>
      <c r="D311" s="1">
        <v>5</v>
      </c>
      <c r="E311" s="1">
        <v>4</v>
      </c>
      <c r="F311" s="1">
        <v>6</v>
      </c>
      <c r="G311" s="1">
        <v>9</v>
      </c>
      <c r="H311" s="1">
        <v>11</v>
      </c>
      <c r="I311" s="1">
        <v>17</v>
      </c>
      <c r="J311" s="1">
        <v>13</v>
      </c>
      <c r="K311" s="1">
        <v>13</v>
      </c>
      <c r="L311" s="1">
        <v>21</v>
      </c>
      <c r="M311" s="1">
        <v>24</v>
      </c>
      <c r="N311" s="1">
        <v>22</v>
      </c>
      <c r="O311" s="1">
        <v>13</v>
      </c>
      <c r="P311" s="1">
        <v>25</v>
      </c>
      <c r="Q311" s="1">
        <v>27</v>
      </c>
      <c r="R311" s="1">
        <v>28</v>
      </c>
      <c r="S311" s="1">
        <v>33</v>
      </c>
      <c r="T311" s="1">
        <v>22</v>
      </c>
      <c r="U311" s="1">
        <v>23</v>
      </c>
      <c r="V311" s="1">
        <v>15</v>
      </c>
      <c r="W311" s="1">
        <v>10</v>
      </c>
      <c r="X311" s="1">
        <v>12</v>
      </c>
      <c r="Y311" s="1">
        <v>9</v>
      </c>
    </row>
    <row r="312" spans="1:25" x14ac:dyDescent="0.3">
      <c r="A312" s="2">
        <v>43015</v>
      </c>
      <c r="B312" s="1">
        <v>10</v>
      </c>
      <c r="C312" s="1">
        <v>8</v>
      </c>
      <c r="D312" s="1">
        <v>7</v>
      </c>
      <c r="E312" s="1">
        <v>4</v>
      </c>
      <c r="F312" s="1">
        <v>7</v>
      </c>
      <c r="G312" s="1">
        <v>6</v>
      </c>
      <c r="H312" s="1">
        <v>3</v>
      </c>
      <c r="I312" s="1">
        <v>14</v>
      </c>
      <c r="J312" s="1">
        <v>14</v>
      </c>
      <c r="K312" s="1">
        <v>25</v>
      </c>
      <c r="L312" s="1">
        <v>17</v>
      </c>
      <c r="M312" s="1">
        <v>25</v>
      </c>
      <c r="N312" s="1">
        <v>37</v>
      </c>
      <c r="O312" s="1">
        <v>32</v>
      </c>
      <c r="P312" s="1">
        <v>31</v>
      </c>
      <c r="Q312" s="1">
        <v>18</v>
      </c>
      <c r="R312" s="1">
        <v>24</v>
      </c>
      <c r="S312" s="1">
        <v>25</v>
      </c>
      <c r="T312" s="1">
        <v>16</v>
      </c>
      <c r="U312" s="1">
        <v>28</v>
      </c>
      <c r="V312" s="1">
        <v>17</v>
      </c>
      <c r="W312" s="1">
        <v>11</v>
      </c>
      <c r="X312" s="1">
        <v>12</v>
      </c>
      <c r="Y312" s="1">
        <v>8</v>
      </c>
    </row>
    <row r="313" spans="1:25" x14ac:dyDescent="0.3">
      <c r="A313" s="2">
        <v>43016</v>
      </c>
      <c r="B313" s="1">
        <v>11</v>
      </c>
      <c r="C313" s="1">
        <v>6</v>
      </c>
      <c r="D313" s="1">
        <v>9</v>
      </c>
      <c r="E313" s="1">
        <v>8</v>
      </c>
      <c r="F313" s="1">
        <v>7</v>
      </c>
      <c r="G313" s="1">
        <v>6</v>
      </c>
      <c r="H313" s="1">
        <v>5</v>
      </c>
      <c r="I313" s="1">
        <v>9</v>
      </c>
      <c r="J313" s="1">
        <v>15</v>
      </c>
      <c r="K313" s="1">
        <v>21</v>
      </c>
      <c r="L313" s="1">
        <v>33</v>
      </c>
      <c r="M313" s="1">
        <v>28</v>
      </c>
      <c r="N313" s="1">
        <v>26</v>
      </c>
      <c r="O313" s="1">
        <v>17</v>
      </c>
      <c r="P313" s="1">
        <v>32</v>
      </c>
      <c r="Q313" s="1">
        <v>21</v>
      </c>
      <c r="R313" s="1">
        <v>22</v>
      </c>
      <c r="S313" s="1">
        <v>15</v>
      </c>
      <c r="T313" s="1">
        <v>13</v>
      </c>
      <c r="U313" s="1">
        <v>15</v>
      </c>
      <c r="V313" s="1">
        <v>7</v>
      </c>
      <c r="W313" s="1">
        <v>14</v>
      </c>
      <c r="X313" s="1">
        <v>15</v>
      </c>
      <c r="Y313" s="1">
        <v>11</v>
      </c>
    </row>
    <row r="314" spans="1:25" x14ac:dyDescent="0.3">
      <c r="A314" s="2">
        <v>43017</v>
      </c>
      <c r="B314" s="1">
        <v>6</v>
      </c>
      <c r="C314" s="1">
        <v>7</v>
      </c>
      <c r="D314" s="1">
        <v>5</v>
      </c>
      <c r="E314" s="1">
        <v>14</v>
      </c>
      <c r="F314" s="1">
        <v>5</v>
      </c>
      <c r="G314" s="1">
        <v>6</v>
      </c>
      <c r="H314" s="1">
        <v>8</v>
      </c>
      <c r="I314" s="1">
        <v>20</v>
      </c>
      <c r="J314" s="1">
        <v>31</v>
      </c>
      <c r="K314" s="1">
        <v>29</v>
      </c>
      <c r="L314" s="1">
        <v>50</v>
      </c>
      <c r="M314" s="1">
        <v>30</v>
      </c>
      <c r="N314" s="1">
        <v>38</v>
      </c>
      <c r="O314" s="1">
        <v>31</v>
      </c>
      <c r="P314" s="1">
        <v>36</v>
      </c>
      <c r="Q314" s="1">
        <v>31</v>
      </c>
      <c r="R314" s="1">
        <v>49</v>
      </c>
      <c r="S314" s="1">
        <v>31</v>
      </c>
      <c r="T314" s="1">
        <v>32</v>
      </c>
      <c r="U314" s="1">
        <v>25</v>
      </c>
      <c r="V314" s="1">
        <v>16</v>
      </c>
      <c r="W314" s="1">
        <v>13</v>
      </c>
      <c r="X314" s="1">
        <v>16</v>
      </c>
      <c r="Y314" s="1">
        <v>10</v>
      </c>
    </row>
    <row r="315" spans="1:25" x14ac:dyDescent="0.3">
      <c r="A315" s="2">
        <v>43018</v>
      </c>
      <c r="B315" s="1">
        <v>4</v>
      </c>
      <c r="C315" s="1">
        <v>5</v>
      </c>
      <c r="D315" s="1">
        <v>4</v>
      </c>
      <c r="E315" s="1">
        <v>5</v>
      </c>
      <c r="F315" s="1">
        <v>6</v>
      </c>
      <c r="G315" s="1">
        <v>7</v>
      </c>
      <c r="H315" s="1">
        <v>13</v>
      </c>
      <c r="I315" s="1">
        <v>15</v>
      </c>
      <c r="J315" s="1">
        <v>27</v>
      </c>
      <c r="K315" s="1">
        <v>26</v>
      </c>
      <c r="L315" s="1">
        <v>19</v>
      </c>
      <c r="M315" s="1">
        <v>23</v>
      </c>
      <c r="N315" s="1">
        <v>20</v>
      </c>
      <c r="O315" s="1">
        <v>9</v>
      </c>
      <c r="P315" s="1">
        <v>23</v>
      </c>
      <c r="Q315" s="1">
        <v>31</v>
      </c>
      <c r="R315" s="1">
        <v>29</v>
      </c>
      <c r="S315" s="1">
        <v>27</v>
      </c>
      <c r="T315" s="1">
        <v>16</v>
      </c>
      <c r="U315" s="1">
        <v>15</v>
      </c>
      <c r="V315" s="1">
        <v>8</v>
      </c>
      <c r="W315" s="1">
        <v>15</v>
      </c>
      <c r="X315" s="1">
        <v>11</v>
      </c>
      <c r="Y315" s="1">
        <v>6</v>
      </c>
    </row>
    <row r="316" spans="1:25" x14ac:dyDescent="0.3">
      <c r="A316" s="2">
        <v>43019</v>
      </c>
      <c r="B316" s="1">
        <v>11</v>
      </c>
      <c r="C316" s="1">
        <v>6</v>
      </c>
      <c r="D316" s="1">
        <v>12</v>
      </c>
      <c r="E316" s="1">
        <v>2</v>
      </c>
      <c r="F316" s="1">
        <v>6</v>
      </c>
      <c r="G316" s="1">
        <v>5</v>
      </c>
      <c r="H316" s="1">
        <v>17</v>
      </c>
      <c r="I316" s="1">
        <v>16</v>
      </c>
      <c r="J316" s="1">
        <v>14</v>
      </c>
      <c r="K316" s="1">
        <v>31</v>
      </c>
      <c r="L316" s="1">
        <v>20</v>
      </c>
      <c r="M316" s="1">
        <v>24</v>
      </c>
      <c r="N316" s="1">
        <v>21</v>
      </c>
      <c r="O316" s="1">
        <v>18</v>
      </c>
      <c r="P316" s="1">
        <v>17</v>
      </c>
      <c r="Q316" s="1">
        <v>22</v>
      </c>
      <c r="R316" s="1">
        <v>23</v>
      </c>
      <c r="S316" s="1">
        <v>28</v>
      </c>
      <c r="T316" s="1">
        <v>37</v>
      </c>
      <c r="U316" s="1">
        <v>34</v>
      </c>
      <c r="V316" s="1">
        <v>8</v>
      </c>
      <c r="W316" s="1">
        <v>14</v>
      </c>
      <c r="X316" s="1">
        <v>12</v>
      </c>
      <c r="Y316" s="1">
        <v>7</v>
      </c>
    </row>
    <row r="317" spans="1:25" x14ac:dyDescent="0.3">
      <c r="A317" s="2">
        <v>43020</v>
      </c>
      <c r="B317" s="1">
        <v>6</v>
      </c>
      <c r="C317" s="1">
        <v>4</v>
      </c>
      <c r="D317" s="1">
        <v>7</v>
      </c>
      <c r="E317" s="1">
        <v>5</v>
      </c>
      <c r="F317" s="1">
        <v>12</v>
      </c>
      <c r="G317" s="1">
        <v>14</v>
      </c>
      <c r="H317" s="1">
        <v>16</v>
      </c>
      <c r="I317" s="1">
        <v>35</v>
      </c>
      <c r="J317" s="1">
        <v>17</v>
      </c>
      <c r="K317" s="1">
        <v>30</v>
      </c>
      <c r="L317" s="1">
        <v>35</v>
      </c>
      <c r="M317" s="1">
        <v>22</v>
      </c>
      <c r="N317" s="1">
        <v>15</v>
      </c>
      <c r="O317" s="1">
        <v>14</v>
      </c>
      <c r="P317" s="1">
        <v>20</v>
      </c>
      <c r="Q317" s="1">
        <v>22</v>
      </c>
      <c r="R317" s="1">
        <v>15</v>
      </c>
      <c r="S317" s="1">
        <v>17</v>
      </c>
      <c r="T317" s="1">
        <v>12</v>
      </c>
      <c r="U317" s="1">
        <v>16</v>
      </c>
      <c r="V317" s="1">
        <v>7</v>
      </c>
      <c r="W317" s="1">
        <v>16</v>
      </c>
      <c r="X317" s="1">
        <v>11</v>
      </c>
      <c r="Y317" s="1">
        <v>9</v>
      </c>
    </row>
    <row r="318" spans="1:25" x14ac:dyDescent="0.3">
      <c r="A318" s="2">
        <v>43021</v>
      </c>
      <c r="B318" s="1">
        <v>7</v>
      </c>
      <c r="C318" s="1">
        <v>5</v>
      </c>
      <c r="D318" s="1">
        <v>2</v>
      </c>
      <c r="E318" s="1">
        <v>1</v>
      </c>
      <c r="F318" s="1">
        <v>3</v>
      </c>
      <c r="G318" s="1">
        <v>8</v>
      </c>
      <c r="H318" s="1">
        <v>9</v>
      </c>
      <c r="I318" s="1">
        <v>15</v>
      </c>
      <c r="J318" s="1">
        <v>15</v>
      </c>
      <c r="K318" s="1">
        <v>19</v>
      </c>
      <c r="L318" s="1">
        <v>18</v>
      </c>
      <c r="M318" s="1">
        <v>17</v>
      </c>
      <c r="N318" s="1">
        <v>19</v>
      </c>
      <c r="O318" s="1">
        <v>20</v>
      </c>
      <c r="P318" s="1">
        <v>17</v>
      </c>
      <c r="Q318" s="1">
        <v>22</v>
      </c>
      <c r="R318" s="1">
        <v>37</v>
      </c>
      <c r="S318" s="1">
        <v>24</v>
      </c>
      <c r="T318" s="1">
        <v>14</v>
      </c>
      <c r="U318" s="1">
        <v>15</v>
      </c>
      <c r="V318" s="1">
        <v>18</v>
      </c>
      <c r="W318" s="1">
        <v>11</v>
      </c>
      <c r="X318" s="1">
        <v>15</v>
      </c>
      <c r="Y318" s="1">
        <v>5</v>
      </c>
    </row>
    <row r="319" spans="1:25" x14ac:dyDescent="0.3">
      <c r="A319" s="2">
        <v>43022</v>
      </c>
      <c r="B319" s="1">
        <v>6</v>
      </c>
      <c r="C319" s="1">
        <v>10</v>
      </c>
      <c r="D319" s="1">
        <v>4</v>
      </c>
      <c r="E319" s="1">
        <v>12</v>
      </c>
      <c r="F319" s="1">
        <v>8</v>
      </c>
      <c r="G319" s="1">
        <v>3</v>
      </c>
      <c r="H319" s="1">
        <v>12</v>
      </c>
      <c r="I319" s="1">
        <v>15</v>
      </c>
      <c r="J319" s="1">
        <v>9</v>
      </c>
      <c r="K319" s="1">
        <v>31</v>
      </c>
      <c r="L319" s="1">
        <v>20</v>
      </c>
      <c r="M319" s="1">
        <v>26</v>
      </c>
      <c r="N319" s="1">
        <v>20</v>
      </c>
      <c r="O319" s="1">
        <v>20</v>
      </c>
      <c r="P319" s="1">
        <v>28</v>
      </c>
      <c r="Q319" s="1">
        <v>19</v>
      </c>
      <c r="R319" s="1">
        <v>23</v>
      </c>
      <c r="S319" s="1">
        <v>18</v>
      </c>
      <c r="T319" s="1">
        <v>19</v>
      </c>
      <c r="U319" s="1">
        <v>17</v>
      </c>
      <c r="V319" s="1">
        <v>22</v>
      </c>
      <c r="W319" s="1">
        <v>15</v>
      </c>
      <c r="X319" s="1">
        <v>22</v>
      </c>
      <c r="Y319" s="1">
        <v>13</v>
      </c>
    </row>
    <row r="320" spans="1:25" x14ac:dyDescent="0.3">
      <c r="A320" s="2">
        <v>43023</v>
      </c>
      <c r="B320" s="1">
        <v>7</v>
      </c>
      <c r="C320" s="1">
        <v>5</v>
      </c>
      <c r="D320" s="1">
        <v>9</v>
      </c>
      <c r="E320" s="1">
        <v>7</v>
      </c>
      <c r="F320" s="1">
        <v>6</v>
      </c>
      <c r="G320" s="1">
        <v>8</v>
      </c>
      <c r="H320" s="1">
        <v>12</v>
      </c>
      <c r="I320" s="1">
        <v>10</v>
      </c>
      <c r="J320" s="1">
        <v>15</v>
      </c>
      <c r="K320" s="1">
        <v>0</v>
      </c>
      <c r="L320" s="1">
        <v>4</v>
      </c>
      <c r="M320" s="1">
        <v>3</v>
      </c>
      <c r="N320" s="1">
        <v>19</v>
      </c>
      <c r="O320" s="1">
        <v>24</v>
      </c>
      <c r="P320" s="1">
        <v>13</v>
      </c>
      <c r="Q320" s="1">
        <v>13</v>
      </c>
      <c r="R320" s="1">
        <v>14</v>
      </c>
      <c r="S320" s="1">
        <v>27</v>
      </c>
      <c r="T320" s="1">
        <v>13</v>
      </c>
      <c r="U320" s="1">
        <v>22</v>
      </c>
      <c r="V320" s="1">
        <v>25</v>
      </c>
      <c r="W320" s="1">
        <v>10</v>
      </c>
      <c r="X320" s="1">
        <v>8</v>
      </c>
      <c r="Y320" s="1">
        <v>8</v>
      </c>
    </row>
    <row r="321" spans="1:25" x14ac:dyDescent="0.3">
      <c r="A321" s="2">
        <v>43024</v>
      </c>
      <c r="B321" s="1">
        <v>11</v>
      </c>
      <c r="C321" s="1">
        <v>11</v>
      </c>
      <c r="D321" s="1">
        <v>6</v>
      </c>
      <c r="E321" s="1">
        <v>7</v>
      </c>
      <c r="F321" s="1">
        <v>3</v>
      </c>
      <c r="G321" s="1">
        <v>7</v>
      </c>
      <c r="H321" s="1">
        <v>11</v>
      </c>
      <c r="I321" s="1">
        <v>19</v>
      </c>
      <c r="J321" s="1">
        <v>31</v>
      </c>
      <c r="K321" s="1">
        <v>27</v>
      </c>
      <c r="L321" s="1">
        <v>22</v>
      </c>
      <c r="M321" s="1">
        <v>25</v>
      </c>
      <c r="N321" s="1">
        <v>18</v>
      </c>
      <c r="O321" s="1">
        <v>23</v>
      </c>
      <c r="P321" s="1">
        <v>28</v>
      </c>
      <c r="Q321" s="1">
        <v>26</v>
      </c>
      <c r="R321" s="1">
        <v>16</v>
      </c>
      <c r="S321" s="1">
        <v>26</v>
      </c>
      <c r="T321" s="1">
        <v>20</v>
      </c>
      <c r="U321" s="1">
        <v>9</v>
      </c>
      <c r="V321" s="1">
        <v>21</v>
      </c>
      <c r="W321" s="1">
        <v>17</v>
      </c>
      <c r="X321" s="1">
        <v>10</v>
      </c>
      <c r="Y321" s="1">
        <v>3</v>
      </c>
    </row>
    <row r="322" spans="1:25" x14ac:dyDescent="0.3">
      <c r="A322" s="2">
        <v>43025</v>
      </c>
      <c r="B322" s="1">
        <v>3</v>
      </c>
      <c r="C322" s="1">
        <v>3</v>
      </c>
      <c r="D322" s="1">
        <v>2</v>
      </c>
      <c r="E322" s="1">
        <v>7</v>
      </c>
      <c r="F322" s="1">
        <v>6</v>
      </c>
      <c r="G322" s="1">
        <v>11</v>
      </c>
      <c r="H322" s="1">
        <v>16</v>
      </c>
      <c r="I322" s="1">
        <v>18</v>
      </c>
      <c r="J322" s="1">
        <v>21</v>
      </c>
      <c r="K322" s="1">
        <v>27</v>
      </c>
      <c r="L322" s="1">
        <v>23</v>
      </c>
      <c r="M322" s="1">
        <v>30</v>
      </c>
      <c r="N322" s="1">
        <v>25</v>
      </c>
      <c r="O322" s="1">
        <v>23</v>
      </c>
      <c r="P322" s="1">
        <v>20</v>
      </c>
      <c r="Q322" s="1">
        <v>33</v>
      </c>
      <c r="R322" s="1">
        <v>16</v>
      </c>
      <c r="S322" s="1">
        <v>29</v>
      </c>
      <c r="T322" s="1">
        <v>28</v>
      </c>
      <c r="U322" s="1">
        <v>25</v>
      </c>
      <c r="V322" s="1">
        <v>17</v>
      </c>
      <c r="W322" s="1">
        <v>14</v>
      </c>
      <c r="X322" s="1">
        <v>9</v>
      </c>
      <c r="Y322" s="1">
        <v>11</v>
      </c>
    </row>
    <row r="323" spans="1:25" x14ac:dyDescent="0.3">
      <c r="A323" s="2">
        <v>43026</v>
      </c>
      <c r="B323" s="1">
        <v>9</v>
      </c>
      <c r="C323" s="1">
        <v>5</v>
      </c>
      <c r="D323" s="1">
        <v>4</v>
      </c>
      <c r="E323" s="1">
        <v>6</v>
      </c>
      <c r="F323" s="1">
        <v>4</v>
      </c>
      <c r="G323" s="1">
        <v>14</v>
      </c>
      <c r="H323" s="1">
        <v>12</v>
      </c>
      <c r="I323" s="1">
        <v>19</v>
      </c>
      <c r="J323" s="1">
        <v>29</v>
      </c>
      <c r="K323" s="1">
        <v>19</v>
      </c>
      <c r="L323" s="1">
        <v>25</v>
      </c>
      <c r="M323" s="1">
        <v>18</v>
      </c>
      <c r="N323" s="1">
        <v>13</v>
      </c>
      <c r="O323" s="1">
        <v>19</v>
      </c>
      <c r="P323" s="1">
        <v>17</v>
      </c>
      <c r="Q323" s="1">
        <v>25</v>
      </c>
      <c r="R323" s="1">
        <v>24</v>
      </c>
      <c r="S323" s="1">
        <v>35</v>
      </c>
      <c r="T323" s="1">
        <v>24</v>
      </c>
      <c r="U323" s="1">
        <v>23</v>
      </c>
      <c r="V323" s="1">
        <v>14</v>
      </c>
      <c r="W323" s="1">
        <v>12</v>
      </c>
      <c r="X323" s="1">
        <v>16</v>
      </c>
      <c r="Y323" s="1">
        <v>6</v>
      </c>
    </row>
    <row r="324" spans="1:25" x14ac:dyDescent="0.3">
      <c r="A324" s="2">
        <v>43027</v>
      </c>
      <c r="B324" s="1">
        <v>5</v>
      </c>
      <c r="C324" s="1">
        <v>5</v>
      </c>
      <c r="D324" s="1">
        <v>4</v>
      </c>
      <c r="E324" s="1">
        <v>6</v>
      </c>
      <c r="F324" s="1">
        <v>8</v>
      </c>
      <c r="G324" s="1">
        <v>8</v>
      </c>
      <c r="H324" s="1">
        <v>15</v>
      </c>
      <c r="I324" s="1">
        <v>16</v>
      </c>
      <c r="J324" s="1">
        <v>21</v>
      </c>
      <c r="K324" s="1">
        <v>20</v>
      </c>
      <c r="L324" s="1">
        <v>17</v>
      </c>
      <c r="M324" s="1">
        <v>29</v>
      </c>
      <c r="N324" s="1">
        <v>23</v>
      </c>
      <c r="O324" s="1">
        <v>27</v>
      </c>
      <c r="P324" s="1">
        <v>28</v>
      </c>
      <c r="Q324" s="1">
        <v>30</v>
      </c>
      <c r="R324" s="1">
        <v>30</v>
      </c>
      <c r="S324" s="1">
        <v>28</v>
      </c>
      <c r="T324" s="1">
        <v>25</v>
      </c>
      <c r="U324" s="1">
        <v>21</v>
      </c>
      <c r="V324" s="1">
        <v>15</v>
      </c>
      <c r="W324" s="1">
        <v>17</v>
      </c>
      <c r="X324" s="1">
        <v>14</v>
      </c>
      <c r="Y324" s="1">
        <v>6</v>
      </c>
    </row>
    <row r="325" spans="1:25" x14ac:dyDescent="0.3">
      <c r="A325" s="2">
        <v>43028</v>
      </c>
      <c r="B325" s="1">
        <v>6</v>
      </c>
      <c r="C325" s="1">
        <v>3</v>
      </c>
      <c r="D325" s="1">
        <v>1</v>
      </c>
      <c r="E325" s="1">
        <v>6</v>
      </c>
      <c r="F325" s="1">
        <v>3</v>
      </c>
      <c r="G325" s="1">
        <v>5</v>
      </c>
      <c r="H325" s="1">
        <v>7</v>
      </c>
      <c r="I325" s="1">
        <v>20</v>
      </c>
      <c r="J325" s="1">
        <v>20</v>
      </c>
      <c r="K325" s="1">
        <v>19</v>
      </c>
      <c r="L325" s="1">
        <v>28</v>
      </c>
      <c r="M325" s="1">
        <v>36</v>
      </c>
      <c r="N325" s="1">
        <v>30</v>
      </c>
      <c r="O325" s="1">
        <v>23</v>
      </c>
      <c r="P325" s="1">
        <v>21</v>
      </c>
      <c r="Q325" s="1">
        <v>30</v>
      </c>
      <c r="R325" s="1">
        <v>27</v>
      </c>
      <c r="S325" s="1">
        <v>26</v>
      </c>
      <c r="T325" s="1">
        <v>21</v>
      </c>
      <c r="U325" s="1">
        <v>20</v>
      </c>
      <c r="V325" s="1">
        <v>21</v>
      </c>
      <c r="W325" s="1">
        <v>11</v>
      </c>
      <c r="X325" s="1">
        <v>16</v>
      </c>
      <c r="Y325" s="1">
        <v>10</v>
      </c>
    </row>
    <row r="326" spans="1:25" x14ac:dyDescent="0.3">
      <c r="A326" s="2">
        <v>43029</v>
      </c>
      <c r="B326" s="1">
        <v>9</v>
      </c>
      <c r="C326" s="1">
        <v>7</v>
      </c>
      <c r="D326" s="1">
        <v>4</v>
      </c>
      <c r="E326" s="1">
        <v>11</v>
      </c>
      <c r="F326" s="1">
        <v>6</v>
      </c>
      <c r="G326" s="1">
        <v>3</v>
      </c>
      <c r="H326" s="1">
        <v>9</v>
      </c>
      <c r="I326" s="1">
        <v>5</v>
      </c>
      <c r="J326" s="1">
        <v>16</v>
      </c>
      <c r="K326" s="1">
        <v>15</v>
      </c>
      <c r="L326" s="1">
        <v>23</v>
      </c>
      <c r="M326" s="1">
        <v>27</v>
      </c>
      <c r="N326" s="1">
        <v>26</v>
      </c>
      <c r="O326" s="1">
        <v>26</v>
      </c>
      <c r="P326" s="1">
        <v>20</v>
      </c>
      <c r="Q326" s="1">
        <v>29</v>
      </c>
      <c r="R326" s="1">
        <v>18</v>
      </c>
      <c r="S326" s="1">
        <v>21</v>
      </c>
      <c r="T326" s="1">
        <v>16</v>
      </c>
      <c r="U326" s="1">
        <v>33</v>
      </c>
      <c r="V326" s="1">
        <v>18</v>
      </c>
      <c r="W326" s="1">
        <v>10</v>
      </c>
      <c r="X326" s="1">
        <v>17</v>
      </c>
      <c r="Y326" s="1">
        <v>5</v>
      </c>
    </row>
    <row r="327" spans="1:25" x14ac:dyDescent="0.3">
      <c r="A327" s="2">
        <v>43030</v>
      </c>
      <c r="B327" s="1">
        <v>12</v>
      </c>
      <c r="C327" s="1">
        <v>6</v>
      </c>
      <c r="D327" s="1">
        <v>7</v>
      </c>
      <c r="E327" s="1">
        <v>6</v>
      </c>
      <c r="F327" s="1">
        <v>12</v>
      </c>
      <c r="G327" s="1">
        <v>7</v>
      </c>
      <c r="H327" s="1">
        <v>8</v>
      </c>
      <c r="I327" s="1">
        <v>2</v>
      </c>
      <c r="J327" s="1">
        <v>12</v>
      </c>
      <c r="K327" s="1">
        <v>12</v>
      </c>
      <c r="L327" s="1">
        <v>19</v>
      </c>
      <c r="M327" s="1">
        <v>13</v>
      </c>
      <c r="N327" s="1">
        <v>28</v>
      </c>
      <c r="O327" s="1">
        <v>23</v>
      </c>
      <c r="P327" s="1">
        <v>22</v>
      </c>
      <c r="Q327" s="1">
        <v>16</v>
      </c>
      <c r="R327" s="1">
        <v>26</v>
      </c>
      <c r="S327" s="1">
        <v>17</v>
      </c>
      <c r="T327" s="1">
        <v>13</v>
      </c>
      <c r="U327" s="1">
        <v>27</v>
      </c>
      <c r="V327" s="1">
        <v>17</v>
      </c>
      <c r="W327" s="1">
        <v>17</v>
      </c>
      <c r="X327" s="1">
        <v>8</v>
      </c>
      <c r="Y327" s="1">
        <v>6</v>
      </c>
    </row>
    <row r="328" spans="1:25" x14ac:dyDescent="0.3">
      <c r="A328" s="2">
        <v>43031</v>
      </c>
      <c r="B328" s="1">
        <v>3</v>
      </c>
      <c r="C328" s="1">
        <v>6</v>
      </c>
      <c r="D328" s="1">
        <v>4</v>
      </c>
      <c r="E328" s="1">
        <v>8</v>
      </c>
      <c r="F328" s="1">
        <v>8</v>
      </c>
      <c r="G328" s="1">
        <v>5</v>
      </c>
      <c r="H328" s="1">
        <v>13</v>
      </c>
      <c r="I328" s="1">
        <v>26</v>
      </c>
      <c r="J328" s="1">
        <v>27</v>
      </c>
      <c r="K328" s="1">
        <v>14</v>
      </c>
      <c r="L328" s="1">
        <v>17</v>
      </c>
      <c r="M328" s="1">
        <v>23</v>
      </c>
      <c r="N328" s="1">
        <v>20</v>
      </c>
      <c r="O328" s="1">
        <v>21</v>
      </c>
      <c r="P328" s="1">
        <v>22</v>
      </c>
      <c r="Q328" s="1">
        <v>27</v>
      </c>
      <c r="R328" s="1">
        <v>29</v>
      </c>
      <c r="S328" s="1">
        <v>23</v>
      </c>
      <c r="T328" s="1">
        <v>29</v>
      </c>
      <c r="U328" s="1">
        <v>12</v>
      </c>
      <c r="V328" s="1">
        <v>9</v>
      </c>
      <c r="W328" s="1">
        <v>9</v>
      </c>
      <c r="X328" s="1">
        <v>12</v>
      </c>
      <c r="Y328" s="1">
        <v>10</v>
      </c>
    </row>
    <row r="329" spans="1:25" x14ac:dyDescent="0.3">
      <c r="A329" s="2">
        <v>43032</v>
      </c>
      <c r="B329" s="1">
        <v>6</v>
      </c>
      <c r="C329" s="1">
        <v>8</v>
      </c>
      <c r="D329" s="1">
        <v>4</v>
      </c>
      <c r="E329" s="1">
        <v>6</v>
      </c>
      <c r="F329" s="1">
        <v>7</v>
      </c>
      <c r="G329" s="1">
        <v>15</v>
      </c>
      <c r="H329" s="1">
        <v>30</v>
      </c>
      <c r="I329" s="1">
        <v>39</v>
      </c>
      <c r="J329" s="1">
        <v>33</v>
      </c>
      <c r="K329" s="1">
        <v>42</v>
      </c>
      <c r="L329" s="1">
        <v>34</v>
      </c>
      <c r="M329" s="1">
        <v>39</v>
      </c>
      <c r="N329" s="1">
        <v>29</v>
      </c>
      <c r="O329" s="1">
        <v>27</v>
      </c>
      <c r="P329" s="1">
        <v>26</v>
      </c>
      <c r="Q329" s="1">
        <v>23</v>
      </c>
      <c r="R329" s="1">
        <v>31</v>
      </c>
      <c r="S329" s="1">
        <v>30</v>
      </c>
      <c r="T329" s="1">
        <v>21</v>
      </c>
      <c r="U329" s="1">
        <v>26</v>
      </c>
      <c r="V329" s="1">
        <v>19</v>
      </c>
      <c r="W329" s="1">
        <v>16</v>
      </c>
      <c r="X329" s="1">
        <v>10</v>
      </c>
      <c r="Y329" s="1">
        <v>5</v>
      </c>
    </row>
    <row r="330" spans="1:25" x14ac:dyDescent="0.3">
      <c r="A330" s="2">
        <v>43033</v>
      </c>
      <c r="B330" s="1">
        <v>3</v>
      </c>
      <c r="C330" s="1">
        <v>12</v>
      </c>
      <c r="D330" s="1">
        <v>10</v>
      </c>
      <c r="E330" s="1">
        <v>5</v>
      </c>
      <c r="F330" s="1">
        <v>6</v>
      </c>
      <c r="G330" s="1">
        <v>9</v>
      </c>
      <c r="H330" s="1">
        <v>12</v>
      </c>
      <c r="I330" s="1">
        <v>23</v>
      </c>
      <c r="J330" s="1">
        <v>23</v>
      </c>
      <c r="K330" s="1">
        <v>28</v>
      </c>
      <c r="L330" s="1">
        <v>23</v>
      </c>
      <c r="M330" s="1">
        <v>22</v>
      </c>
      <c r="N330" s="1">
        <v>21</v>
      </c>
      <c r="O330" s="1">
        <v>26</v>
      </c>
      <c r="P330" s="1">
        <v>16</v>
      </c>
      <c r="Q330" s="1">
        <v>25</v>
      </c>
      <c r="R330" s="1">
        <v>34</v>
      </c>
      <c r="S330" s="1">
        <v>33</v>
      </c>
      <c r="T330" s="1">
        <v>17</v>
      </c>
      <c r="U330" s="1">
        <v>13</v>
      </c>
      <c r="V330" s="1">
        <v>17</v>
      </c>
      <c r="W330" s="1">
        <v>4</v>
      </c>
      <c r="X330" s="1">
        <v>7</v>
      </c>
      <c r="Y330" s="1">
        <v>10</v>
      </c>
    </row>
    <row r="331" spans="1:25" x14ac:dyDescent="0.3">
      <c r="A331" s="2">
        <v>43034</v>
      </c>
      <c r="B331" s="1">
        <v>6</v>
      </c>
      <c r="C331" s="1">
        <v>4</v>
      </c>
      <c r="D331" s="1">
        <v>3</v>
      </c>
      <c r="E331" s="1">
        <v>2</v>
      </c>
      <c r="F331" s="1">
        <v>2</v>
      </c>
      <c r="G331" s="1">
        <v>5</v>
      </c>
      <c r="H331" s="1">
        <v>21</v>
      </c>
      <c r="I331" s="1">
        <v>17</v>
      </c>
      <c r="J331" s="1">
        <v>21</v>
      </c>
      <c r="K331" s="1">
        <v>21</v>
      </c>
      <c r="L331" s="1">
        <v>23</v>
      </c>
      <c r="M331" s="1">
        <v>23</v>
      </c>
      <c r="N331" s="1">
        <v>19</v>
      </c>
      <c r="O331" s="1">
        <v>31</v>
      </c>
      <c r="P331" s="1">
        <v>20</v>
      </c>
      <c r="Q331" s="1">
        <v>27</v>
      </c>
      <c r="R331" s="1">
        <v>24</v>
      </c>
      <c r="S331" s="1">
        <v>18</v>
      </c>
      <c r="T331" s="1">
        <v>25</v>
      </c>
      <c r="U331" s="1">
        <v>15</v>
      </c>
      <c r="V331" s="1">
        <v>13</v>
      </c>
      <c r="W331" s="1">
        <v>13</v>
      </c>
      <c r="X331" s="1">
        <v>21</v>
      </c>
      <c r="Y331" s="1">
        <v>5</v>
      </c>
    </row>
    <row r="332" spans="1:25" x14ac:dyDescent="0.3">
      <c r="A332" s="2">
        <v>43035</v>
      </c>
      <c r="B332" s="1">
        <v>4</v>
      </c>
      <c r="C332" s="1">
        <v>0</v>
      </c>
      <c r="D332" s="1">
        <v>3</v>
      </c>
      <c r="E332" s="1">
        <v>4</v>
      </c>
      <c r="F332" s="1">
        <v>5</v>
      </c>
      <c r="G332" s="1">
        <v>12</v>
      </c>
      <c r="H332" s="1">
        <v>12</v>
      </c>
      <c r="I332" s="1">
        <v>19</v>
      </c>
      <c r="J332" s="1">
        <v>21</v>
      </c>
      <c r="K332" s="1">
        <v>25</v>
      </c>
      <c r="L332" s="1">
        <v>26</v>
      </c>
      <c r="M332" s="1">
        <v>25</v>
      </c>
      <c r="N332" s="1">
        <v>32</v>
      </c>
      <c r="O332" s="1">
        <v>24</v>
      </c>
      <c r="P332" s="1">
        <v>32</v>
      </c>
      <c r="Q332" s="1">
        <v>26</v>
      </c>
      <c r="R332" s="1">
        <v>18</v>
      </c>
      <c r="S332" s="1">
        <v>18</v>
      </c>
      <c r="T332" s="1">
        <v>38</v>
      </c>
      <c r="U332" s="1">
        <v>25</v>
      </c>
      <c r="V332" s="1">
        <v>15</v>
      </c>
      <c r="W332" s="1">
        <v>11</v>
      </c>
      <c r="X332" s="1">
        <v>9</v>
      </c>
      <c r="Y332" s="1">
        <v>12</v>
      </c>
    </row>
    <row r="333" spans="1:25" x14ac:dyDescent="0.3">
      <c r="A333" s="2">
        <v>43036</v>
      </c>
      <c r="B333" s="1">
        <v>13</v>
      </c>
      <c r="C333" s="1">
        <v>11</v>
      </c>
      <c r="D333" s="1">
        <v>1</v>
      </c>
      <c r="E333" s="1">
        <v>7</v>
      </c>
      <c r="F333" s="1">
        <v>8</v>
      </c>
      <c r="G333" s="1">
        <v>5</v>
      </c>
      <c r="H333" s="1">
        <v>3</v>
      </c>
      <c r="I333" s="1">
        <v>16</v>
      </c>
      <c r="J333" s="1">
        <v>6</v>
      </c>
      <c r="K333" s="1">
        <v>11</v>
      </c>
      <c r="L333" s="1">
        <v>20</v>
      </c>
      <c r="M333" s="1">
        <v>18</v>
      </c>
      <c r="N333" s="1">
        <v>26</v>
      </c>
      <c r="O333" s="1">
        <v>25</v>
      </c>
      <c r="P333" s="1">
        <v>20</v>
      </c>
      <c r="Q333" s="1">
        <v>21</v>
      </c>
      <c r="R333" s="1">
        <v>15</v>
      </c>
      <c r="S333" s="1">
        <v>23</v>
      </c>
      <c r="T333" s="1">
        <v>16</v>
      </c>
      <c r="U333" s="1">
        <v>19</v>
      </c>
      <c r="V333" s="1">
        <v>15</v>
      </c>
      <c r="W333" s="1">
        <v>16</v>
      </c>
      <c r="X333" s="1">
        <v>14</v>
      </c>
      <c r="Y333" s="1">
        <v>12</v>
      </c>
    </row>
    <row r="334" spans="1:25" x14ac:dyDescent="0.3">
      <c r="A334" s="2">
        <v>43037</v>
      </c>
      <c r="B334" s="1">
        <v>7</v>
      </c>
      <c r="C334" s="1">
        <v>18</v>
      </c>
      <c r="D334" s="1">
        <v>8</v>
      </c>
      <c r="E334" s="1">
        <v>7</v>
      </c>
      <c r="F334" s="1">
        <v>3</v>
      </c>
      <c r="G334" s="1">
        <v>10</v>
      </c>
      <c r="H334" s="1">
        <v>6</v>
      </c>
      <c r="I334" s="1">
        <v>5</v>
      </c>
      <c r="J334" s="1">
        <v>20</v>
      </c>
      <c r="K334" s="1">
        <v>10</v>
      </c>
      <c r="L334" s="1">
        <v>15</v>
      </c>
      <c r="M334" s="1">
        <v>30</v>
      </c>
      <c r="N334" s="1">
        <v>34</v>
      </c>
      <c r="O334" s="1">
        <v>27</v>
      </c>
      <c r="P334" s="1">
        <v>32</v>
      </c>
      <c r="Q334" s="1">
        <v>17</v>
      </c>
      <c r="R334" s="1">
        <v>19</v>
      </c>
      <c r="S334" s="1">
        <v>28</v>
      </c>
      <c r="T334" s="1">
        <v>23</v>
      </c>
      <c r="U334" s="1">
        <v>38</v>
      </c>
      <c r="V334" s="1">
        <v>25</v>
      </c>
      <c r="W334" s="1">
        <v>18</v>
      </c>
      <c r="X334" s="1">
        <v>23</v>
      </c>
      <c r="Y334" s="1">
        <v>17</v>
      </c>
    </row>
    <row r="335" spans="1:25" x14ac:dyDescent="0.3">
      <c r="A335" s="2">
        <v>43038</v>
      </c>
      <c r="B335" s="1">
        <v>10</v>
      </c>
      <c r="C335" s="1">
        <v>6</v>
      </c>
      <c r="D335" s="1">
        <v>10</v>
      </c>
      <c r="E335" s="1">
        <v>8</v>
      </c>
      <c r="F335" s="1">
        <v>10</v>
      </c>
      <c r="G335" s="1">
        <v>22</v>
      </c>
      <c r="H335" s="1">
        <v>25</v>
      </c>
      <c r="I335" s="1">
        <v>26</v>
      </c>
      <c r="J335" s="1">
        <v>29</v>
      </c>
      <c r="K335" s="1">
        <v>41</v>
      </c>
      <c r="L335" s="1">
        <v>32</v>
      </c>
      <c r="M335" s="1">
        <v>34</v>
      </c>
      <c r="N335" s="1">
        <v>17</v>
      </c>
      <c r="O335" s="1">
        <v>21</v>
      </c>
      <c r="P335" s="1">
        <v>17</v>
      </c>
      <c r="Q335" s="1">
        <v>19</v>
      </c>
      <c r="R335" s="1">
        <v>28</v>
      </c>
      <c r="S335" s="1">
        <v>22</v>
      </c>
      <c r="T335" s="1">
        <v>25</v>
      </c>
      <c r="U335" s="1">
        <v>22</v>
      </c>
      <c r="V335" s="1">
        <v>16</v>
      </c>
      <c r="W335" s="1">
        <v>13</v>
      </c>
      <c r="X335" s="1">
        <v>9</v>
      </c>
      <c r="Y335" s="1">
        <v>8</v>
      </c>
    </row>
    <row r="336" spans="1:25" x14ac:dyDescent="0.3">
      <c r="A336" s="2">
        <v>43039</v>
      </c>
      <c r="B336" s="1">
        <v>12</v>
      </c>
      <c r="C336" s="1">
        <v>5</v>
      </c>
      <c r="D336" s="1">
        <v>1</v>
      </c>
      <c r="E336" s="1">
        <v>5</v>
      </c>
      <c r="F336" s="1">
        <v>7</v>
      </c>
      <c r="G336" s="1">
        <v>9</v>
      </c>
      <c r="H336" s="1">
        <v>9</v>
      </c>
      <c r="I336" s="1">
        <v>19</v>
      </c>
      <c r="J336" s="1">
        <v>23</v>
      </c>
      <c r="K336" s="1">
        <v>22</v>
      </c>
      <c r="L336" s="1">
        <v>24</v>
      </c>
      <c r="M336" s="1">
        <v>25</v>
      </c>
      <c r="N336" s="1">
        <v>22</v>
      </c>
      <c r="O336" s="1">
        <v>27</v>
      </c>
      <c r="P336" s="1">
        <v>17</v>
      </c>
      <c r="Q336" s="1">
        <v>39</v>
      </c>
      <c r="R336" s="1">
        <v>31</v>
      </c>
      <c r="S336" s="1">
        <v>19</v>
      </c>
      <c r="T336" s="1">
        <v>17</v>
      </c>
      <c r="U336" s="1">
        <v>25</v>
      </c>
      <c r="V336" s="1">
        <v>21</v>
      </c>
      <c r="W336" s="1">
        <v>16</v>
      </c>
      <c r="X336" s="1">
        <v>9</v>
      </c>
      <c r="Y336" s="1">
        <v>20</v>
      </c>
    </row>
    <row r="337" spans="1:25" x14ac:dyDescent="0.3">
      <c r="A337" s="2">
        <v>43040</v>
      </c>
      <c r="B337" s="1">
        <v>5</v>
      </c>
      <c r="C337" s="1">
        <v>5</v>
      </c>
      <c r="D337" s="1">
        <v>5</v>
      </c>
      <c r="E337" s="1">
        <v>6</v>
      </c>
      <c r="F337" s="1">
        <v>8</v>
      </c>
      <c r="G337" s="1">
        <v>9</v>
      </c>
      <c r="H337" s="1">
        <v>9</v>
      </c>
      <c r="I337" s="1">
        <v>21</v>
      </c>
      <c r="J337" s="1">
        <v>26</v>
      </c>
      <c r="K337" s="1">
        <v>28</v>
      </c>
      <c r="L337" s="1">
        <v>28</v>
      </c>
      <c r="M337" s="1">
        <v>19</v>
      </c>
      <c r="N337" s="1">
        <v>28</v>
      </c>
      <c r="O337" s="1">
        <v>24</v>
      </c>
      <c r="P337" s="1">
        <v>18</v>
      </c>
      <c r="Q337" s="1">
        <v>26</v>
      </c>
      <c r="R337" s="1">
        <v>23</v>
      </c>
      <c r="S337" s="1">
        <v>25</v>
      </c>
      <c r="T337" s="1">
        <v>18</v>
      </c>
      <c r="U337" s="1">
        <v>24</v>
      </c>
      <c r="V337" s="1">
        <v>11</v>
      </c>
      <c r="W337" s="1">
        <v>15</v>
      </c>
      <c r="X337" s="1">
        <v>6</v>
      </c>
      <c r="Y337" s="1">
        <v>6</v>
      </c>
    </row>
    <row r="338" spans="1:25" x14ac:dyDescent="0.3">
      <c r="A338" s="2">
        <v>43041</v>
      </c>
      <c r="B338" s="1">
        <v>3</v>
      </c>
      <c r="C338" s="1">
        <v>6</v>
      </c>
      <c r="D338" s="1">
        <v>6</v>
      </c>
      <c r="E338" s="1">
        <v>6</v>
      </c>
      <c r="F338" s="1">
        <v>5</v>
      </c>
      <c r="G338" s="1">
        <v>5</v>
      </c>
      <c r="H338" s="1">
        <v>11</v>
      </c>
      <c r="I338" s="1">
        <v>11</v>
      </c>
      <c r="J338" s="1">
        <v>23</v>
      </c>
      <c r="K338" s="1">
        <v>15</v>
      </c>
      <c r="L338" s="1">
        <v>25</v>
      </c>
      <c r="M338" s="1">
        <v>26</v>
      </c>
      <c r="N338" s="1">
        <v>24</v>
      </c>
      <c r="O338" s="1">
        <v>16</v>
      </c>
      <c r="P338" s="1">
        <v>32</v>
      </c>
      <c r="Q338" s="1">
        <v>26</v>
      </c>
      <c r="R338" s="1">
        <v>22</v>
      </c>
      <c r="S338" s="1">
        <v>19</v>
      </c>
      <c r="T338" s="1">
        <v>30</v>
      </c>
      <c r="U338" s="1">
        <v>19</v>
      </c>
      <c r="V338" s="1">
        <v>13</v>
      </c>
      <c r="W338" s="1">
        <v>10</v>
      </c>
      <c r="X338" s="1">
        <v>20</v>
      </c>
      <c r="Y338" s="1">
        <v>3</v>
      </c>
    </row>
    <row r="339" spans="1:25" x14ac:dyDescent="0.3">
      <c r="A339" s="2">
        <v>43042</v>
      </c>
      <c r="B339" s="1">
        <v>11</v>
      </c>
      <c r="C339" s="1">
        <v>7</v>
      </c>
      <c r="D339" s="1">
        <v>3</v>
      </c>
      <c r="E339" s="1">
        <v>1</v>
      </c>
      <c r="F339" s="1">
        <v>7</v>
      </c>
      <c r="G339" s="1">
        <v>10</v>
      </c>
      <c r="H339" s="1">
        <v>19</v>
      </c>
      <c r="I339" s="1">
        <v>18</v>
      </c>
      <c r="J339" s="1">
        <v>30</v>
      </c>
      <c r="K339" s="1">
        <v>14</v>
      </c>
      <c r="L339" s="1">
        <v>22</v>
      </c>
      <c r="M339" s="1">
        <v>29</v>
      </c>
      <c r="N339" s="1">
        <v>19</v>
      </c>
      <c r="O339" s="1">
        <v>23</v>
      </c>
      <c r="P339" s="1">
        <v>28</v>
      </c>
      <c r="Q339" s="1">
        <v>24</v>
      </c>
      <c r="R339" s="1">
        <v>24</v>
      </c>
      <c r="S339" s="1">
        <v>28</v>
      </c>
      <c r="T339" s="1">
        <v>24</v>
      </c>
      <c r="U339" s="1">
        <v>24</v>
      </c>
      <c r="V339" s="1">
        <v>5</v>
      </c>
      <c r="W339" s="1">
        <v>12</v>
      </c>
      <c r="X339" s="1">
        <v>22</v>
      </c>
      <c r="Y339" s="1">
        <v>11</v>
      </c>
    </row>
    <row r="340" spans="1:25" x14ac:dyDescent="0.3">
      <c r="A340" s="2">
        <v>43043</v>
      </c>
      <c r="B340" s="1">
        <v>16</v>
      </c>
      <c r="C340" s="1">
        <v>6</v>
      </c>
      <c r="D340" s="1">
        <v>10</v>
      </c>
      <c r="E340" s="1">
        <v>5</v>
      </c>
      <c r="F340" s="1">
        <v>5</v>
      </c>
      <c r="G340" s="1">
        <v>2</v>
      </c>
      <c r="H340" s="1">
        <v>6</v>
      </c>
      <c r="I340" s="1">
        <v>6</v>
      </c>
      <c r="J340" s="1">
        <v>14</v>
      </c>
      <c r="K340" s="1">
        <v>18</v>
      </c>
      <c r="L340" s="1">
        <v>19</v>
      </c>
      <c r="M340" s="1">
        <v>20</v>
      </c>
      <c r="N340" s="1">
        <v>16</v>
      </c>
      <c r="O340" s="1">
        <v>25</v>
      </c>
      <c r="P340" s="1">
        <v>18</v>
      </c>
      <c r="Q340" s="1">
        <v>22</v>
      </c>
      <c r="R340" s="1">
        <v>25</v>
      </c>
      <c r="S340" s="1">
        <v>15</v>
      </c>
      <c r="T340" s="1">
        <v>23</v>
      </c>
      <c r="U340" s="1">
        <v>18</v>
      </c>
      <c r="V340" s="1">
        <v>15</v>
      </c>
      <c r="W340" s="1">
        <v>16</v>
      </c>
      <c r="X340" s="1">
        <v>11</v>
      </c>
      <c r="Y340" s="1">
        <v>10</v>
      </c>
    </row>
    <row r="341" spans="1:25" x14ac:dyDescent="0.3">
      <c r="A341" s="2">
        <v>43044</v>
      </c>
      <c r="B341" s="1">
        <v>13</v>
      </c>
      <c r="C341" s="1">
        <v>3</v>
      </c>
      <c r="D341" s="1">
        <v>6</v>
      </c>
      <c r="E341" s="1">
        <v>6</v>
      </c>
      <c r="F341" s="1">
        <v>6</v>
      </c>
      <c r="G341" s="1">
        <v>9</v>
      </c>
      <c r="H341" s="1">
        <v>2</v>
      </c>
      <c r="I341" s="1">
        <v>15</v>
      </c>
      <c r="J341" s="1">
        <v>11</v>
      </c>
      <c r="K341" s="1">
        <v>15</v>
      </c>
      <c r="L341" s="1">
        <v>14</v>
      </c>
      <c r="M341" s="1">
        <v>16</v>
      </c>
      <c r="N341" s="1">
        <v>18</v>
      </c>
      <c r="O341" s="1">
        <v>11</v>
      </c>
      <c r="P341" s="1">
        <v>11</v>
      </c>
      <c r="Q341" s="1">
        <v>14</v>
      </c>
      <c r="R341" s="1">
        <v>20</v>
      </c>
      <c r="S341" s="1">
        <v>13</v>
      </c>
      <c r="T341" s="1">
        <v>21</v>
      </c>
      <c r="U341" s="1">
        <v>12</v>
      </c>
      <c r="V341" s="1">
        <v>18</v>
      </c>
      <c r="W341" s="1">
        <v>16</v>
      </c>
      <c r="X341" s="1">
        <v>2</v>
      </c>
      <c r="Y341" s="1">
        <v>8</v>
      </c>
    </row>
    <row r="342" spans="1:25" x14ac:dyDescent="0.3">
      <c r="A342" s="2">
        <v>43045</v>
      </c>
      <c r="B342" s="1">
        <v>12</v>
      </c>
      <c r="C342" s="1">
        <v>5</v>
      </c>
      <c r="D342" s="1">
        <v>2</v>
      </c>
      <c r="E342" s="1">
        <v>1</v>
      </c>
      <c r="F342" s="1">
        <v>5</v>
      </c>
      <c r="G342" s="1">
        <v>6</v>
      </c>
      <c r="H342" s="1">
        <v>7</v>
      </c>
      <c r="I342" s="1">
        <v>22</v>
      </c>
      <c r="J342" s="1">
        <v>15</v>
      </c>
      <c r="K342" s="1">
        <v>20</v>
      </c>
      <c r="L342" s="1">
        <v>32</v>
      </c>
      <c r="M342" s="1">
        <v>24</v>
      </c>
      <c r="N342" s="1">
        <v>18</v>
      </c>
      <c r="O342" s="1">
        <v>22</v>
      </c>
      <c r="P342" s="1">
        <v>28</v>
      </c>
      <c r="Q342" s="1">
        <v>27</v>
      </c>
      <c r="R342" s="1">
        <v>22</v>
      </c>
      <c r="S342" s="1">
        <v>26</v>
      </c>
      <c r="T342" s="1">
        <v>23</v>
      </c>
      <c r="U342" s="1">
        <v>27</v>
      </c>
      <c r="V342" s="1">
        <v>23</v>
      </c>
      <c r="W342" s="1">
        <v>15</v>
      </c>
      <c r="X342" s="1">
        <v>2</v>
      </c>
      <c r="Y342" s="1">
        <v>12</v>
      </c>
    </row>
    <row r="343" spans="1:25" x14ac:dyDescent="0.3">
      <c r="A343" s="2">
        <v>43046</v>
      </c>
      <c r="B343" s="1">
        <v>6</v>
      </c>
      <c r="C343" s="1">
        <v>2</v>
      </c>
      <c r="D343" s="1">
        <v>0</v>
      </c>
      <c r="E343" s="1">
        <v>6</v>
      </c>
      <c r="F343" s="1">
        <v>2</v>
      </c>
      <c r="G343" s="1">
        <v>5</v>
      </c>
      <c r="H343" s="1">
        <v>17</v>
      </c>
      <c r="I343" s="1">
        <v>20</v>
      </c>
      <c r="J343" s="1">
        <v>29</v>
      </c>
      <c r="K343" s="1">
        <v>30</v>
      </c>
      <c r="L343" s="1">
        <v>23</v>
      </c>
      <c r="M343" s="1">
        <v>18</v>
      </c>
      <c r="N343" s="1">
        <v>29</v>
      </c>
      <c r="O343" s="1">
        <v>25</v>
      </c>
      <c r="P343" s="1">
        <v>21</v>
      </c>
      <c r="Q343" s="1">
        <v>49</v>
      </c>
      <c r="R343" s="1">
        <v>27</v>
      </c>
      <c r="S343" s="1">
        <v>37</v>
      </c>
      <c r="T343" s="1">
        <v>35</v>
      </c>
      <c r="U343" s="1">
        <v>26</v>
      </c>
      <c r="V343" s="1">
        <v>18</v>
      </c>
      <c r="W343" s="1">
        <v>21</v>
      </c>
      <c r="X343" s="1">
        <v>10</v>
      </c>
      <c r="Y343" s="1">
        <v>12</v>
      </c>
    </row>
    <row r="344" spans="1:25" x14ac:dyDescent="0.3">
      <c r="A344" s="2">
        <v>43047</v>
      </c>
      <c r="B344" s="1">
        <v>3</v>
      </c>
      <c r="C344" s="1">
        <v>7</v>
      </c>
      <c r="D344" s="1">
        <v>1</v>
      </c>
      <c r="E344" s="1">
        <v>8</v>
      </c>
      <c r="F344" s="1">
        <v>6</v>
      </c>
      <c r="G344" s="1">
        <v>5</v>
      </c>
      <c r="H344" s="1">
        <v>11</v>
      </c>
      <c r="I344" s="1">
        <v>19</v>
      </c>
      <c r="J344" s="1">
        <v>25</v>
      </c>
      <c r="K344" s="1">
        <v>20</v>
      </c>
      <c r="L344" s="1">
        <v>9</v>
      </c>
      <c r="M344" s="1">
        <v>21</v>
      </c>
      <c r="N344" s="1">
        <v>19</v>
      </c>
      <c r="O344" s="1">
        <v>20</v>
      </c>
      <c r="P344" s="1">
        <v>18</v>
      </c>
      <c r="Q344" s="1">
        <v>23</v>
      </c>
      <c r="R344" s="1">
        <v>25</v>
      </c>
      <c r="S344" s="1">
        <v>27</v>
      </c>
      <c r="T344" s="1">
        <v>35</v>
      </c>
      <c r="U344" s="1">
        <v>9</v>
      </c>
      <c r="V344" s="1">
        <v>15</v>
      </c>
      <c r="W344" s="1">
        <v>12</v>
      </c>
      <c r="X344" s="1">
        <v>11</v>
      </c>
      <c r="Y344" s="1">
        <v>11</v>
      </c>
    </row>
    <row r="345" spans="1:25" x14ac:dyDescent="0.3">
      <c r="A345" s="2">
        <v>43048</v>
      </c>
      <c r="B345" s="1">
        <v>7</v>
      </c>
      <c r="C345" s="1">
        <v>4</v>
      </c>
      <c r="D345" s="1">
        <v>4</v>
      </c>
      <c r="E345" s="1">
        <v>3</v>
      </c>
      <c r="F345" s="1">
        <v>2</v>
      </c>
      <c r="G345" s="1">
        <v>4</v>
      </c>
      <c r="H345" s="1">
        <v>12</v>
      </c>
      <c r="I345" s="1">
        <v>28</v>
      </c>
      <c r="J345" s="1">
        <v>20</v>
      </c>
      <c r="K345" s="1">
        <v>21</v>
      </c>
      <c r="L345" s="1">
        <v>18</v>
      </c>
      <c r="M345" s="1">
        <v>13</v>
      </c>
      <c r="N345" s="1">
        <v>29</v>
      </c>
      <c r="O345" s="1">
        <v>22</v>
      </c>
      <c r="P345" s="1">
        <v>24</v>
      </c>
      <c r="Q345" s="1">
        <v>16</v>
      </c>
      <c r="R345" s="1">
        <v>20</v>
      </c>
      <c r="S345" s="1">
        <v>26</v>
      </c>
      <c r="T345" s="1">
        <v>2</v>
      </c>
      <c r="U345" s="1">
        <v>1</v>
      </c>
      <c r="V345" s="1">
        <v>13</v>
      </c>
      <c r="W345" s="1">
        <v>12</v>
      </c>
      <c r="X345" s="1">
        <v>9</v>
      </c>
      <c r="Y345" s="1">
        <v>18</v>
      </c>
    </row>
    <row r="346" spans="1:25" x14ac:dyDescent="0.3">
      <c r="A346" s="2">
        <v>43049</v>
      </c>
      <c r="B346" s="1">
        <v>5</v>
      </c>
      <c r="C346" s="1">
        <v>4</v>
      </c>
      <c r="D346" s="1">
        <v>6</v>
      </c>
      <c r="E346" s="1">
        <v>3</v>
      </c>
      <c r="F346" s="1">
        <v>5</v>
      </c>
      <c r="G346" s="1">
        <v>8</v>
      </c>
      <c r="H346" s="1">
        <v>9</v>
      </c>
      <c r="I346" s="1">
        <v>13</v>
      </c>
      <c r="J346" s="1">
        <v>27</v>
      </c>
      <c r="K346" s="1">
        <v>23</v>
      </c>
      <c r="L346" s="1">
        <v>32</v>
      </c>
      <c r="M346" s="1">
        <v>22</v>
      </c>
      <c r="N346" s="1">
        <v>17</v>
      </c>
      <c r="O346" s="1">
        <v>21</v>
      </c>
      <c r="P346" s="1">
        <v>33</v>
      </c>
      <c r="Q346" s="1">
        <v>17</v>
      </c>
      <c r="R346" s="1">
        <v>21</v>
      </c>
      <c r="S346" s="1">
        <v>28</v>
      </c>
      <c r="T346" s="1">
        <v>29</v>
      </c>
      <c r="U346" s="1">
        <v>18</v>
      </c>
      <c r="V346" s="1">
        <v>16</v>
      </c>
      <c r="W346" s="1">
        <v>16</v>
      </c>
      <c r="X346" s="1">
        <v>11</v>
      </c>
      <c r="Y346" s="1">
        <v>16</v>
      </c>
    </row>
    <row r="347" spans="1:25" x14ac:dyDescent="0.3">
      <c r="A347" s="2">
        <v>43050</v>
      </c>
      <c r="B347" s="1">
        <v>5</v>
      </c>
      <c r="C347" s="1">
        <v>10</v>
      </c>
      <c r="D347" s="1">
        <v>17</v>
      </c>
      <c r="E347" s="1">
        <v>5</v>
      </c>
      <c r="F347" s="1">
        <v>1</v>
      </c>
      <c r="G347" s="1">
        <v>2</v>
      </c>
      <c r="H347" s="1">
        <v>4</v>
      </c>
      <c r="I347" s="1">
        <v>9</v>
      </c>
      <c r="J347" s="1">
        <v>15</v>
      </c>
      <c r="K347" s="1">
        <v>22</v>
      </c>
      <c r="L347" s="1">
        <v>26</v>
      </c>
      <c r="M347" s="1">
        <v>22</v>
      </c>
      <c r="N347" s="1">
        <v>26</v>
      </c>
      <c r="O347" s="1">
        <v>16</v>
      </c>
      <c r="P347" s="1">
        <v>18</v>
      </c>
      <c r="Q347" s="1">
        <v>31</v>
      </c>
      <c r="R347" s="1">
        <v>19</v>
      </c>
      <c r="S347" s="1">
        <v>23</v>
      </c>
      <c r="T347" s="1">
        <v>21</v>
      </c>
      <c r="U347" s="1">
        <v>12</v>
      </c>
      <c r="V347" s="1">
        <v>13</v>
      </c>
      <c r="W347" s="1">
        <v>19</v>
      </c>
      <c r="X347" s="1">
        <v>15</v>
      </c>
      <c r="Y347" s="1">
        <v>10</v>
      </c>
    </row>
    <row r="348" spans="1:25" x14ac:dyDescent="0.3">
      <c r="A348" s="2">
        <v>43051</v>
      </c>
      <c r="B348" s="1">
        <v>10</v>
      </c>
      <c r="C348" s="1">
        <v>15</v>
      </c>
      <c r="D348" s="1">
        <v>3</v>
      </c>
      <c r="E348" s="1">
        <v>5</v>
      </c>
      <c r="F348" s="1">
        <v>3</v>
      </c>
      <c r="G348" s="1">
        <v>3</v>
      </c>
      <c r="H348" s="1">
        <v>6</v>
      </c>
      <c r="I348" s="1">
        <v>9</v>
      </c>
      <c r="J348" s="1">
        <v>19</v>
      </c>
      <c r="K348" s="1">
        <v>19</v>
      </c>
      <c r="L348" s="1">
        <v>16</v>
      </c>
      <c r="M348" s="1">
        <v>19</v>
      </c>
      <c r="N348" s="1">
        <v>18</v>
      </c>
      <c r="O348" s="1">
        <v>20</v>
      </c>
      <c r="P348" s="1">
        <v>25</v>
      </c>
      <c r="Q348" s="1">
        <v>19</v>
      </c>
      <c r="R348" s="1">
        <v>11</v>
      </c>
      <c r="S348" s="1">
        <v>29</v>
      </c>
      <c r="T348" s="1">
        <v>16</v>
      </c>
      <c r="U348" s="1">
        <v>10</v>
      </c>
      <c r="V348" s="1">
        <v>17</v>
      </c>
      <c r="W348" s="1">
        <v>10</v>
      </c>
      <c r="X348" s="1">
        <v>10</v>
      </c>
      <c r="Y348" s="1">
        <v>10</v>
      </c>
    </row>
    <row r="349" spans="1:25" x14ac:dyDescent="0.3">
      <c r="A349" s="2">
        <v>43052</v>
      </c>
      <c r="B349" s="1">
        <v>11</v>
      </c>
      <c r="C349" s="1">
        <v>2</v>
      </c>
      <c r="D349" s="1">
        <v>8</v>
      </c>
      <c r="E349" s="1">
        <v>4</v>
      </c>
      <c r="F349" s="1">
        <v>13</v>
      </c>
      <c r="G349" s="1">
        <v>2</v>
      </c>
      <c r="H349" s="1">
        <v>10</v>
      </c>
      <c r="I349" s="1">
        <v>21</v>
      </c>
      <c r="J349" s="1">
        <v>14</v>
      </c>
      <c r="K349" s="1">
        <v>26</v>
      </c>
      <c r="L349" s="1">
        <v>25</v>
      </c>
      <c r="M349" s="1">
        <v>19</v>
      </c>
      <c r="N349" s="1">
        <v>27</v>
      </c>
      <c r="O349" s="1">
        <v>20</v>
      </c>
      <c r="P349" s="1">
        <v>15</v>
      </c>
      <c r="Q349" s="1">
        <v>28</v>
      </c>
      <c r="R349" s="1">
        <v>28</v>
      </c>
      <c r="S349" s="1">
        <v>30</v>
      </c>
      <c r="T349" s="1">
        <v>21</v>
      </c>
      <c r="U349" s="1">
        <v>18</v>
      </c>
      <c r="V349" s="1">
        <v>15</v>
      </c>
      <c r="W349" s="1">
        <v>6</v>
      </c>
      <c r="X349" s="1">
        <v>10</v>
      </c>
      <c r="Y349" s="1">
        <v>9</v>
      </c>
    </row>
    <row r="350" spans="1:25" x14ac:dyDescent="0.3">
      <c r="A350" s="2">
        <v>43053</v>
      </c>
      <c r="B350" s="1">
        <v>8</v>
      </c>
      <c r="C350" s="1">
        <v>7</v>
      </c>
      <c r="D350" s="1">
        <v>2</v>
      </c>
      <c r="E350" s="1">
        <v>4</v>
      </c>
      <c r="F350" s="1">
        <v>4</v>
      </c>
      <c r="G350" s="1">
        <v>7</v>
      </c>
      <c r="H350" s="1">
        <v>7</v>
      </c>
      <c r="I350" s="1">
        <v>26</v>
      </c>
      <c r="J350" s="1">
        <v>21</v>
      </c>
      <c r="K350" s="1">
        <v>22</v>
      </c>
      <c r="L350" s="1">
        <v>19</v>
      </c>
      <c r="M350" s="1">
        <v>20</v>
      </c>
      <c r="N350" s="1">
        <v>21</v>
      </c>
      <c r="O350" s="1">
        <v>24</v>
      </c>
      <c r="P350" s="1">
        <v>18</v>
      </c>
      <c r="Q350" s="1">
        <v>21</v>
      </c>
      <c r="R350" s="1">
        <v>29</v>
      </c>
      <c r="S350" s="1">
        <v>30</v>
      </c>
      <c r="T350" s="1">
        <v>30</v>
      </c>
      <c r="U350" s="1">
        <v>21</v>
      </c>
      <c r="V350" s="1">
        <v>16</v>
      </c>
      <c r="W350" s="1">
        <v>10</v>
      </c>
      <c r="X350" s="1">
        <v>8</v>
      </c>
      <c r="Y350" s="1">
        <v>16</v>
      </c>
    </row>
    <row r="351" spans="1:25" x14ac:dyDescent="0.3">
      <c r="A351" s="2">
        <v>43054</v>
      </c>
      <c r="B351" s="1">
        <v>5</v>
      </c>
      <c r="C351" s="1">
        <v>12</v>
      </c>
      <c r="D351" s="1">
        <v>9</v>
      </c>
      <c r="E351" s="1">
        <v>6</v>
      </c>
      <c r="F351" s="1">
        <v>3</v>
      </c>
      <c r="G351" s="1">
        <v>9</v>
      </c>
      <c r="H351" s="1">
        <v>14</v>
      </c>
      <c r="I351" s="1">
        <v>18</v>
      </c>
      <c r="J351" s="1">
        <v>21</v>
      </c>
      <c r="K351" s="1">
        <v>17</v>
      </c>
      <c r="L351" s="1">
        <v>33</v>
      </c>
      <c r="M351" s="1">
        <v>37</v>
      </c>
      <c r="N351" s="1">
        <v>23</v>
      </c>
      <c r="O351" s="1">
        <v>19</v>
      </c>
      <c r="P351" s="1">
        <v>22</v>
      </c>
      <c r="Q351" s="1">
        <v>32</v>
      </c>
      <c r="R351" s="1">
        <v>23</v>
      </c>
      <c r="S351" s="1">
        <v>38</v>
      </c>
      <c r="T351" s="1">
        <v>21</v>
      </c>
      <c r="U351" s="1">
        <v>21</v>
      </c>
      <c r="V351" s="1">
        <v>16</v>
      </c>
      <c r="W351" s="1">
        <v>13</v>
      </c>
      <c r="X351" s="1">
        <v>11</v>
      </c>
      <c r="Y351" s="1">
        <v>8</v>
      </c>
    </row>
    <row r="352" spans="1:25" x14ac:dyDescent="0.3">
      <c r="A352" s="2">
        <v>43055</v>
      </c>
      <c r="B352" s="1">
        <v>6</v>
      </c>
      <c r="C352" s="1">
        <v>9</v>
      </c>
      <c r="D352" s="1">
        <v>5</v>
      </c>
      <c r="E352" s="1">
        <v>5</v>
      </c>
      <c r="F352" s="1">
        <v>7</v>
      </c>
      <c r="G352" s="1">
        <v>8</v>
      </c>
      <c r="H352" s="1">
        <v>18</v>
      </c>
      <c r="I352" s="1">
        <v>27</v>
      </c>
      <c r="J352" s="1">
        <v>31</v>
      </c>
      <c r="K352" s="1">
        <v>28</v>
      </c>
      <c r="L352" s="1">
        <v>25</v>
      </c>
      <c r="M352" s="1">
        <v>32</v>
      </c>
      <c r="N352" s="1">
        <v>30</v>
      </c>
      <c r="O352" s="1">
        <v>23</v>
      </c>
      <c r="P352" s="1">
        <v>32</v>
      </c>
      <c r="Q352" s="1">
        <v>27</v>
      </c>
      <c r="R352" s="1">
        <v>24</v>
      </c>
      <c r="S352" s="1">
        <v>42</v>
      </c>
      <c r="T352" s="1">
        <v>22</v>
      </c>
      <c r="U352" s="1">
        <v>21</v>
      </c>
      <c r="V352" s="1">
        <v>12</v>
      </c>
      <c r="W352" s="1">
        <v>14</v>
      </c>
      <c r="X352" s="1">
        <v>7</v>
      </c>
      <c r="Y352" s="1">
        <v>9</v>
      </c>
    </row>
    <row r="353" spans="1:25" x14ac:dyDescent="0.3">
      <c r="A353" s="2">
        <v>43056</v>
      </c>
      <c r="B353" s="1">
        <v>9</v>
      </c>
      <c r="C353" s="1">
        <v>4</v>
      </c>
      <c r="D353" s="1">
        <v>3</v>
      </c>
      <c r="E353" s="1">
        <v>6</v>
      </c>
      <c r="F353" s="1">
        <v>8</v>
      </c>
      <c r="G353" s="1">
        <v>14</v>
      </c>
      <c r="H353" s="1">
        <v>4</v>
      </c>
      <c r="I353" s="1">
        <v>12</v>
      </c>
      <c r="J353" s="1">
        <v>24</v>
      </c>
      <c r="K353" s="1">
        <v>19</v>
      </c>
      <c r="L353" s="1">
        <v>16</v>
      </c>
      <c r="M353" s="1">
        <v>19</v>
      </c>
      <c r="N353" s="1">
        <v>20</v>
      </c>
      <c r="O353" s="1">
        <v>33</v>
      </c>
      <c r="P353" s="1">
        <v>23</v>
      </c>
      <c r="Q353" s="1">
        <v>27</v>
      </c>
      <c r="R353" s="1">
        <v>24</v>
      </c>
      <c r="S353" s="1">
        <v>47</v>
      </c>
      <c r="T353" s="1">
        <v>40</v>
      </c>
      <c r="U353" s="1">
        <v>32</v>
      </c>
      <c r="V353" s="1">
        <v>26</v>
      </c>
      <c r="W353" s="1">
        <v>26</v>
      </c>
      <c r="X353" s="1">
        <v>13</v>
      </c>
      <c r="Y353" s="1">
        <v>9</v>
      </c>
    </row>
    <row r="354" spans="1:25" x14ac:dyDescent="0.3">
      <c r="A354" s="2">
        <v>43057</v>
      </c>
      <c r="B354" s="1">
        <v>9</v>
      </c>
      <c r="C354" s="1">
        <v>7</v>
      </c>
      <c r="D354" s="1">
        <v>12</v>
      </c>
      <c r="E354" s="1">
        <v>5</v>
      </c>
      <c r="F354" s="1">
        <v>4</v>
      </c>
      <c r="G354" s="1">
        <v>7</v>
      </c>
      <c r="H354" s="1">
        <v>6</v>
      </c>
      <c r="I354" s="1">
        <v>6</v>
      </c>
      <c r="J354" s="1">
        <v>14</v>
      </c>
      <c r="K354" s="1">
        <v>18</v>
      </c>
      <c r="L354" s="1">
        <v>21</v>
      </c>
      <c r="M354" s="1">
        <v>31</v>
      </c>
      <c r="N354" s="1">
        <v>19</v>
      </c>
      <c r="O354" s="1">
        <v>26</v>
      </c>
      <c r="P354" s="1">
        <v>29</v>
      </c>
      <c r="Q354" s="1">
        <v>22</v>
      </c>
      <c r="R354" s="1">
        <v>20</v>
      </c>
      <c r="S354" s="1">
        <v>18</v>
      </c>
      <c r="T354" s="1">
        <v>36</v>
      </c>
      <c r="U354" s="1">
        <v>15</v>
      </c>
      <c r="V354" s="1">
        <v>15</v>
      </c>
      <c r="W354" s="1">
        <v>9</v>
      </c>
      <c r="X354" s="1">
        <v>13</v>
      </c>
      <c r="Y354" s="1">
        <v>24</v>
      </c>
    </row>
    <row r="355" spans="1:25" x14ac:dyDescent="0.3">
      <c r="A355" s="2">
        <v>43058</v>
      </c>
      <c r="B355" s="1">
        <v>8</v>
      </c>
      <c r="C355" s="1">
        <v>14</v>
      </c>
      <c r="D355" s="1">
        <v>7</v>
      </c>
      <c r="E355" s="1">
        <v>10</v>
      </c>
      <c r="F355" s="1">
        <v>7</v>
      </c>
      <c r="G355" s="1">
        <v>6</v>
      </c>
      <c r="H355" s="1">
        <v>24</v>
      </c>
      <c r="I355" s="1">
        <v>36</v>
      </c>
      <c r="J355" s="1">
        <v>37</v>
      </c>
      <c r="K355" s="1">
        <v>27</v>
      </c>
      <c r="L355" s="1">
        <v>50</v>
      </c>
      <c r="M355" s="1">
        <v>17</v>
      </c>
      <c r="N355" s="1">
        <v>21</v>
      </c>
      <c r="O355" s="1">
        <v>19</v>
      </c>
      <c r="P355" s="1">
        <v>19</v>
      </c>
      <c r="Q355" s="1">
        <v>11</v>
      </c>
      <c r="R355" s="1">
        <v>25</v>
      </c>
      <c r="S355" s="1">
        <v>19</v>
      </c>
      <c r="T355" s="1">
        <v>10</v>
      </c>
      <c r="U355" s="1">
        <v>18</v>
      </c>
      <c r="V355" s="1">
        <v>19</v>
      </c>
      <c r="W355" s="1">
        <v>8</v>
      </c>
      <c r="X355" s="1">
        <v>12</v>
      </c>
      <c r="Y355" s="1">
        <v>6</v>
      </c>
    </row>
    <row r="356" spans="1:25" x14ac:dyDescent="0.3">
      <c r="A356" s="2">
        <v>43059</v>
      </c>
      <c r="B356" s="1">
        <v>5</v>
      </c>
      <c r="C356" s="1">
        <v>14</v>
      </c>
      <c r="D356" s="1">
        <v>6</v>
      </c>
      <c r="E356" s="1">
        <v>2</v>
      </c>
      <c r="F356" s="1">
        <v>10</v>
      </c>
      <c r="G356" s="1">
        <v>5</v>
      </c>
      <c r="H356" s="1">
        <v>11</v>
      </c>
      <c r="I356" s="1">
        <v>19</v>
      </c>
      <c r="J356" s="1">
        <v>22</v>
      </c>
      <c r="K356" s="1">
        <v>29</v>
      </c>
      <c r="L356" s="1">
        <v>22</v>
      </c>
      <c r="M356" s="1">
        <v>26</v>
      </c>
      <c r="N356" s="1">
        <v>15</v>
      </c>
      <c r="O356" s="1">
        <v>31</v>
      </c>
      <c r="P356" s="1">
        <v>31</v>
      </c>
      <c r="Q356" s="1">
        <v>30</v>
      </c>
      <c r="R356" s="1">
        <v>26</v>
      </c>
      <c r="S356" s="1">
        <v>43</v>
      </c>
      <c r="T356" s="1">
        <v>33</v>
      </c>
      <c r="U356" s="1">
        <v>18</v>
      </c>
      <c r="V356" s="1">
        <v>11</v>
      </c>
      <c r="W356" s="1">
        <v>7</v>
      </c>
      <c r="X356" s="1">
        <v>13</v>
      </c>
      <c r="Y356" s="1">
        <v>10</v>
      </c>
    </row>
    <row r="357" spans="1:25" x14ac:dyDescent="0.3">
      <c r="A357" s="2">
        <v>43060</v>
      </c>
      <c r="B357" s="1">
        <v>11</v>
      </c>
      <c r="C357" s="1">
        <v>9</v>
      </c>
      <c r="D357" s="1">
        <v>7</v>
      </c>
      <c r="E357" s="1">
        <v>0</v>
      </c>
      <c r="F357" s="1">
        <v>3</v>
      </c>
      <c r="G357" s="1">
        <v>7</v>
      </c>
      <c r="H357" s="1">
        <v>9</v>
      </c>
      <c r="I357" s="1">
        <v>13</v>
      </c>
      <c r="J357" s="1">
        <v>24</v>
      </c>
      <c r="K357" s="1">
        <v>18</v>
      </c>
      <c r="L357" s="1">
        <v>36</v>
      </c>
      <c r="M357" s="1">
        <v>26</v>
      </c>
      <c r="N357" s="1">
        <v>32</v>
      </c>
      <c r="O357" s="1">
        <v>23</v>
      </c>
      <c r="P357" s="1">
        <v>40</v>
      </c>
      <c r="Q357" s="1">
        <v>24</v>
      </c>
      <c r="R357" s="1">
        <v>31</v>
      </c>
      <c r="S357" s="1">
        <v>25</v>
      </c>
      <c r="T357" s="1">
        <v>25</v>
      </c>
      <c r="U357" s="1">
        <v>19</v>
      </c>
      <c r="V357" s="1">
        <v>15</v>
      </c>
      <c r="W357" s="1">
        <v>20</v>
      </c>
      <c r="X357" s="1">
        <v>9</v>
      </c>
      <c r="Y357" s="1">
        <v>4</v>
      </c>
    </row>
    <row r="358" spans="1:25" x14ac:dyDescent="0.3">
      <c r="A358" s="2">
        <v>43061</v>
      </c>
      <c r="B358" s="1">
        <v>4</v>
      </c>
      <c r="C358" s="1">
        <v>3</v>
      </c>
      <c r="D358" s="1">
        <v>5</v>
      </c>
      <c r="E358" s="1">
        <v>6</v>
      </c>
      <c r="F358" s="1">
        <v>5</v>
      </c>
      <c r="G358" s="1">
        <v>7</v>
      </c>
      <c r="H358" s="1">
        <v>8</v>
      </c>
      <c r="I358" s="1">
        <v>14</v>
      </c>
      <c r="J358" s="1">
        <v>22</v>
      </c>
      <c r="K358" s="1">
        <v>25</v>
      </c>
      <c r="L358" s="1">
        <v>24</v>
      </c>
      <c r="M358" s="1">
        <v>21</v>
      </c>
      <c r="N358" s="1">
        <v>40</v>
      </c>
      <c r="O358" s="1">
        <v>18</v>
      </c>
      <c r="P358" s="1">
        <v>43</v>
      </c>
      <c r="Q358" s="1">
        <v>26</v>
      </c>
      <c r="R358" s="1">
        <v>31</v>
      </c>
      <c r="S358" s="1">
        <v>28</v>
      </c>
      <c r="T358" s="1">
        <v>16</v>
      </c>
      <c r="U358" s="1">
        <v>19</v>
      </c>
      <c r="V358" s="1">
        <v>11</v>
      </c>
      <c r="W358" s="1">
        <v>14</v>
      </c>
      <c r="X358" s="1">
        <v>11</v>
      </c>
      <c r="Y358" s="1">
        <v>10</v>
      </c>
    </row>
    <row r="359" spans="1:25" x14ac:dyDescent="0.3">
      <c r="A359" s="2">
        <v>43062</v>
      </c>
      <c r="B359" s="1">
        <v>11</v>
      </c>
      <c r="C359" s="1">
        <v>9</v>
      </c>
      <c r="D359" s="1">
        <v>18</v>
      </c>
      <c r="E359" s="1">
        <v>5</v>
      </c>
      <c r="F359" s="1">
        <v>2</v>
      </c>
      <c r="G359" s="1">
        <v>9</v>
      </c>
      <c r="H359" s="1">
        <v>6</v>
      </c>
      <c r="I359" s="1">
        <v>2</v>
      </c>
      <c r="J359" s="1">
        <v>13</v>
      </c>
      <c r="K359" s="1">
        <v>13</v>
      </c>
      <c r="L359" s="1">
        <v>16</v>
      </c>
      <c r="M359" s="1">
        <v>14</v>
      </c>
      <c r="N359" s="1">
        <v>12</v>
      </c>
      <c r="O359" s="1">
        <v>17</v>
      </c>
      <c r="P359" s="1">
        <v>21</v>
      </c>
      <c r="Q359" s="1">
        <v>20</v>
      </c>
      <c r="R359" s="1">
        <v>14</v>
      </c>
      <c r="S359" s="1">
        <v>14</v>
      </c>
      <c r="T359" s="1">
        <v>17</v>
      </c>
      <c r="U359" s="1">
        <v>19</v>
      </c>
      <c r="V359" s="1">
        <v>13</v>
      </c>
      <c r="W359" s="1">
        <v>17</v>
      </c>
      <c r="X359" s="1">
        <v>15</v>
      </c>
      <c r="Y359" s="1">
        <v>11</v>
      </c>
    </row>
    <row r="360" spans="1:25" x14ac:dyDescent="0.3">
      <c r="A360" s="2">
        <v>43063</v>
      </c>
      <c r="B360" s="1">
        <v>16</v>
      </c>
      <c r="C360" s="1">
        <v>8</v>
      </c>
      <c r="D360" s="1">
        <v>4</v>
      </c>
      <c r="E360" s="1">
        <v>4</v>
      </c>
      <c r="F360" s="1">
        <v>8</v>
      </c>
      <c r="G360" s="1">
        <v>9</v>
      </c>
      <c r="H360" s="1">
        <v>10</v>
      </c>
      <c r="I360" s="1">
        <v>12</v>
      </c>
      <c r="J360" s="1">
        <v>17</v>
      </c>
      <c r="K360" s="1">
        <v>12</v>
      </c>
      <c r="L360" s="1">
        <v>21</v>
      </c>
      <c r="M360" s="1">
        <v>27</v>
      </c>
      <c r="N360" s="1">
        <v>15</v>
      </c>
      <c r="O360" s="1">
        <v>43</v>
      </c>
      <c r="P360" s="1">
        <v>35</v>
      </c>
      <c r="Q360" s="1">
        <v>23</v>
      </c>
      <c r="R360" s="1">
        <v>20</v>
      </c>
      <c r="S360" s="1">
        <v>25</v>
      </c>
      <c r="T360" s="1">
        <v>20</v>
      </c>
      <c r="U360" s="1">
        <v>13</v>
      </c>
      <c r="V360" s="1">
        <v>13</v>
      </c>
      <c r="W360" s="1">
        <v>20</v>
      </c>
      <c r="X360" s="1">
        <v>15</v>
      </c>
      <c r="Y360" s="1">
        <v>15</v>
      </c>
    </row>
    <row r="361" spans="1:25" x14ac:dyDescent="0.3">
      <c r="A361" s="2">
        <v>43064</v>
      </c>
      <c r="B361" s="1">
        <v>11</v>
      </c>
      <c r="C361" s="1">
        <v>12</v>
      </c>
      <c r="D361" s="1">
        <v>11</v>
      </c>
      <c r="E361" s="1">
        <v>1</v>
      </c>
      <c r="F361" s="1">
        <v>1</v>
      </c>
      <c r="G361" s="1">
        <v>5</v>
      </c>
      <c r="H361" s="1">
        <v>5</v>
      </c>
      <c r="I361" s="1">
        <v>8</v>
      </c>
      <c r="J361" s="1">
        <v>18</v>
      </c>
      <c r="K361" s="1">
        <v>13</v>
      </c>
      <c r="L361" s="1">
        <v>34</v>
      </c>
      <c r="M361" s="1">
        <v>22</v>
      </c>
      <c r="N361" s="1">
        <v>17</v>
      </c>
      <c r="O361" s="1">
        <v>35</v>
      </c>
      <c r="P361" s="1">
        <v>22</v>
      </c>
      <c r="Q361" s="1">
        <v>18</v>
      </c>
      <c r="R361" s="1">
        <v>20</v>
      </c>
      <c r="S361" s="1">
        <v>20</v>
      </c>
      <c r="T361" s="1">
        <v>24</v>
      </c>
      <c r="U361" s="1">
        <v>25</v>
      </c>
      <c r="V361" s="1">
        <v>14</v>
      </c>
      <c r="W361" s="1">
        <v>10</v>
      </c>
      <c r="X361" s="1">
        <v>12</v>
      </c>
      <c r="Y361" s="1">
        <v>10</v>
      </c>
    </row>
    <row r="362" spans="1:25" x14ac:dyDescent="0.3">
      <c r="A362" s="2">
        <v>43065</v>
      </c>
      <c r="B362" s="1">
        <v>8</v>
      </c>
      <c r="C362" s="1">
        <v>11</v>
      </c>
      <c r="D362" s="1">
        <v>1</v>
      </c>
      <c r="E362" s="1">
        <v>5</v>
      </c>
      <c r="F362" s="1">
        <v>7</v>
      </c>
      <c r="G362" s="1">
        <v>4</v>
      </c>
      <c r="H362" s="1">
        <v>10</v>
      </c>
      <c r="I362" s="1">
        <v>6</v>
      </c>
      <c r="J362" s="1">
        <v>14</v>
      </c>
      <c r="K362" s="1">
        <v>17</v>
      </c>
      <c r="L362" s="1">
        <v>18</v>
      </c>
      <c r="M362" s="1">
        <v>14</v>
      </c>
      <c r="N362" s="1">
        <v>13</v>
      </c>
      <c r="O362" s="1">
        <v>12</v>
      </c>
      <c r="P362" s="1">
        <v>12</v>
      </c>
      <c r="Q362" s="1">
        <v>19</v>
      </c>
      <c r="R362" s="1">
        <v>24</v>
      </c>
      <c r="S362" s="1">
        <v>13</v>
      </c>
      <c r="T362" s="1">
        <v>15</v>
      </c>
      <c r="U362" s="1">
        <v>10</v>
      </c>
      <c r="V362" s="1">
        <v>13</v>
      </c>
      <c r="W362" s="1">
        <v>19</v>
      </c>
      <c r="X362" s="1">
        <v>7</v>
      </c>
      <c r="Y362" s="1">
        <v>7</v>
      </c>
    </row>
    <row r="363" spans="1:25" x14ac:dyDescent="0.3">
      <c r="A363" s="2">
        <v>43066</v>
      </c>
      <c r="B363" s="1">
        <v>4</v>
      </c>
      <c r="C363" s="1">
        <v>5</v>
      </c>
      <c r="D363" s="1">
        <v>3</v>
      </c>
      <c r="E363" s="1">
        <v>2</v>
      </c>
      <c r="F363" s="1">
        <v>8</v>
      </c>
      <c r="G363" s="1">
        <v>8</v>
      </c>
      <c r="H363" s="1">
        <v>15</v>
      </c>
      <c r="I363" s="1">
        <v>25</v>
      </c>
      <c r="J363" s="1">
        <v>17</v>
      </c>
      <c r="K363" s="1">
        <v>14</v>
      </c>
      <c r="L363" s="1">
        <v>20</v>
      </c>
      <c r="M363" s="1">
        <v>22</v>
      </c>
      <c r="N363" s="1">
        <v>24</v>
      </c>
      <c r="O363" s="1">
        <v>26</v>
      </c>
      <c r="P363" s="1">
        <v>17</v>
      </c>
      <c r="Q363" s="1">
        <v>20</v>
      </c>
      <c r="R363" s="1">
        <v>20</v>
      </c>
      <c r="S363" s="1">
        <v>26</v>
      </c>
      <c r="T363" s="1">
        <v>24</v>
      </c>
      <c r="U363" s="1">
        <v>28</v>
      </c>
      <c r="V363" s="1">
        <v>14</v>
      </c>
      <c r="W363" s="1">
        <v>9</v>
      </c>
      <c r="X363" s="1">
        <v>9</v>
      </c>
      <c r="Y363" s="1">
        <v>3</v>
      </c>
    </row>
    <row r="364" spans="1:25" x14ac:dyDescent="0.3">
      <c r="A364" s="2">
        <v>43067</v>
      </c>
      <c r="B364" s="1">
        <v>7</v>
      </c>
      <c r="C364" s="1">
        <v>5</v>
      </c>
      <c r="D364" s="1">
        <v>5</v>
      </c>
      <c r="E364" s="1">
        <v>6</v>
      </c>
      <c r="F364" s="1">
        <v>6</v>
      </c>
      <c r="G364" s="1">
        <v>7</v>
      </c>
      <c r="H364" s="1">
        <v>6</v>
      </c>
      <c r="I364" s="1">
        <v>21</v>
      </c>
      <c r="J364" s="1">
        <v>27</v>
      </c>
      <c r="K364" s="1">
        <v>24</v>
      </c>
      <c r="L364" s="1">
        <v>25</v>
      </c>
      <c r="M364" s="1">
        <v>14</v>
      </c>
      <c r="N364" s="1">
        <v>19</v>
      </c>
      <c r="O364" s="1">
        <v>28</v>
      </c>
      <c r="P364" s="1">
        <v>25</v>
      </c>
      <c r="Q364" s="1">
        <v>24</v>
      </c>
      <c r="R364" s="1">
        <v>33</v>
      </c>
      <c r="S364" s="1">
        <v>40</v>
      </c>
      <c r="T364" s="1">
        <v>25</v>
      </c>
      <c r="U364" s="1">
        <v>15</v>
      </c>
      <c r="V364" s="1">
        <v>23</v>
      </c>
      <c r="W364" s="1">
        <v>10</v>
      </c>
      <c r="X364" s="1">
        <v>8</v>
      </c>
      <c r="Y364" s="1">
        <v>6</v>
      </c>
    </row>
    <row r="365" spans="1:25" x14ac:dyDescent="0.3">
      <c r="A365" s="2">
        <v>43068</v>
      </c>
      <c r="B365" s="1">
        <v>1</v>
      </c>
      <c r="C365" s="1">
        <v>3</v>
      </c>
      <c r="D365" s="1">
        <v>3</v>
      </c>
      <c r="E365" s="1">
        <v>5</v>
      </c>
      <c r="F365" s="1">
        <v>3</v>
      </c>
      <c r="G365" s="1">
        <v>5</v>
      </c>
      <c r="H365" s="1">
        <v>8</v>
      </c>
      <c r="I365" s="1">
        <v>19</v>
      </c>
      <c r="J365" s="1">
        <v>23</v>
      </c>
      <c r="K365" s="1">
        <v>30</v>
      </c>
      <c r="L365" s="1">
        <v>18</v>
      </c>
      <c r="M365" s="1">
        <v>21</v>
      </c>
      <c r="N365" s="1">
        <v>27</v>
      </c>
      <c r="O365" s="1">
        <v>18</v>
      </c>
      <c r="P365" s="1">
        <v>20</v>
      </c>
      <c r="Q365" s="1">
        <v>27</v>
      </c>
      <c r="R365" s="1">
        <v>25</v>
      </c>
      <c r="S365" s="1">
        <v>33</v>
      </c>
      <c r="T365" s="1">
        <v>27</v>
      </c>
      <c r="U365" s="1">
        <v>27</v>
      </c>
      <c r="V365" s="1">
        <v>10</v>
      </c>
      <c r="W365" s="1">
        <v>7</v>
      </c>
      <c r="X365" s="1">
        <v>8</v>
      </c>
      <c r="Y365" s="1">
        <v>14</v>
      </c>
    </row>
    <row r="366" spans="1:25" x14ac:dyDescent="0.3">
      <c r="A366" s="2">
        <v>43069</v>
      </c>
      <c r="B366" s="1">
        <v>5</v>
      </c>
      <c r="C366" s="1">
        <v>8</v>
      </c>
      <c r="D366" s="1">
        <v>9</v>
      </c>
      <c r="E366" s="1">
        <v>1</v>
      </c>
      <c r="F366" s="1">
        <v>3</v>
      </c>
      <c r="G366" s="1">
        <v>2</v>
      </c>
      <c r="H366" s="1">
        <v>18</v>
      </c>
      <c r="I366" s="1">
        <v>13</v>
      </c>
      <c r="J366" s="1">
        <v>20</v>
      </c>
      <c r="K366" s="1">
        <v>20</v>
      </c>
      <c r="L366" s="1">
        <v>18</v>
      </c>
      <c r="M366" s="1">
        <v>36</v>
      </c>
      <c r="N366" s="1">
        <v>13</v>
      </c>
      <c r="O366" s="1">
        <v>23</v>
      </c>
      <c r="P366" s="1">
        <v>17</v>
      </c>
      <c r="Q366" s="1">
        <v>26</v>
      </c>
      <c r="R366" s="1">
        <v>20</v>
      </c>
      <c r="S366" s="1">
        <v>28</v>
      </c>
      <c r="T366" s="1">
        <v>30</v>
      </c>
      <c r="U366" s="1">
        <v>16</v>
      </c>
      <c r="V366" s="1">
        <v>19</v>
      </c>
      <c r="W366" s="1">
        <v>12</v>
      </c>
      <c r="X366" s="1">
        <v>6</v>
      </c>
      <c r="Y366" s="1">
        <v>9</v>
      </c>
    </row>
    <row r="367" spans="1:25" x14ac:dyDescent="0.3">
      <c r="A367" s="2">
        <v>43070</v>
      </c>
      <c r="B367" s="1">
        <v>11</v>
      </c>
      <c r="C367" s="1">
        <v>9</v>
      </c>
      <c r="D367" s="1">
        <v>2</v>
      </c>
      <c r="E367" s="1">
        <v>5</v>
      </c>
      <c r="F367" s="1">
        <v>4</v>
      </c>
      <c r="G367" s="1">
        <v>6</v>
      </c>
      <c r="H367" s="1">
        <v>14</v>
      </c>
      <c r="I367" s="1">
        <v>27</v>
      </c>
      <c r="J367" s="1">
        <v>21</v>
      </c>
      <c r="K367" s="1">
        <v>19</v>
      </c>
      <c r="L367" s="1">
        <v>19</v>
      </c>
      <c r="M367" s="1">
        <v>25</v>
      </c>
      <c r="N367" s="1">
        <v>26</v>
      </c>
      <c r="O367" s="1">
        <v>34</v>
      </c>
      <c r="P367" s="1">
        <v>39</v>
      </c>
      <c r="Q367" s="1">
        <v>30</v>
      </c>
      <c r="R367" s="1">
        <v>30</v>
      </c>
      <c r="S367" s="1">
        <v>37</v>
      </c>
      <c r="T367" s="1">
        <v>46</v>
      </c>
      <c r="U367" s="1">
        <v>16</v>
      </c>
      <c r="V367" s="1">
        <v>14</v>
      </c>
      <c r="W367" s="1">
        <v>23</v>
      </c>
      <c r="X367" s="1">
        <v>14</v>
      </c>
      <c r="Y367" s="1">
        <v>10</v>
      </c>
    </row>
    <row r="368" spans="1:25" x14ac:dyDescent="0.3">
      <c r="A368" s="2">
        <v>43071</v>
      </c>
      <c r="B368" s="1">
        <v>6</v>
      </c>
      <c r="C368" s="1">
        <v>7</v>
      </c>
      <c r="D368" s="1">
        <v>5</v>
      </c>
      <c r="E368" s="1">
        <v>2</v>
      </c>
      <c r="F368" s="1">
        <v>4</v>
      </c>
      <c r="G368" s="1">
        <v>5</v>
      </c>
      <c r="H368" s="1">
        <v>6</v>
      </c>
      <c r="I368" s="1">
        <v>4</v>
      </c>
      <c r="J368" s="1">
        <v>12</v>
      </c>
      <c r="K368" s="1">
        <v>25</v>
      </c>
      <c r="L368" s="1">
        <v>19</v>
      </c>
      <c r="M368" s="1">
        <v>28</v>
      </c>
      <c r="N368" s="1">
        <v>22</v>
      </c>
      <c r="O368" s="1">
        <v>27</v>
      </c>
      <c r="P368" s="1">
        <v>19</v>
      </c>
      <c r="Q368" s="1">
        <v>30</v>
      </c>
      <c r="R368" s="1">
        <v>28</v>
      </c>
      <c r="S368" s="1">
        <v>25</v>
      </c>
      <c r="T368" s="1">
        <v>23</v>
      </c>
      <c r="U368" s="1">
        <v>16</v>
      </c>
      <c r="V368" s="1">
        <v>19</v>
      </c>
      <c r="W368" s="1">
        <v>17</v>
      </c>
      <c r="X368" s="1">
        <v>13</v>
      </c>
      <c r="Y368" s="1">
        <v>16</v>
      </c>
    </row>
    <row r="369" spans="1:25" x14ac:dyDescent="0.3">
      <c r="A369" s="2">
        <v>43072</v>
      </c>
      <c r="B369" s="1">
        <v>11</v>
      </c>
      <c r="C369" s="1">
        <v>8</v>
      </c>
      <c r="D369" s="1">
        <v>5</v>
      </c>
      <c r="E369" s="1">
        <v>5</v>
      </c>
      <c r="F369" s="1">
        <v>5</v>
      </c>
      <c r="G369" s="1">
        <v>4</v>
      </c>
      <c r="H369" s="1">
        <v>2</v>
      </c>
      <c r="I369" s="1">
        <v>8</v>
      </c>
      <c r="J369" s="1">
        <v>9</v>
      </c>
      <c r="K369" s="1">
        <v>15</v>
      </c>
      <c r="L369" s="1">
        <v>18</v>
      </c>
      <c r="M369" s="1">
        <v>19</v>
      </c>
      <c r="N369" s="1">
        <v>17</v>
      </c>
      <c r="O369" s="1">
        <v>23</v>
      </c>
      <c r="P369" s="1">
        <v>18</v>
      </c>
      <c r="Q369" s="1">
        <v>24</v>
      </c>
      <c r="R369" s="1">
        <v>28</v>
      </c>
      <c r="S369" s="1">
        <v>17</v>
      </c>
      <c r="T369" s="1">
        <v>11</v>
      </c>
      <c r="U369" s="1">
        <v>20</v>
      </c>
      <c r="V369" s="1">
        <v>20</v>
      </c>
      <c r="W369" s="1">
        <v>11</v>
      </c>
      <c r="X369" s="1">
        <v>5</v>
      </c>
      <c r="Y369" s="1">
        <v>9</v>
      </c>
    </row>
    <row r="370" spans="1:25" x14ac:dyDescent="0.3">
      <c r="A370" s="2">
        <v>43073</v>
      </c>
      <c r="B370" s="1">
        <v>8</v>
      </c>
      <c r="C370" s="1">
        <v>12</v>
      </c>
      <c r="D370" s="1">
        <v>4</v>
      </c>
      <c r="E370" s="1">
        <v>1</v>
      </c>
      <c r="F370" s="1">
        <v>2</v>
      </c>
      <c r="G370" s="1">
        <v>4</v>
      </c>
      <c r="H370" s="1">
        <v>17</v>
      </c>
      <c r="I370" s="1">
        <v>15</v>
      </c>
      <c r="J370" s="1">
        <v>24</v>
      </c>
      <c r="K370" s="1">
        <v>18</v>
      </c>
      <c r="L370" s="1">
        <v>16</v>
      </c>
      <c r="M370" s="1">
        <v>36</v>
      </c>
      <c r="N370" s="1">
        <v>25</v>
      </c>
      <c r="O370" s="1">
        <v>12</v>
      </c>
      <c r="P370" s="1">
        <v>19</v>
      </c>
      <c r="Q370" s="1">
        <v>25</v>
      </c>
      <c r="R370" s="1">
        <v>17</v>
      </c>
      <c r="S370" s="1">
        <v>17</v>
      </c>
      <c r="T370" s="1">
        <v>19</v>
      </c>
      <c r="U370" s="1">
        <v>19</v>
      </c>
      <c r="V370" s="1">
        <v>11</v>
      </c>
      <c r="W370" s="1">
        <v>11</v>
      </c>
      <c r="X370" s="1">
        <v>18</v>
      </c>
      <c r="Y370" s="1">
        <v>10</v>
      </c>
    </row>
    <row r="371" spans="1:25" x14ac:dyDescent="0.3">
      <c r="A371" s="2">
        <v>43074</v>
      </c>
      <c r="B371" s="1">
        <v>7</v>
      </c>
      <c r="C371" s="1">
        <v>4</v>
      </c>
      <c r="D371" s="1">
        <v>6</v>
      </c>
      <c r="E371" s="1">
        <v>4</v>
      </c>
      <c r="F371" s="1">
        <v>5</v>
      </c>
      <c r="G371" s="1">
        <v>8</v>
      </c>
      <c r="H371" s="1">
        <v>19</v>
      </c>
      <c r="I371" s="1">
        <v>16</v>
      </c>
      <c r="J371" s="1">
        <v>27</v>
      </c>
      <c r="K371" s="1">
        <v>20</v>
      </c>
      <c r="L371" s="1">
        <v>27</v>
      </c>
      <c r="M371" s="1">
        <v>20</v>
      </c>
      <c r="N371" s="1">
        <v>20</v>
      </c>
      <c r="O371" s="1">
        <v>24</v>
      </c>
      <c r="P371" s="1">
        <v>27</v>
      </c>
      <c r="Q371" s="1">
        <v>23</v>
      </c>
      <c r="R371" s="1">
        <v>33</v>
      </c>
      <c r="S371" s="1">
        <v>69</v>
      </c>
      <c r="T371" s="1">
        <v>36</v>
      </c>
      <c r="U371" s="1">
        <v>23</v>
      </c>
      <c r="V371" s="1">
        <v>16</v>
      </c>
      <c r="W371" s="1">
        <v>13</v>
      </c>
      <c r="X371" s="1">
        <v>12</v>
      </c>
      <c r="Y371" s="1">
        <v>7</v>
      </c>
    </row>
    <row r="372" spans="1:25" x14ac:dyDescent="0.3">
      <c r="A372" s="2">
        <v>43075</v>
      </c>
      <c r="B372" s="1">
        <v>3</v>
      </c>
      <c r="C372" s="1">
        <v>5</v>
      </c>
      <c r="D372" s="1">
        <v>8</v>
      </c>
      <c r="E372" s="1">
        <v>5</v>
      </c>
      <c r="F372" s="1">
        <v>10</v>
      </c>
      <c r="G372" s="1">
        <v>9</v>
      </c>
      <c r="H372" s="1">
        <v>17</v>
      </c>
      <c r="I372" s="1">
        <v>24</v>
      </c>
      <c r="J372" s="1">
        <v>24</v>
      </c>
      <c r="K372" s="1">
        <v>16</v>
      </c>
      <c r="L372" s="1">
        <v>18</v>
      </c>
      <c r="M372" s="1">
        <v>21</v>
      </c>
      <c r="N372" s="1">
        <v>10</v>
      </c>
      <c r="O372" s="1">
        <v>14</v>
      </c>
      <c r="P372" s="1">
        <v>25</v>
      </c>
      <c r="Q372" s="1">
        <v>30</v>
      </c>
      <c r="R372" s="1">
        <v>16</v>
      </c>
      <c r="S372" s="1">
        <v>32</v>
      </c>
      <c r="T372" s="1">
        <v>21</v>
      </c>
      <c r="U372" s="1">
        <v>11</v>
      </c>
      <c r="V372" s="1">
        <v>19</v>
      </c>
      <c r="W372" s="1">
        <v>9</v>
      </c>
      <c r="X372" s="1">
        <v>12</v>
      </c>
      <c r="Y372" s="1">
        <v>4</v>
      </c>
    </row>
    <row r="373" spans="1:25" x14ac:dyDescent="0.3">
      <c r="A373" s="2">
        <v>43076</v>
      </c>
      <c r="B373" s="1">
        <v>5</v>
      </c>
      <c r="C373" s="1">
        <v>5</v>
      </c>
      <c r="D373" s="1">
        <v>6</v>
      </c>
      <c r="E373" s="1">
        <v>9</v>
      </c>
      <c r="F373" s="1">
        <v>3</v>
      </c>
      <c r="G373" s="1">
        <v>10</v>
      </c>
      <c r="H373" s="1">
        <v>10</v>
      </c>
      <c r="I373" s="1">
        <v>17</v>
      </c>
      <c r="J373" s="1">
        <v>21</v>
      </c>
      <c r="K373" s="1">
        <v>20</v>
      </c>
      <c r="L373" s="1">
        <v>30</v>
      </c>
      <c r="M373" s="1">
        <v>16</v>
      </c>
      <c r="N373" s="1">
        <v>34</v>
      </c>
      <c r="O373" s="1">
        <v>24</v>
      </c>
      <c r="P373" s="1">
        <v>20</v>
      </c>
      <c r="Q373" s="1">
        <v>22</v>
      </c>
      <c r="R373" s="1">
        <v>16</v>
      </c>
      <c r="S373" s="1">
        <v>31</v>
      </c>
      <c r="T373" s="1">
        <v>26</v>
      </c>
      <c r="U373" s="1">
        <v>13</v>
      </c>
      <c r="V373" s="1">
        <v>17</v>
      </c>
      <c r="W373" s="1">
        <v>10</v>
      </c>
      <c r="X373" s="1">
        <v>12</v>
      </c>
      <c r="Y373" s="1">
        <v>12</v>
      </c>
    </row>
    <row r="374" spans="1:25" x14ac:dyDescent="0.3">
      <c r="A374" s="2">
        <v>43077</v>
      </c>
      <c r="B374" s="1">
        <v>8</v>
      </c>
      <c r="C374" s="1">
        <v>1</v>
      </c>
      <c r="D374" s="1">
        <v>8</v>
      </c>
      <c r="E374" s="1">
        <v>10</v>
      </c>
      <c r="F374" s="1">
        <v>7</v>
      </c>
      <c r="G374" s="1">
        <v>9</v>
      </c>
      <c r="H374" s="1">
        <v>9</v>
      </c>
      <c r="I374" s="1">
        <v>10</v>
      </c>
      <c r="J374" s="1">
        <v>19</v>
      </c>
      <c r="K374" s="1">
        <v>24</v>
      </c>
      <c r="L374" s="1">
        <v>22</v>
      </c>
      <c r="M374" s="1">
        <v>14</v>
      </c>
      <c r="N374" s="1">
        <v>31</v>
      </c>
      <c r="O374" s="1">
        <v>26</v>
      </c>
      <c r="P374" s="1">
        <v>27</v>
      </c>
      <c r="Q374" s="1">
        <v>28</v>
      </c>
      <c r="R374" s="1">
        <v>32</v>
      </c>
      <c r="S374" s="1">
        <v>36</v>
      </c>
      <c r="T374" s="1">
        <v>33</v>
      </c>
      <c r="U374" s="1">
        <v>18</v>
      </c>
      <c r="V374" s="1">
        <v>12</v>
      </c>
      <c r="W374" s="1">
        <v>20</v>
      </c>
      <c r="X374" s="1">
        <v>14</v>
      </c>
      <c r="Y374" s="1">
        <v>22</v>
      </c>
    </row>
    <row r="375" spans="1:25" x14ac:dyDescent="0.3">
      <c r="A375" s="2">
        <v>43078</v>
      </c>
      <c r="B375" s="1">
        <v>11</v>
      </c>
      <c r="C375" s="1">
        <v>5</v>
      </c>
      <c r="D375" s="1">
        <v>12</v>
      </c>
      <c r="E375" s="1">
        <v>7</v>
      </c>
      <c r="F375" s="1">
        <v>6</v>
      </c>
      <c r="G375" s="1">
        <v>7</v>
      </c>
      <c r="H375" s="1">
        <v>12</v>
      </c>
      <c r="I375" s="1">
        <v>6</v>
      </c>
      <c r="J375" s="1">
        <v>14</v>
      </c>
      <c r="K375" s="1">
        <v>16</v>
      </c>
      <c r="L375" s="1">
        <v>18</v>
      </c>
      <c r="M375" s="1">
        <v>33</v>
      </c>
      <c r="N375" s="1">
        <v>40</v>
      </c>
      <c r="O375" s="1">
        <v>54</v>
      </c>
      <c r="P375" s="1">
        <v>63</v>
      </c>
      <c r="Q375" s="1">
        <v>72</v>
      </c>
      <c r="R375" s="1">
        <v>43</v>
      </c>
      <c r="S375" s="1">
        <v>23</v>
      </c>
      <c r="T375" s="1">
        <v>29</v>
      </c>
      <c r="U375" s="1">
        <v>20</v>
      </c>
      <c r="V375" s="1">
        <v>20</v>
      </c>
      <c r="W375" s="1">
        <v>7</v>
      </c>
      <c r="X375" s="1">
        <v>13</v>
      </c>
      <c r="Y375" s="1">
        <v>11</v>
      </c>
    </row>
    <row r="376" spans="1:25" x14ac:dyDescent="0.3">
      <c r="A376" s="2">
        <v>43079</v>
      </c>
      <c r="B376" s="1">
        <v>10</v>
      </c>
      <c r="C376" s="1">
        <v>5</v>
      </c>
      <c r="D376" s="1">
        <v>8</v>
      </c>
      <c r="E376" s="1">
        <v>5</v>
      </c>
      <c r="F376" s="1">
        <v>4</v>
      </c>
      <c r="G376" s="1">
        <v>8</v>
      </c>
      <c r="H376" s="1">
        <v>7</v>
      </c>
      <c r="I376" s="1">
        <v>14</v>
      </c>
      <c r="J376" s="1">
        <v>19</v>
      </c>
      <c r="K376" s="1">
        <v>20</v>
      </c>
      <c r="L376" s="1">
        <v>34</v>
      </c>
      <c r="M376" s="1">
        <v>25</v>
      </c>
      <c r="N376" s="1">
        <v>15</v>
      </c>
      <c r="O376" s="1">
        <v>11</v>
      </c>
      <c r="P376" s="1">
        <v>11</v>
      </c>
      <c r="Q376" s="1">
        <v>23</v>
      </c>
      <c r="R376" s="1">
        <v>15</v>
      </c>
      <c r="S376" s="1">
        <v>9</v>
      </c>
      <c r="T376" s="1">
        <v>22</v>
      </c>
      <c r="U376" s="1">
        <v>12</v>
      </c>
      <c r="V376" s="1">
        <v>11</v>
      </c>
      <c r="W376" s="1">
        <v>16</v>
      </c>
      <c r="X376" s="1">
        <v>15</v>
      </c>
      <c r="Y376" s="1">
        <v>9</v>
      </c>
    </row>
    <row r="377" spans="1:25" x14ac:dyDescent="0.3">
      <c r="A377" s="2">
        <v>43080</v>
      </c>
      <c r="B377" s="1">
        <v>3</v>
      </c>
      <c r="C377" s="1">
        <v>9</v>
      </c>
      <c r="D377" s="1">
        <v>3</v>
      </c>
      <c r="E377" s="1">
        <v>10</v>
      </c>
      <c r="F377" s="1">
        <v>12</v>
      </c>
      <c r="G377" s="1">
        <v>8</v>
      </c>
      <c r="H377" s="1">
        <v>14</v>
      </c>
      <c r="I377" s="1">
        <v>21</v>
      </c>
      <c r="J377" s="1">
        <v>24</v>
      </c>
      <c r="K377" s="1">
        <v>17</v>
      </c>
      <c r="L377" s="1">
        <v>17</v>
      </c>
      <c r="M377" s="1">
        <v>21</v>
      </c>
      <c r="N377" s="1">
        <v>24</v>
      </c>
      <c r="O377" s="1">
        <v>20</v>
      </c>
      <c r="P377" s="1">
        <v>19</v>
      </c>
      <c r="Q377" s="1">
        <v>27</v>
      </c>
      <c r="R377" s="1">
        <v>22</v>
      </c>
      <c r="S377" s="1">
        <v>32</v>
      </c>
      <c r="T377" s="1">
        <v>22</v>
      </c>
      <c r="U377" s="1">
        <v>21</v>
      </c>
      <c r="V377" s="1">
        <v>20</v>
      </c>
      <c r="W377" s="1">
        <v>9</v>
      </c>
      <c r="X377" s="1">
        <v>7</v>
      </c>
      <c r="Y377" s="1">
        <v>8</v>
      </c>
    </row>
    <row r="378" spans="1:25" x14ac:dyDescent="0.3">
      <c r="A378" s="2">
        <v>43081</v>
      </c>
      <c r="B378" s="1">
        <v>7</v>
      </c>
      <c r="C378" s="1">
        <v>7</v>
      </c>
      <c r="D378" s="1">
        <v>5</v>
      </c>
      <c r="E378" s="1">
        <v>6</v>
      </c>
      <c r="F378" s="1">
        <v>8</v>
      </c>
      <c r="G378" s="1">
        <v>10</v>
      </c>
      <c r="H378" s="1">
        <v>22</v>
      </c>
      <c r="I378" s="1">
        <v>27</v>
      </c>
      <c r="J378" s="1">
        <v>31</v>
      </c>
      <c r="K378" s="1">
        <v>21</v>
      </c>
      <c r="L378" s="1">
        <v>23</v>
      </c>
      <c r="M378" s="1">
        <v>22</v>
      </c>
      <c r="N378" s="1">
        <v>21</v>
      </c>
      <c r="O378" s="1">
        <v>25</v>
      </c>
      <c r="P378" s="1">
        <v>28</v>
      </c>
      <c r="Q378" s="1">
        <v>28</v>
      </c>
      <c r="R378" s="1">
        <v>20</v>
      </c>
      <c r="S378" s="1">
        <v>38</v>
      </c>
      <c r="T378" s="1">
        <v>19</v>
      </c>
      <c r="U378" s="1">
        <v>12</v>
      </c>
      <c r="V378" s="1">
        <v>12</v>
      </c>
      <c r="W378" s="1">
        <v>12</v>
      </c>
      <c r="X378" s="1">
        <v>14</v>
      </c>
      <c r="Y378" s="1">
        <v>11</v>
      </c>
    </row>
    <row r="379" spans="1:25" x14ac:dyDescent="0.3">
      <c r="A379" s="2">
        <v>43082</v>
      </c>
      <c r="B379" s="1">
        <v>6</v>
      </c>
      <c r="C379" s="1">
        <v>5</v>
      </c>
      <c r="D379" s="1">
        <v>8</v>
      </c>
      <c r="E379" s="1">
        <v>10</v>
      </c>
      <c r="F379" s="1">
        <v>9</v>
      </c>
      <c r="G379" s="1">
        <v>8</v>
      </c>
      <c r="H379" s="1">
        <v>16</v>
      </c>
      <c r="I379" s="1">
        <v>24</v>
      </c>
      <c r="J379" s="1">
        <v>25</v>
      </c>
      <c r="K379" s="1">
        <v>32</v>
      </c>
      <c r="L379" s="1">
        <v>33</v>
      </c>
      <c r="M379" s="1">
        <v>26</v>
      </c>
      <c r="N379" s="1">
        <v>20</v>
      </c>
      <c r="O379" s="1">
        <v>25</v>
      </c>
      <c r="P379" s="1">
        <v>20</v>
      </c>
      <c r="Q379" s="1">
        <v>33</v>
      </c>
      <c r="R379" s="1">
        <v>25</v>
      </c>
      <c r="S379" s="1">
        <v>30</v>
      </c>
      <c r="T379" s="1">
        <v>19</v>
      </c>
      <c r="U379" s="1">
        <v>27</v>
      </c>
      <c r="V379" s="1">
        <v>17</v>
      </c>
      <c r="W379" s="1">
        <v>14</v>
      </c>
      <c r="X379" s="1">
        <v>35</v>
      </c>
      <c r="Y379" s="1">
        <v>45</v>
      </c>
    </row>
    <row r="380" spans="1:25" x14ac:dyDescent="0.3">
      <c r="A380" s="2">
        <v>43083</v>
      </c>
      <c r="B380" s="1">
        <v>12</v>
      </c>
      <c r="C380" s="1">
        <v>19</v>
      </c>
      <c r="D380" s="1">
        <v>11</v>
      </c>
      <c r="E380" s="1">
        <v>7</v>
      </c>
      <c r="F380" s="1">
        <v>7</v>
      </c>
      <c r="G380" s="1">
        <v>6</v>
      </c>
      <c r="H380" s="1">
        <v>14</v>
      </c>
      <c r="I380" s="1">
        <v>32</v>
      </c>
      <c r="J380" s="1">
        <v>29</v>
      </c>
      <c r="K380" s="1">
        <v>20</v>
      </c>
      <c r="L380" s="1">
        <v>33</v>
      </c>
      <c r="M380" s="1">
        <v>16</v>
      </c>
      <c r="N380" s="1">
        <v>23</v>
      </c>
      <c r="O380" s="1">
        <v>26</v>
      </c>
      <c r="P380" s="1">
        <v>22</v>
      </c>
      <c r="Q380" s="1">
        <v>25</v>
      </c>
      <c r="R380" s="1">
        <v>29</v>
      </c>
      <c r="S380" s="1">
        <v>47</v>
      </c>
      <c r="T380" s="1">
        <v>30</v>
      </c>
      <c r="U380" s="1">
        <v>10</v>
      </c>
      <c r="V380" s="1">
        <v>17</v>
      </c>
      <c r="W380" s="1">
        <v>16</v>
      </c>
      <c r="X380" s="1">
        <v>10</v>
      </c>
      <c r="Y380" s="1">
        <v>14</v>
      </c>
    </row>
    <row r="381" spans="1:25" x14ac:dyDescent="0.3">
      <c r="A381" s="2">
        <v>43084</v>
      </c>
      <c r="B381" s="1">
        <v>5</v>
      </c>
      <c r="C381" s="1">
        <v>5</v>
      </c>
      <c r="D381" s="1">
        <v>5</v>
      </c>
      <c r="E381" s="1">
        <v>12</v>
      </c>
      <c r="F381" s="1">
        <v>7</v>
      </c>
      <c r="G381" s="1">
        <v>2</v>
      </c>
      <c r="H381" s="1">
        <v>9</v>
      </c>
      <c r="I381" s="1">
        <v>20</v>
      </c>
      <c r="J381" s="1">
        <v>19</v>
      </c>
      <c r="K381" s="1">
        <v>7</v>
      </c>
      <c r="L381" s="1">
        <v>25</v>
      </c>
      <c r="M381" s="1">
        <v>27</v>
      </c>
      <c r="N381" s="1">
        <v>31</v>
      </c>
      <c r="O381" s="1">
        <v>34</v>
      </c>
      <c r="P381" s="1">
        <v>45</v>
      </c>
      <c r="Q381" s="1">
        <v>93</v>
      </c>
      <c r="R381" s="1">
        <v>118</v>
      </c>
      <c r="S381" s="1">
        <v>71</v>
      </c>
      <c r="T381" s="1">
        <v>44</v>
      </c>
      <c r="U381" s="1">
        <v>23</v>
      </c>
      <c r="V381" s="1">
        <v>26</v>
      </c>
      <c r="W381" s="1">
        <v>7</v>
      </c>
      <c r="X381" s="1">
        <v>16</v>
      </c>
      <c r="Y381" s="1">
        <v>16</v>
      </c>
    </row>
    <row r="382" spans="1:25" x14ac:dyDescent="0.3">
      <c r="A382" s="2">
        <v>43085</v>
      </c>
      <c r="B382" s="1">
        <v>9</v>
      </c>
      <c r="C382" s="1">
        <v>2</v>
      </c>
      <c r="D382" s="1">
        <v>13</v>
      </c>
      <c r="E382" s="1">
        <v>10</v>
      </c>
      <c r="F382" s="1">
        <v>14</v>
      </c>
      <c r="G382" s="1">
        <v>9</v>
      </c>
      <c r="H382" s="1">
        <v>4</v>
      </c>
      <c r="I382" s="1">
        <v>16</v>
      </c>
      <c r="J382" s="1">
        <v>8</v>
      </c>
      <c r="K382" s="1">
        <v>19</v>
      </c>
      <c r="L382" s="1">
        <v>21</v>
      </c>
      <c r="M382" s="1">
        <v>22</v>
      </c>
      <c r="N382" s="1">
        <v>44</v>
      </c>
      <c r="O382" s="1">
        <v>28</v>
      </c>
      <c r="P382" s="1">
        <v>27</v>
      </c>
      <c r="Q382" s="1">
        <v>27</v>
      </c>
      <c r="R382" s="1">
        <v>21</v>
      </c>
      <c r="S382" s="1">
        <v>19</v>
      </c>
      <c r="T382" s="1">
        <v>20</v>
      </c>
      <c r="U382" s="1">
        <v>21</v>
      </c>
      <c r="V382" s="1">
        <v>25</v>
      </c>
      <c r="W382" s="1">
        <v>13</v>
      </c>
      <c r="X382" s="1">
        <v>19</v>
      </c>
      <c r="Y382" s="1">
        <v>13</v>
      </c>
    </row>
    <row r="383" spans="1:25" x14ac:dyDescent="0.3">
      <c r="A383" s="2">
        <v>43086</v>
      </c>
      <c r="B383" s="1">
        <v>7</v>
      </c>
      <c r="C383" s="1">
        <v>9</v>
      </c>
      <c r="D383" s="1">
        <v>7</v>
      </c>
      <c r="E383" s="1">
        <v>8</v>
      </c>
      <c r="F383" s="1">
        <v>12</v>
      </c>
      <c r="G383" s="1">
        <v>0</v>
      </c>
      <c r="H383" s="1">
        <v>14</v>
      </c>
      <c r="I383" s="1">
        <v>7</v>
      </c>
      <c r="J383" s="1">
        <v>11</v>
      </c>
      <c r="K383" s="1">
        <v>15</v>
      </c>
      <c r="L383" s="1">
        <v>17</v>
      </c>
      <c r="M383" s="1">
        <v>13</v>
      </c>
      <c r="N383" s="1">
        <v>18</v>
      </c>
      <c r="O383" s="1">
        <v>13</v>
      </c>
      <c r="P383" s="1">
        <v>17</v>
      </c>
      <c r="Q383" s="1">
        <v>11</v>
      </c>
      <c r="R383" s="1">
        <v>18</v>
      </c>
      <c r="S383" s="1">
        <v>15</v>
      </c>
      <c r="T383" s="1">
        <v>14</v>
      </c>
      <c r="U383" s="1">
        <v>19</v>
      </c>
      <c r="V383" s="1">
        <v>10</v>
      </c>
      <c r="W383" s="1">
        <v>12</v>
      </c>
      <c r="X383" s="1">
        <v>16</v>
      </c>
      <c r="Y383" s="1">
        <v>15</v>
      </c>
    </row>
    <row r="384" spans="1:25" x14ac:dyDescent="0.3">
      <c r="A384" s="2">
        <v>43087</v>
      </c>
      <c r="B384" s="1">
        <v>11</v>
      </c>
      <c r="C384" s="1">
        <v>10</v>
      </c>
      <c r="D384" s="1">
        <v>5</v>
      </c>
      <c r="E384" s="1">
        <v>5</v>
      </c>
      <c r="F384" s="1">
        <v>6</v>
      </c>
      <c r="G384" s="1">
        <v>7</v>
      </c>
      <c r="H384" s="1">
        <v>9</v>
      </c>
      <c r="I384" s="1">
        <v>14</v>
      </c>
      <c r="J384" s="1">
        <v>29</v>
      </c>
      <c r="K384" s="1">
        <v>32</v>
      </c>
      <c r="L384" s="1">
        <v>26</v>
      </c>
      <c r="M384" s="1">
        <v>20</v>
      </c>
      <c r="N384" s="1">
        <v>18</v>
      </c>
      <c r="O384" s="1">
        <v>27</v>
      </c>
      <c r="P384" s="1">
        <v>19</v>
      </c>
      <c r="Q384" s="1">
        <v>33</v>
      </c>
      <c r="R384" s="1">
        <v>23</v>
      </c>
      <c r="S384" s="1">
        <v>32</v>
      </c>
      <c r="T384" s="1">
        <v>20</v>
      </c>
      <c r="U384" s="1">
        <v>14</v>
      </c>
      <c r="V384" s="1">
        <v>14</v>
      </c>
      <c r="W384" s="1">
        <v>22</v>
      </c>
      <c r="X384" s="1">
        <v>15</v>
      </c>
      <c r="Y384" s="1">
        <v>17</v>
      </c>
    </row>
    <row r="385" spans="1:25" x14ac:dyDescent="0.3">
      <c r="A385" s="2">
        <v>43088</v>
      </c>
      <c r="B385" s="1">
        <v>4</v>
      </c>
      <c r="C385" s="1">
        <v>5</v>
      </c>
      <c r="D385" s="1">
        <v>7</v>
      </c>
      <c r="E385" s="1">
        <v>2</v>
      </c>
      <c r="F385" s="1">
        <v>9</v>
      </c>
      <c r="G385" s="1">
        <v>10</v>
      </c>
      <c r="H385" s="1">
        <v>10</v>
      </c>
      <c r="I385" s="1">
        <v>22</v>
      </c>
      <c r="J385" s="1">
        <v>39</v>
      </c>
      <c r="K385" s="1">
        <v>20</v>
      </c>
      <c r="L385" s="1">
        <v>34</v>
      </c>
      <c r="M385" s="1">
        <v>27</v>
      </c>
      <c r="N385" s="1">
        <v>16</v>
      </c>
      <c r="O385" s="1">
        <v>36</v>
      </c>
      <c r="P385" s="1">
        <v>36</v>
      </c>
      <c r="Q385" s="1">
        <v>37</v>
      </c>
      <c r="R385" s="1">
        <v>40</v>
      </c>
      <c r="S385" s="1">
        <v>34</v>
      </c>
      <c r="T385" s="1">
        <v>32</v>
      </c>
      <c r="U385" s="1">
        <v>20</v>
      </c>
      <c r="V385" s="1">
        <v>12</v>
      </c>
      <c r="W385" s="1">
        <v>15</v>
      </c>
      <c r="X385" s="1">
        <v>13</v>
      </c>
      <c r="Y385" s="1">
        <v>10</v>
      </c>
    </row>
    <row r="386" spans="1:25" x14ac:dyDescent="0.3">
      <c r="A386" s="2">
        <v>43089</v>
      </c>
      <c r="B386" s="1">
        <v>7</v>
      </c>
      <c r="C386" s="1">
        <v>10</v>
      </c>
      <c r="D386" s="1">
        <v>8</v>
      </c>
      <c r="E386" s="1">
        <v>3</v>
      </c>
      <c r="F386" s="1">
        <v>5</v>
      </c>
      <c r="G386" s="1">
        <v>2</v>
      </c>
      <c r="H386" s="1">
        <v>12</v>
      </c>
      <c r="I386" s="1">
        <v>16</v>
      </c>
      <c r="J386" s="1">
        <v>13</v>
      </c>
      <c r="K386" s="1">
        <v>19</v>
      </c>
      <c r="L386" s="1">
        <v>19</v>
      </c>
      <c r="M386" s="1">
        <v>18</v>
      </c>
      <c r="N386" s="1">
        <v>22</v>
      </c>
      <c r="O386" s="1">
        <v>16</v>
      </c>
      <c r="P386" s="1">
        <v>21</v>
      </c>
      <c r="Q386" s="1">
        <v>37</v>
      </c>
      <c r="R386" s="1">
        <v>22</v>
      </c>
      <c r="S386" s="1">
        <v>30</v>
      </c>
      <c r="T386" s="1">
        <v>23</v>
      </c>
      <c r="U386" s="1">
        <v>22</v>
      </c>
      <c r="V386" s="1">
        <v>9</v>
      </c>
      <c r="W386" s="1">
        <v>22</v>
      </c>
      <c r="X386" s="1">
        <v>11</v>
      </c>
      <c r="Y386" s="1">
        <v>12</v>
      </c>
    </row>
    <row r="387" spans="1:25" x14ac:dyDescent="0.3">
      <c r="A387" s="2">
        <v>43090</v>
      </c>
      <c r="B387" s="1">
        <v>6</v>
      </c>
      <c r="C387" s="1">
        <v>9</v>
      </c>
      <c r="D387" s="1">
        <v>8</v>
      </c>
      <c r="E387" s="1">
        <v>2</v>
      </c>
      <c r="F387" s="1">
        <v>3</v>
      </c>
      <c r="G387" s="1">
        <v>4</v>
      </c>
      <c r="H387" s="1">
        <v>8</v>
      </c>
      <c r="I387" s="1">
        <v>18</v>
      </c>
      <c r="J387" s="1">
        <v>20</v>
      </c>
      <c r="K387" s="1">
        <v>23</v>
      </c>
      <c r="L387" s="1">
        <v>24</v>
      </c>
      <c r="M387" s="1">
        <v>28</v>
      </c>
      <c r="N387" s="1">
        <v>26</v>
      </c>
      <c r="O387" s="1">
        <v>16</v>
      </c>
      <c r="P387" s="1">
        <v>26</v>
      </c>
      <c r="Q387" s="1">
        <v>23</v>
      </c>
      <c r="R387" s="1">
        <v>18</v>
      </c>
      <c r="S387" s="1">
        <v>43</v>
      </c>
      <c r="T387" s="1">
        <v>28</v>
      </c>
      <c r="U387" s="1">
        <v>27</v>
      </c>
      <c r="V387" s="1">
        <v>14</v>
      </c>
      <c r="W387" s="1">
        <v>17</v>
      </c>
      <c r="X387" s="1">
        <v>19</v>
      </c>
      <c r="Y387" s="1">
        <v>9</v>
      </c>
    </row>
    <row r="388" spans="1:25" x14ac:dyDescent="0.3">
      <c r="A388" s="2">
        <v>43091</v>
      </c>
      <c r="B388" s="1">
        <v>5</v>
      </c>
      <c r="C388" s="1">
        <v>6</v>
      </c>
      <c r="D388" s="1">
        <v>7</v>
      </c>
      <c r="E388" s="1">
        <v>8</v>
      </c>
      <c r="F388" s="1">
        <v>3</v>
      </c>
      <c r="G388" s="1">
        <v>6</v>
      </c>
      <c r="H388" s="1">
        <v>4</v>
      </c>
      <c r="I388" s="1">
        <v>23</v>
      </c>
      <c r="J388" s="1">
        <v>16</v>
      </c>
      <c r="K388" s="1">
        <v>19</v>
      </c>
      <c r="L388" s="1">
        <v>23</v>
      </c>
      <c r="M388" s="1">
        <v>18</v>
      </c>
      <c r="N388" s="1">
        <v>23</v>
      </c>
      <c r="O388" s="1">
        <v>26</v>
      </c>
      <c r="P388" s="1">
        <v>26</v>
      </c>
      <c r="Q388" s="1">
        <v>34</v>
      </c>
      <c r="R388" s="1">
        <v>29</v>
      </c>
      <c r="S388" s="1">
        <v>40</v>
      </c>
      <c r="T388" s="1">
        <v>30</v>
      </c>
      <c r="U388" s="1">
        <v>22</v>
      </c>
      <c r="V388" s="1">
        <v>14</v>
      </c>
      <c r="W388" s="1">
        <v>10</v>
      </c>
      <c r="X388" s="1">
        <v>16</v>
      </c>
      <c r="Y388" s="1">
        <v>11</v>
      </c>
    </row>
    <row r="389" spans="1:25" x14ac:dyDescent="0.3">
      <c r="A389" s="2">
        <v>43092</v>
      </c>
      <c r="B389" s="1">
        <v>8</v>
      </c>
      <c r="C389" s="1">
        <v>9</v>
      </c>
      <c r="D389" s="1">
        <v>1</v>
      </c>
      <c r="E389" s="1">
        <v>10</v>
      </c>
      <c r="F389" s="1">
        <v>7</v>
      </c>
      <c r="G389" s="1">
        <v>11</v>
      </c>
      <c r="H389" s="1">
        <v>10</v>
      </c>
      <c r="I389" s="1">
        <v>12</v>
      </c>
      <c r="J389" s="1">
        <v>8</v>
      </c>
      <c r="K389" s="1">
        <v>20</v>
      </c>
      <c r="L389" s="1">
        <v>19</v>
      </c>
      <c r="M389" s="1">
        <v>24</v>
      </c>
      <c r="N389" s="1">
        <v>20</v>
      </c>
      <c r="O389" s="1">
        <v>20</v>
      </c>
      <c r="P389" s="1">
        <v>12</v>
      </c>
      <c r="Q389" s="1">
        <v>19</v>
      </c>
      <c r="R389" s="1">
        <v>27</v>
      </c>
      <c r="S389" s="1">
        <v>33</v>
      </c>
      <c r="T389" s="1">
        <v>27</v>
      </c>
      <c r="U389" s="1">
        <v>21</v>
      </c>
      <c r="V389" s="1">
        <v>10</v>
      </c>
      <c r="W389" s="1">
        <v>25</v>
      </c>
      <c r="X389" s="1">
        <v>9</v>
      </c>
      <c r="Y389" s="1">
        <v>13</v>
      </c>
    </row>
    <row r="390" spans="1:25" x14ac:dyDescent="0.3">
      <c r="A390" s="2">
        <v>43093</v>
      </c>
      <c r="B390" s="1">
        <v>12</v>
      </c>
      <c r="C390" s="1">
        <v>22</v>
      </c>
      <c r="D390" s="1">
        <v>16</v>
      </c>
      <c r="E390" s="1">
        <v>7</v>
      </c>
      <c r="F390" s="1">
        <v>7</v>
      </c>
      <c r="G390" s="1">
        <v>6</v>
      </c>
      <c r="H390" s="1">
        <v>6</v>
      </c>
      <c r="I390" s="1">
        <v>16</v>
      </c>
      <c r="J390" s="1">
        <v>12</v>
      </c>
      <c r="K390" s="1">
        <v>18</v>
      </c>
      <c r="L390" s="1">
        <v>27</v>
      </c>
      <c r="M390" s="1">
        <v>20</v>
      </c>
      <c r="N390" s="1">
        <v>15</v>
      </c>
      <c r="O390" s="1">
        <v>24</v>
      </c>
      <c r="P390" s="1">
        <v>18</v>
      </c>
      <c r="Q390" s="1">
        <v>24</v>
      </c>
      <c r="R390" s="1">
        <v>27</v>
      </c>
      <c r="S390" s="1">
        <v>16</v>
      </c>
      <c r="T390" s="1">
        <v>16</v>
      </c>
      <c r="U390" s="1">
        <v>16</v>
      </c>
      <c r="V390" s="1">
        <v>25</v>
      </c>
      <c r="W390" s="1">
        <v>17</v>
      </c>
      <c r="X390" s="1">
        <v>11</v>
      </c>
      <c r="Y390" s="1">
        <v>11</v>
      </c>
    </row>
    <row r="391" spans="1:25" x14ac:dyDescent="0.3">
      <c r="A391" s="2">
        <v>43094</v>
      </c>
      <c r="B391" s="1">
        <v>10</v>
      </c>
      <c r="C391" s="1">
        <v>9</v>
      </c>
      <c r="D391" s="1">
        <v>4</v>
      </c>
      <c r="E391" s="1">
        <v>6</v>
      </c>
      <c r="F391" s="1">
        <v>9</v>
      </c>
      <c r="G391" s="1">
        <v>10</v>
      </c>
      <c r="H391" s="1">
        <v>8</v>
      </c>
      <c r="I391" s="1">
        <v>11</v>
      </c>
      <c r="J391" s="1">
        <v>13</v>
      </c>
      <c r="K391" s="1">
        <v>20</v>
      </c>
      <c r="L391" s="1">
        <v>26</v>
      </c>
      <c r="M391" s="1">
        <v>22</v>
      </c>
      <c r="N391" s="1">
        <v>14</v>
      </c>
      <c r="O391" s="1">
        <v>14</v>
      </c>
      <c r="P391" s="1">
        <v>24</v>
      </c>
      <c r="Q391" s="1">
        <v>16</v>
      </c>
      <c r="R391" s="1">
        <v>21</v>
      </c>
      <c r="S391" s="1">
        <v>10</v>
      </c>
      <c r="T391" s="1">
        <v>21</v>
      </c>
      <c r="U391" s="1">
        <v>17</v>
      </c>
      <c r="V391" s="1">
        <v>15</v>
      </c>
      <c r="W391" s="1">
        <v>9</v>
      </c>
      <c r="X391" s="1">
        <v>14</v>
      </c>
      <c r="Y391" s="1">
        <v>8</v>
      </c>
    </row>
    <row r="392" spans="1:25" x14ac:dyDescent="0.3">
      <c r="A392" s="2">
        <v>43095</v>
      </c>
      <c r="B392" s="1">
        <v>7</v>
      </c>
      <c r="C392" s="1">
        <v>11</v>
      </c>
      <c r="D392" s="1">
        <v>6</v>
      </c>
      <c r="E392" s="1">
        <v>6</v>
      </c>
      <c r="F392" s="1">
        <v>4</v>
      </c>
      <c r="G392" s="1">
        <v>18</v>
      </c>
      <c r="H392" s="1">
        <v>5</v>
      </c>
      <c r="I392" s="1">
        <v>15</v>
      </c>
      <c r="J392" s="1">
        <v>18</v>
      </c>
      <c r="K392" s="1">
        <v>19</v>
      </c>
      <c r="L392" s="1">
        <v>24</v>
      </c>
      <c r="M392" s="1">
        <v>15</v>
      </c>
      <c r="N392" s="1">
        <v>21</v>
      </c>
      <c r="O392" s="1">
        <v>31</v>
      </c>
      <c r="P392" s="1">
        <v>21</v>
      </c>
      <c r="Q392" s="1">
        <v>28</v>
      </c>
      <c r="R392" s="1">
        <v>24</v>
      </c>
      <c r="S392" s="1">
        <v>20</v>
      </c>
      <c r="T392" s="1">
        <v>24</v>
      </c>
      <c r="U392" s="1">
        <v>15</v>
      </c>
      <c r="V392" s="1">
        <v>10</v>
      </c>
      <c r="W392" s="1">
        <v>10</v>
      </c>
      <c r="X392" s="1">
        <v>12</v>
      </c>
      <c r="Y392" s="1">
        <v>9</v>
      </c>
    </row>
    <row r="393" spans="1:25" x14ac:dyDescent="0.3">
      <c r="A393" s="2">
        <v>43096</v>
      </c>
      <c r="B393" s="1">
        <v>2</v>
      </c>
      <c r="C393" s="1">
        <v>5</v>
      </c>
      <c r="D393" s="1">
        <v>6</v>
      </c>
      <c r="E393" s="1">
        <v>4</v>
      </c>
      <c r="F393" s="1">
        <v>8</v>
      </c>
      <c r="G393" s="1">
        <v>3</v>
      </c>
      <c r="H393" s="1">
        <v>10</v>
      </c>
      <c r="I393" s="1">
        <v>12</v>
      </c>
      <c r="J393" s="1">
        <v>24</v>
      </c>
      <c r="K393" s="1">
        <v>22</v>
      </c>
      <c r="L393" s="1">
        <v>32</v>
      </c>
      <c r="M393" s="1">
        <v>22</v>
      </c>
      <c r="N393" s="1">
        <v>19</v>
      </c>
      <c r="O393" s="1">
        <v>20</v>
      </c>
      <c r="P393" s="1">
        <v>25</v>
      </c>
      <c r="Q393" s="1">
        <v>34</v>
      </c>
      <c r="R393" s="1">
        <v>23</v>
      </c>
      <c r="S393" s="1">
        <v>27</v>
      </c>
      <c r="T393" s="1">
        <v>25</v>
      </c>
      <c r="U393" s="1">
        <v>15</v>
      </c>
      <c r="V393" s="1">
        <v>22</v>
      </c>
      <c r="W393" s="1">
        <v>12</v>
      </c>
      <c r="X393" s="1">
        <v>8</v>
      </c>
      <c r="Y393" s="1">
        <v>7</v>
      </c>
    </row>
    <row r="394" spans="1:25" x14ac:dyDescent="0.3">
      <c r="A394" s="2">
        <v>43097</v>
      </c>
      <c r="B394" s="1">
        <v>6</v>
      </c>
      <c r="C394" s="1">
        <v>8</v>
      </c>
      <c r="D394" s="1">
        <v>7</v>
      </c>
      <c r="E394" s="1">
        <v>3</v>
      </c>
      <c r="F394" s="1">
        <v>1</v>
      </c>
      <c r="G394" s="1">
        <v>13</v>
      </c>
      <c r="H394" s="1">
        <v>3</v>
      </c>
      <c r="I394" s="1">
        <v>10</v>
      </c>
      <c r="J394" s="1">
        <v>20</v>
      </c>
      <c r="K394" s="1">
        <v>13</v>
      </c>
      <c r="L394" s="1">
        <v>17</v>
      </c>
      <c r="M394" s="1">
        <v>30</v>
      </c>
      <c r="N394" s="1">
        <v>27</v>
      </c>
      <c r="O394" s="1">
        <v>34</v>
      </c>
      <c r="P394" s="1">
        <v>20</v>
      </c>
      <c r="Q394" s="1">
        <v>25</v>
      </c>
      <c r="R394" s="1">
        <v>17</v>
      </c>
      <c r="S394" s="1">
        <v>26</v>
      </c>
      <c r="T394" s="1">
        <v>18</v>
      </c>
      <c r="U394" s="1">
        <v>19</v>
      </c>
      <c r="V394" s="1">
        <v>12</v>
      </c>
      <c r="W394" s="1">
        <v>13</v>
      </c>
      <c r="X394" s="1">
        <v>4</v>
      </c>
      <c r="Y394" s="1">
        <v>6</v>
      </c>
    </row>
    <row r="395" spans="1:25" x14ac:dyDescent="0.3">
      <c r="A395" s="2">
        <v>43098</v>
      </c>
      <c r="B395" s="1">
        <v>11</v>
      </c>
      <c r="C395" s="1">
        <v>8</v>
      </c>
      <c r="D395" s="1">
        <v>5</v>
      </c>
      <c r="E395" s="1">
        <v>6</v>
      </c>
      <c r="F395" s="1">
        <v>5</v>
      </c>
      <c r="G395" s="1">
        <v>10</v>
      </c>
      <c r="H395" s="1">
        <v>7</v>
      </c>
      <c r="I395" s="1">
        <v>15</v>
      </c>
      <c r="J395" s="1">
        <v>19</v>
      </c>
      <c r="K395" s="1">
        <v>18</v>
      </c>
      <c r="L395" s="1">
        <v>23</v>
      </c>
      <c r="M395" s="1">
        <v>35</v>
      </c>
      <c r="N395" s="1">
        <v>30</v>
      </c>
      <c r="O395" s="1">
        <v>34</v>
      </c>
      <c r="P395" s="1">
        <v>22</v>
      </c>
      <c r="Q395" s="1">
        <v>37</v>
      </c>
      <c r="R395" s="1">
        <v>36</v>
      </c>
      <c r="S395" s="1">
        <v>22</v>
      </c>
      <c r="T395" s="1">
        <v>23</v>
      </c>
      <c r="U395" s="1">
        <v>16</v>
      </c>
      <c r="V395" s="1">
        <v>17</v>
      </c>
      <c r="W395" s="1">
        <v>16</v>
      </c>
      <c r="X395" s="1">
        <v>22</v>
      </c>
      <c r="Y395" s="1">
        <v>10</v>
      </c>
    </row>
    <row r="396" spans="1:25" x14ac:dyDescent="0.3">
      <c r="A396" s="2">
        <v>43099</v>
      </c>
      <c r="B396" s="1">
        <v>3</v>
      </c>
      <c r="C396" s="1">
        <v>5</v>
      </c>
      <c r="D396" s="1">
        <v>9</v>
      </c>
      <c r="E396" s="1">
        <v>3</v>
      </c>
      <c r="F396" s="1">
        <v>5</v>
      </c>
      <c r="G396" s="1">
        <v>12</v>
      </c>
      <c r="H396" s="1">
        <v>22</v>
      </c>
      <c r="I396" s="1">
        <v>30</v>
      </c>
      <c r="J396" s="1">
        <v>45</v>
      </c>
      <c r="K396" s="1">
        <v>53</v>
      </c>
      <c r="L396" s="1">
        <v>44</v>
      </c>
      <c r="M396" s="1">
        <v>46</v>
      </c>
      <c r="N396" s="1">
        <v>31</v>
      </c>
      <c r="O396" s="1">
        <v>20</v>
      </c>
      <c r="P396" s="1">
        <v>19</v>
      </c>
      <c r="Q396" s="1">
        <v>13</v>
      </c>
      <c r="R396" s="1">
        <v>24</v>
      </c>
      <c r="S396" s="1">
        <v>26</v>
      </c>
      <c r="T396" s="1">
        <v>34</v>
      </c>
      <c r="U396" s="1">
        <v>24</v>
      </c>
      <c r="V396" s="1">
        <v>18</v>
      </c>
      <c r="W396" s="1">
        <v>5</v>
      </c>
      <c r="X396" s="1">
        <v>7</v>
      </c>
      <c r="Y396" s="1">
        <v>8</v>
      </c>
    </row>
    <row r="397" spans="1:25" x14ac:dyDescent="0.3">
      <c r="A397" s="2">
        <v>43100</v>
      </c>
      <c r="B397" s="1">
        <v>7</v>
      </c>
      <c r="C397" s="1">
        <v>7</v>
      </c>
      <c r="D397" s="1">
        <v>7</v>
      </c>
      <c r="E397" s="1">
        <v>8</v>
      </c>
      <c r="F397" s="1">
        <v>5</v>
      </c>
      <c r="G397" s="1">
        <v>8</v>
      </c>
      <c r="H397" s="1">
        <v>6</v>
      </c>
      <c r="I397" s="1">
        <v>12</v>
      </c>
      <c r="J397" s="1">
        <v>20</v>
      </c>
      <c r="K397" s="1">
        <v>19</v>
      </c>
      <c r="L397" s="1">
        <v>22</v>
      </c>
      <c r="M397" s="1">
        <v>16</v>
      </c>
      <c r="N397" s="1">
        <v>26</v>
      </c>
      <c r="O397" s="1">
        <v>36</v>
      </c>
      <c r="P397" s="1">
        <v>18</v>
      </c>
      <c r="Q397" s="1">
        <v>21</v>
      </c>
      <c r="R397" s="1">
        <v>15</v>
      </c>
      <c r="S397" s="1">
        <v>25</v>
      </c>
      <c r="T397" s="1">
        <v>34</v>
      </c>
      <c r="U397" s="1">
        <v>20</v>
      </c>
      <c r="V397" s="1">
        <v>16</v>
      </c>
      <c r="W397" s="1">
        <v>22</v>
      </c>
      <c r="X397" s="1">
        <v>10</v>
      </c>
      <c r="Y397" s="1">
        <v>12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98"/>
  <sheetViews>
    <sheetView topLeftCell="F1" zoomScale="70" zoomScaleNormal="70" workbookViewId="0">
      <selection activeCell="A7" sqref="A1:O30"/>
    </sheetView>
  </sheetViews>
  <sheetFormatPr defaultRowHeight="14" x14ac:dyDescent="0.3"/>
  <cols>
    <col min="1" max="1" width="19" customWidth="1"/>
    <col min="2" max="2" width="12.08203125" customWidth="1"/>
    <col min="3" max="3" width="14.58203125" customWidth="1"/>
    <col min="4" max="4" width="12.08203125" customWidth="1"/>
    <col min="5" max="5" width="14.58203125" customWidth="1"/>
    <col min="6" max="6" width="12.08203125" customWidth="1"/>
    <col min="7" max="7" width="14.58203125" customWidth="1"/>
    <col min="8" max="8" width="12.08203125" customWidth="1"/>
    <col min="9" max="9" width="14.58203125" customWidth="1"/>
    <col min="10" max="10" width="12.08203125" customWidth="1"/>
    <col min="11" max="11" width="14.58203125" customWidth="1"/>
    <col min="12" max="12" width="12.08203125" customWidth="1"/>
    <col min="13" max="13" width="14.58203125" customWidth="1"/>
    <col min="14" max="14" width="12.08203125" customWidth="1"/>
    <col min="15" max="15" width="14.58203125" customWidth="1"/>
    <col min="16" max="25" width="5.58203125" customWidth="1"/>
  </cols>
  <sheetData>
    <row r="1" spans="1:15" x14ac:dyDescent="0.3">
      <c r="A1" s="9"/>
      <c r="B1" s="10" t="s">
        <v>8</v>
      </c>
      <c r="C1" s="10" t="s">
        <v>9</v>
      </c>
      <c r="D1" s="10" t="s">
        <v>10</v>
      </c>
      <c r="E1" s="10" t="s">
        <v>11</v>
      </c>
      <c r="F1" s="10" t="s">
        <v>12</v>
      </c>
      <c r="G1" s="10" t="s">
        <v>13</v>
      </c>
      <c r="H1" s="10" t="s">
        <v>14</v>
      </c>
      <c r="I1" s="10" t="s">
        <v>15</v>
      </c>
      <c r="J1" s="10" t="s">
        <v>16</v>
      </c>
      <c r="K1" s="11" t="s">
        <v>17</v>
      </c>
      <c r="L1" s="1"/>
      <c r="M1" s="1"/>
      <c r="N1" s="1"/>
      <c r="O1" s="1"/>
    </row>
    <row r="2" spans="1:15" x14ac:dyDescent="0.3">
      <c r="A2" s="12" t="s">
        <v>18</v>
      </c>
      <c r="B2" s="1">
        <v>3</v>
      </c>
      <c r="C2" s="1">
        <v>3</v>
      </c>
      <c r="D2" s="1">
        <v>6</v>
      </c>
      <c r="E2" s="1">
        <v>6</v>
      </c>
      <c r="F2" s="1">
        <v>9</v>
      </c>
      <c r="G2" s="1">
        <v>9</v>
      </c>
      <c r="H2" s="1">
        <v>12</v>
      </c>
      <c r="I2" s="1">
        <v>12</v>
      </c>
      <c r="J2" s="1">
        <v>15</v>
      </c>
      <c r="K2" s="13">
        <v>15</v>
      </c>
      <c r="L2" s="1"/>
      <c r="M2" s="1"/>
      <c r="N2" s="1"/>
      <c r="O2" s="1"/>
    </row>
    <row r="3" spans="1:15" x14ac:dyDescent="0.3">
      <c r="A3" s="12">
        <v>0</v>
      </c>
      <c r="B3" s="14">
        <f>1-_xlfn.BETA.DIST(VLOOKUP($A3,NB_p!$A$2:$G$25,6,FALSE),VLOOKUP($A3,NB_r!$A$2:$G$25,6,FALSE),B$2,TRUE)</f>
        <v>0.95263732619874231</v>
      </c>
      <c r="C3" s="14">
        <f>COUNTIF(INDEX($B$33:$Y$398,0,MATCH($A3,$B$32:$Y$32,0)),"&gt;="&amp;C$2)/ROWS($A$33:$A$398)</f>
        <v>0.97267759562841527</v>
      </c>
      <c r="D3" s="14">
        <f>1-_xlfn.BETA.DIST(VLOOKUP($A3,NB_p!$A$2:$G$25,6,FALSE),VLOOKUP($A3,NB_r!$A$2:$G$25,6,FALSE),D$2,TRUE)</f>
        <v>0.72641079271911724</v>
      </c>
      <c r="E3" s="14">
        <f>COUNTIF(INDEX($B$33:$Y$398,0,MATCH($A3,$B$32:$Y$32,0)),"&gt;="&amp;E$2)/ROWS($A$33:$A$398)</f>
        <v>0.7595628415300546</v>
      </c>
      <c r="F3" s="14">
        <f>1-_xlfn.BETA.DIST(VLOOKUP($A3,NB_p!$A$2:$G$25,6,FALSE),VLOOKUP($A3,NB_r!$A$2:$G$25,6,FALSE),F$2,TRUE)</f>
        <v>0.41347580776424686</v>
      </c>
      <c r="G3" s="14">
        <f>COUNTIF(INDEX($B$33:$Y$398,0,MATCH($A3,$B$32:$Y$32,0)),"&gt;="&amp;G$2)/ROWS($A$33:$A$398)</f>
        <v>0.38251366120218577</v>
      </c>
      <c r="H3" s="14">
        <f>1-_xlfn.BETA.DIST(VLOOKUP($A3,NB_p!$A$2:$G$25,6,FALSE),VLOOKUP($A3,NB_r!$A$2:$G$25,6,FALSE),H$2,TRUE)</f>
        <v>0.1825007776969727</v>
      </c>
      <c r="I3" s="14">
        <f>COUNTIF(INDEX($B$33:$Y$398,0,MATCH($A3,$B$32:$Y$32,0)),"&gt;="&amp;I$2)/ROWS($A$33:$A$398)</f>
        <v>0.15846994535519127</v>
      </c>
      <c r="J3" s="14">
        <f>1-_xlfn.BETA.DIST(VLOOKUP($A3,NB_p!$A$2:$G$25,6,FALSE),VLOOKUP($A3,NB_r!$A$2:$G$25,6,FALSE),J$2,TRUE)</f>
        <v>6.5961810954814126E-2</v>
      </c>
      <c r="K3" s="14">
        <f>COUNTIF(INDEX($B$33:$Y$398,0,MATCH($A3,$B$32:$Y$32,0)),"&gt;="&amp;K$2)/ROWS($A$33:$A$398)</f>
        <v>5.4644808743169397E-2</v>
      </c>
      <c r="L3" s="1"/>
      <c r="M3" s="1"/>
      <c r="N3" s="1"/>
      <c r="O3" s="1"/>
    </row>
    <row r="4" spans="1:15" x14ac:dyDescent="0.3">
      <c r="A4" s="12">
        <v>1</v>
      </c>
      <c r="B4" s="14">
        <f>1-_xlfn.BETA.DIST(VLOOKUP($A4,NB_p!$A$2:$G$25,6,FALSE),VLOOKUP($A4,NB_r!$A$2:$G$25,6,FALSE),B$2,TRUE)</f>
        <v>0.90998095431338155</v>
      </c>
      <c r="C4" s="14">
        <f t="shared" ref="C4:K10" si="0">COUNTIF(INDEX($B$33:$Y$398,0,MATCH($A4,$B$32:$Y$32,0)),"&gt;="&amp;C$2)/ROWS($A$33:$A$398)</f>
        <v>0.93442622950819676</v>
      </c>
      <c r="D4" s="14">
        <f>1-_xlfn.BETA.DIST(VLOOKUP($A4,NB_p!$A$2:$G$25,6,FALSE),VLOOKUP($A4,NB_r!$A$2:$G$25,6,FALSE),D$2,TRUE)</f>
        <v>0.59148021892638769</v>
      </c>
      <c r="E4" s="14">
        <f t="shared" si="0"/>
        <v>0.56557377049180324</v>
      </c>
      <c r="F4" s="14">
        <f>1-_xlfn.BETA.DIST(VLOOKUP($A4,NB_p!$A$2:$G$25,6,FALSE),VLOOKUP($A4,NB_r!$A$2:$G$25,6,FALSE),F$2,TRUE)</f>
        <v>0.2677336772835297</v>
      </c>
      <c r="G4" s="14">
        <f t="shared" si="0"/>
        <v>0.24863387978142076</v>
      </c>
      <c r="H4" s="14">
        <f>1-_xlfn.BETA.DIST(VLOOKUP($A4,NB_p!$A$2:$G$25,6,FALSE),VLOOKUP($A4,NB_r!$A$2:$G$25,6,FALSE),H$2,TRUE)</f>
        <v>9.1352363666034941E-2</v>
      </c>
      <c r="I4" s="14">
        <f t="shared" si="0"/>
        <v>0.10382513661202186</v>
      </c>
      <c r="J4" s="14">
        <f>1-_xlfn.BETA.DIST(VLOOKUP($A4,NB_p!$A$2:$G$25,6,FALSE),VLOOKUP($A4,NB_r!$A$2:$G$25,6,FALSE),J$2,TRUE)</f>
        <v>2.525376510668953E-2</v>
      </c>
      <c r="K4" s="14">
        <f t="shared" si="0"/>
        <v>3.0054644808743168E-2</v>
      </c>
      <c r="L4" s="1"/>
      <c r="M4" s="1"/>
      <c r="N4" s="1"/>
      <c r="O4" s="1"/>
    </row>
    <row r="5" spans="1:15" x14ac:dyDescent="0.3">
      <c r="A5" s="12">
        <v>2</v>
      </c>
      <c r="B5" s="14">
        <f>1-_xlfn.BETA.DIST(VLOOKUP($A5,NB_p!$A$2:$G$25,6,FALSE),VLOOKUP($A5,NB_r!$A$2:$G$25,6,FALSE),B$2,TRUE)</f>
        <v>0.88755954878254772</v>
      </c>
      <c r="C5" s="14">
        <f t="shared" si="0"/>
        <v>0.89344262295081966</v>
      </c>
      <c r="D5" s="14">
        <f>1-_xlfn.BETA.DIST(VLOOKUP($A5,NB_p!$A$2:$G$25,6,FALSE),VLOOKUP($A5,NB_r!$A$2:$G$25,6,FALSE),D$2,TRUE)</f>
        <v>0.52285929230380734</v>
      </c>
      <c r="E5" s="14">
        <f t="shared" si="0"/>
        <v>0.54098360655737709</v>
      </c>
      <c r="F5" s="14">
        <f>1-_xlfn.BETA.DIST(VLOOKUP($A5,NB_p!$A$2:$G$25,6,FALSE),VLOOKUP($A5,NB_r!$A$2:$G$25,6,FALSE),F$2,TRUE)</f>
        <v>0.20178270477377158</v>
      </c>
      <c r="G5" s="14">
        <f t="shared" si="0"/>
        <v>0.18579234972677597</v>
      </c>
      <c r="H5" s="14">
        <f>1-_xlfn.BETA.DIST(VLOOKUP($A5,NB_p!$A$2:$G$25,6,FALSE),VLOOKUP($A5,NB_r!$A$2:$G$25,6,FALSE),H$2,TRUE)</f>
        <v>5.6395468695790596E-2</v>
      </c>
      <c r="I5" s="14">
        <f t="shared" si="0"/>
        <v>5.737704918032787E-2</v>
      </c>
      <c r="J5" s="14">
        <f>1-_xlfn.BETA.DIST(VLOOKUP($A5,NB_p!$A$2:$G$25,6,FALSE),VLOOKUP($A5,NB_r!$A$2:$G$25,6,FALSE),J$2,TRUE)</f>
        <v>1.2426580710578783E-2</v>
      </c>
      <c r="K5" s="14">
        <f t="shared" si="0"/>
        <v>1.092896174863388E-2</v>
      </c>
      <c r="L5" s="1"/>
      <c r="M5" s="1"/>
      <c r="N5" s="1"/>
      <c r="O5" s="1"/>
    </row>
    <row r="6" spans="1:15" x14ac:dyDescent="0.3">
      <c r="A6" s="12">
        <v>3</v>
      </c>
      <c r="B6" s="14">
        <f>1-_xlfn.BETA.DIST(VLOOKUP($A6,NB_p!$A$2:$G$25,6,FALSE),VLOOKUP($A6,NB_r!$A$2:$G$25,6,FALSE),B$2,TRUE)</f>
        <v>0.86190445507690683</v>
      </c>
      <c r="C6" s="14">
        <f t="shared" si="0"/>
        <v>0.89617486338797814</v>
      </c>
      <c r="D6" s="14">
        <f>1-_xlfn.BETA.DIST(VLOOKUP($A6,NB_p!$A$2:$G$25,6,FALSE),VLOOKUP($A6,NB_r!$A$2:$G$25,6,FALSE),D$2,TRUE)</f>
        <v>0.46168065858895446</v>
      </c>
      <c r="E6" s="14">
        <f t="shared" si="0"/>
        <v>0.44262295081967212</v>
      </c>
      <c r="F6" s="14">
        <f>1-_xlfn.BETA.DIST(VLOOKUP($A6,NB_p!$A$2:$G$25,6,FALSE),VLOOKUP($A6,NB_r!$A$2:$G$25,6,FALSE),F$2,TRUE)</f>
        <v>0.15549653436773769</v>
      </c>
      <c r="G6" s="14">
        <f t="shared" si="0"/>
        <v>0.12568306010928962</v>
      </c>
      <c r="H6" s="14">
        <f>1-_xlfn.BETA.DIST(VLOOKUP($A6,NB_p!$A$2:$G$25,6,FALSE),VLOOKUP($A6,NB_r!$A$2:$G$25,6,FALSE),H$2,TRUE)</f>
        <v>3.7106060984539835E-2</v>
      </c>
      <c r="I6" s="14">
        <f t="shared" si="0"/>
        <v>4.3715846994535519E-2</v>
      </c>
      <c r="J6" s="14">
        <f>1-_xlfn.BETA.DIST(VLOOKUP($A6,NB_p!$A$2:$G$25,6,FALSE),VLOOKUP($A6,NB_r!$A$2:$G$25,6,FALSE),J$2,TRUE)</f>
        <v>6.8896824832962444E-3</v>
      </c>
      <c r="K6" s="14">
        <f t="shared" si="0"/>
        <v>1.3661202185792349E-2</v>
      </c>
      <c r="L6" s="1"/>
      <c r="M6" s="1"/>
      <c r="N6" s="1"/>
      <c r="O6" s="1"/>
    </row>
    <row r="7" spans="1:15" x14ac:dyDescent="0.3">
      <c r="A7" s="12">
        <v>4</v>
      </c>
      <c r="B7" s="14">
        <f>1-_xlfn.BETA.DIST(VLOOKUP($A7,NB_p!$A$2:$G$25,6,FALSE),VLOOKUP($A7,NB_r!$A$2:$G$25,6,FALSE),B$2,TRUE)</f>
        <v>0.85948873919362367</v>
      </c>
      <c r="C7" s="14">
        <f t="shared" si="0"/>
        <v>0.88524590163934425</v>
      </c>
      <c r="D7" s="14">
        <f>1-_xlfn.BETA.DIST(VLOOKUP($A7,NB_p!$A$2:$G$25,6,FALSE),VLOOKUP($A7,NB_r!$A$2:$G$25,6,FALSE),D$2,TRUE)</f>
        <v>0.4444094213146661</v>
      </c>
      <c r="E7" s="14">
        <f t="shared" si="0"/>
        <v>0.40437158469945356</v>
      </c>
      <c r="F7" s="14">
        <f>1-_xlfn.BETA.DIST(VLOOKUP($A7,NB_p!$A$2:$G$25,6,FALSE),VLOOKUP($A7,NB_r!$A$2:$G$25,6,FALSE),F$2,TRUE)</f>
        <v>0.13823479062031296</v>
      </c>
      <c r="G7" s="14">
        <f t="shared" si="0"/>
        <v>0.12841530054644809</v>
      </c>
      <c r="H7" s="14">
        <f>1-_xlfn.BETA.DIST(VLOOKUP($A7,NB_p!$A$2:$G$25,6,FALSE),VLOOKUP($A7,NB_r!$A$2:$G$25,6,FALSE),H$2,TRUE)</f>
        <v>2.9357956321247936E-2</v>
      </c>
      <c r="I7" s="14">
        <f t="shared" si="0"/>
        <v>3.825136612021858E-2</v>
      </c>
      <c r="J7" s="14">
        <f>1-_xlfn.BETA.DIST(VLOOKUP($A7,NB_p!$A$2:$G$25,6,FALSE),VLOOKUP($A7,NB_r!$A$2:$G$25,6,FALSE),J$2,TRUE)</f>
        <v>4.7130917173986431E-3</v>
      </c>
      <c r="K7" s="14">
        <f t="shared" si="0"/>
        <v>8.1967213114754103E-3</v>
      </c>
      <c r="L7" s="1"/>
      <c r="M7" s="1"/>
      <c r="N7" s="1"/>
      <c r="O7" s="1"/>
    </row>
    <row r="8" spans="1:15" x14ac:dyDescent="0.3">
      <c r="A8" s="12">
        <v>5</v>
      </c>
      <c r="B8" s="14">
        <f>1-_xlfn.BETA.DIST(VLOOKUP($A8,NB_p!$A$2:$G$25,6,FALSE),VLOOKUP($A8,NB_r!$A$2:$G$25,6,FALSE),B$2,TRUE)</f>
        <v>0.88953486112639768</v>
      </c>
      <c r="C8" s="14">
        <f t="shared" si="0"/>
        <v>0.93989071038251371</v>
      </c>
      <c r="D8" s="14">
        <f>1-_xlfn.BETA.DIST(VLOOKUP($A8,NB_p!$A$2:$G$25,6,FALSE),VLOOKUP($A8,NB_r!$A$2:$G$25,6,FALSE),D$2,TRUE)</f>
        <v>0.56363364351584089</v>
      </c>
      <c r="E8" s="14">
        <f t="shared" si="0"/>
        <v>0.56010928961748629</v>
      </c>
      <c r="F8" s="14">
        <f>1-_xlfn.BETA.DIST(VLOOKUP($A8,NB_p!$A$2:$G$25,6,FALSE),VLOOKUP($A8,NB_r!$A$2:$G$25,6,FALSE),F$2,TRUE)</f>
        <v>0.25912203432014658</v>
      </c>
      <c r="G8" s="14">
        <f t="shared" si="0"/>
        <v>0.21311475409836064</v>
      </c>
      <c r="H8" s="14">
        <f>1-_xlfn.BETA.DIST(VLOOKUP($A8,NB_p!$A$2:$G$25,6,FALSE),VLOOKUP($A8,NB_r!$A$2:$G$25,6,FALSE),H$2,TRUE)</f>
        <v>9.3980459602008182E-2</v>
      </c>
      <c r="I8" s="14">
        <f t="shared" si="0"/>
        <v>7.3770491803278687E-2</v>
      </c>
      <c r="J8" s="14">
        <f>1-_xlfn.BETA.DIST(VLOOKUP($A8,NB_p!$A$2:$G$25,6,FALSE),VLOOKUP($A8,NB_r!$A$2:$G$25,6,FALSE),J$2,TRUE)</f>
        <v>2.869910318394886E-2</v>
      </c>
      <c r="K8" s="14">
        <f t="shared" si="0"/>
        <v>3.2786885245901641E-2</v>
      </c>
      <c r="L8" s="1"/>
      <c r="M8" s="1"/>
      <c r="N8" s="1"/>
      <c r="O8" s="1"/>
    </row>
    <row r="9" spans="1:15" x14ac:dyDescent="0.3">
      <c r="A9" s="12">
        <v>6</v>
      </c>
      <c r="B9" s="14">
        <f>1-_xlfn.BETA.DIST(VLOOKUP($A9,NB_p!$A$2:$G$25,6,FALSE),VLOOKUP($A9,NB_r!$A$2:$G$25,6,FALSE),B$2,TRUE)</f>
        <v>0.9731943640215629</v>
      </c>
      <c r="C9" s="14">
        <f t="shared" si="0"/>
        <v>0.97267759562841527</v>
      </c>
      <c r="D9" s="14">
        <f>1-_xlfn.BETA.DIST(VLOOKUP($A9,NB_p!$A$2:$G$25,6,FALSE),VLOOKUP($A9,NB_r!$A$2:$G$25,6,FALSE),D$2,TRUE)</f>
        <v>0.82922825983819881</v>
      </c>
      <c r="E9" s="14">
        <f t="shared" si="0"/>
        <v>0.83606557377049184</v>
      </c>
      <c r="F9" s="14">
        <f>1-_xlfn.BETA.DIST(VLOOKUP($A9,NB_p!$A$2:$G$25,6,FALSE),VLOOKUP($A9,NB_r!$A$2:$G$25,6,FALSE),F$2,TRUE)</f>
        <v>0.58283955968777335</v>
      </c>
      <c r="G9" s="14">
        <f t="shared" si="0"/>
        <v>0.59836065573770492</v>
      </c>
      <c r="H9" s="14">
        <f>1-_xlfn.BETA.DIST(VLOOKUP($A9,NB_p!$A$2:$G$25,6,FALSE),VLOOKUP($A9,NB_r!$A$2:$G$25,6,FALSE),H$2,TRUE)</f>
        <v>0.34187518683418494</v>
      </c>
      <c r="I9" s="14">
        <f t="shared" si="0"/>
        <v>0.33879781420765026</v>
      </c>
      <c r="J9" s="14">
        <f>1-_xlfn.BETA.DIST(VLOOKUP($A9,NB_p!$A$2:$G$25,6,FALSE),VLOOKUP($A9,NB_r!$A$2:$G$25,6,FALSE),J$2,TRUE)</f>
        <v>0.17277649756621127</v>
      </c>
      <c r="K9" s="14">
        <f t="shared" si="0"/>
        <v>0.16939890710382513</v>
      </c>
      <c r="L9" s="1"/>
      <c r="M9" s="1"/>
      <c r="N9" s="1"/>
      <c r="O9" s="1"/>
    </row>
    <row r="10" spans="1:15" x14ac:dyDescent="0.3">
      <c r="A10" s="12">
        <v>23</v>
      </c>
      <c r="B10" s="14">
        <f>1-_xlfn.BETA.DIST(VLOOKUP($A10,NB_p!$A$2:$G$25,6,FALSE),VLOOKUP($A10,NB_r!$A$2:$G$25,6,FALSE),B$2,TRUE)</f>
        <v>0.97412449895359787</v>
      </c>
      <c r="C10" s="14">
        <f t="shared" si="0"/>
        <v>0.99180327868852458</v>
      </c>
      <c r="D10" s="14">
        <f>1-_xlfn.BETA.DIST(VLOOKUP($A10,NB_p!$A$2:$G$25,6,FALSE),VLOOKUP($A10,NB_r!$A$2:$G$25,6,FALSE),D$2,TRUE)</f>
        <v>0.82891422391064729</v>
      </c>
      <c r="E10" s="14">
        <f t="shared" si="0"/>
        <v>0.86885245901639341</v>
      </c>
      <c r="F10" s="14">
        <f>1-_xlfn.BETA.DIST(VLOOKUP($A10,NB_p!$A$2:$G$25,6,FALSE),VLOOKUP($A10,NB_r!$A$2:$G$25,6,FALSE),F$2,TRUE)</f>
        <v>0.57630979494415735</v>
      </c>
      <c r="G10" s="14">
        <f t="shared" si="0"/>
        <v>0.60109289617486339</v>
      </c>
      <c r="H10" s="14">
        <f>1-_xlfn.BETA.DIST(VLOOKUP($A10,NB_p!$A$2:$G$25,6,FALSE),VLOOKUP($A10,NB_r!$A$2:$G$25,6,FALSE),H$2,TRUE)</f>
        <v>0.3305657426163946</v>
      </c>
      <c r="I10" s="14">
        <f t="shared" si="0"/>
        <v>0.29508196721311475</v>
      </c>
      <c r="J10" s="14">
        <f>1-_xlfn.BETA.DIST(VLOOKUP($A10,NB_p!$A$2:$G$25,6,FALSE),VLOOKUP($A10,NB_r!$A$2:$G$25,6,FALSE),J$2,TRUE)</f>
        <v>0.16169505050610877</v>
      </c>
      <c r="K10" s="14">
        <f t="shared" si="0"/>
        <v>0.12021857923497267</v>
      </c>
      <c r="L10" s="1"/>
      <c r="M10" s="1"/>
      <c r="N10" s="1"/>
      <c r="O10" s="1"/>
    </row>
    <row r="11" spans="1:15" x14ac:dyDescent="0.3">
      <c r="A11" s="9"/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16</v>
      </c>
      <c r="G11" s="10" t="s">
        <v>17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1" t="s">
        <v>28</v>
      </c>
      <c r="N11" s="1"/>
      <c r="O11" s="1"/>
    </row>
    <row r="12" spans="1:15" x14ac:dyDescent="0.3">
      <c r="A12" s="12" t="s">
        <v>29</v>
      </c>
      <c r="B12" s="1">
        <v>5</v>
      </c>
      <c r="C12" s="1">
        <v>5</v>
      </c>
      <c r="D12" s="1">
        <v>10</v>
      </c>
      <c r="E12" s="1">
        <v>10</v>
      </c>
      <c r="F12" s="1">
        <v>15</v>
      </c>
      <c r="G12" s="1">
        <v>15</v>
      </c>
      <c r="H12" s="1">
        <v>20</v>
      </c>
      <c r="I12" s="1">
        <v>20</v>
      </c>
      <c r="J12" s="1">
        <v>25</v>
      </c>
      <c r="K12" s="1">
        <v>25</v>
      </c>
      <c r="L12" s="1">
        <v>30</v>
      </c>
      <c r="M12" s="13">
        <v>30</v>
      </c>
      <c r="N12" s="1"/>
      <c r="O12" s="1"/>
    </row>
    <row r="13" spans="1:15" x14ac:dyDescent="0.3">
      <c r="A13" s="12">
        <v>7</v>
      </c>
      <c r="B13" s="14">
        <f>1-_xlfn.BETA.DIST(VLOOKUP($A13,NB_p!$A$2:$G$25,6,FALSE),VLOOKUP($A13,NB_r!$A$2:$G$25,6,FALSE),B$12,TRUE)</f>
        <v>0.96398872380053413</v>
      </c>
      <c r="C13" s="14">
        <f>COUNTIF(INDEX($B$33:$Y$398,0,MATCH($A13,$B$32:$Y$32,0)),"&gt;="&amp;C$12)/ROWS($A$33:$A$398)</f>
        <v>0.98633879781420764</v>
      </c>
      <c r="D13" s="14">
        <f>1-_xlfn.BETA.DIST(VLOOKUP($A13,NB_p!$A$2:$G$25,6,FALSE),VLOOKUP($A13,NB_r!$A$2:$G$25,6,FALSE),D$12,TRUE)</f>
        <v>0.78934526653936521</v>
      </c>
      <c r="E13" s="14">
        <f>COUNTIF(INDEX($B$33:$Y$398,0,MATCH($A13,$B$32:$Y$32,0)),"&gt;="&amp;E$12)/ROWS($A$33:$A$398)</f>
        <v>0.79508196721311475</v>
      </c>
      <c r="F13" s="14">
        <f>1-_xlfn.BETA.DIST(VLOOKUP($A13,NB_p!$A$2:$G$25,6,FALSE),VLOOKUP($A13,NB_r!$A$2:$G$25,6,FALSE),F$12,TRUE)</f>
        <v>0.53130725889251318</v>
      </c>
      <c r="G13" s="14">
        <f>COUNTIF(INDEX($B$33:$Y$398,0,MATCH($A13,$B$32:$Y$32,0)),"&gt;="&amp;G$12)/ROWS($A$33:$A$398)</f>
        <v>0.56010928961748629</v>
      </c>
      <c r="H13" s="14">
        <f>1-_xlfn.BETA.DIST(VLOOKUP($A13,NB_p!$A$2:$G$25,6,FALSE),VLOOKUP($A13,NB_r!$A$2:$G$25,6,FALSE),H$12,TRUE)</f>
        <v>0.30436010909342315</v>
      </c>
      <c r="I13" s="14">
        <f>COUNTIF(INDEX($B$33:$Y$398,0,MATCH($A13,$B$32:$Y$32,0)),"&gt;="&amp;I$12)/ROWS($A$33:$A$398)</f>
        <v>0.29234972677595628</v>
      </c>
      <c r="J13" s="14">
        <f>1-_xlfn.BETA.DIST(VLOOKUP($A13,NB_p!$A$2:$G$25,6,FALSE),VLOOKUP($A13,NB_r!$A$2:$G$25,6,FALSE),J$12,TRUE)</f>
        <v>0.15421310460866711</v>
      </c>
      <c r="K13" s="14">
        <f>COUNTIF(INDEX($B$33:$Y$398,0,MATCH($A13,$B$32:$Y$32,0)),"&gt;="&amp;K$12)/ROWS($A$33:$A$398)</f>
        <v>0.12295081967213115</v>
      </c>
      <c r="L13" s="14">
        <f>1-_xlfn.BETA.DIST(VLOOKUP($A13,NB_p!$A$2:$G$25,6,FALSE),VLOOKUP($A13,NB_r!$A$2:$G$25,6,FALSE),L$12,TRUE)</f>
        <v>7.1167474634795558E-2</v>
      </c>
      <c r="M13" s="14">
        <f>COUNTIF(INDEX($B$33:$Y$398,0,MATCH($A13,$B$32:$Y$32,0)),"&gt;="&amp;M$12)/ROWS($A$33:$A$398)</f>
        <v>3.2786885245901641E-2</v>
      </c>
      <c r="N13" s="1"/>
      <c r="O13" s="1"/>
    </row>
    <row r="14" spans="1:15" x14ac:dyDescent="0.3">
      <c r="A14" s="12">
        <v>8</v>
      </c>
      <c r="B14" s="14">
        <f>1-_xlfn.BETA.DIST(VLOOKUP($A14,NB_p!$A$2:$G$25,6,FALSE),VLOOKUP($A14,NB_r!$A$2:$G$25,6,FALSE),B$12,TRUE)</f>
        <v>0.99150299108965201</v>
      </c>
      <c r="C14" s="14">
        <f t="shared" ref="C14:M18" si="1">COUNTIF(INDEX($B$33:$Y$398,0,MATCH($A14,$B$32:$Y$32,0)),"&gt;="&amp;C$12)/ROWS($A$33:$A$398)</f>
        <v>0.99180327868852458</v>
      </c>
      <c r="D14" s="14">
        <f>1-_xlfn.BETA.DIST(VLOOKUP($A14,NB_p!$A$2:$G$25,6,FALSE),VLOOKUP($A14,NB_r!$A$2:$G$25,6,FALSE),D$12,TRUE)</f>
        <v>0.90842914349189008</v>
      </c>
      <c r="E14" s="14">
        <f t="shared" si="1"/>
        <v>0.90163934426229508</v>
      </c>
      <c r="F14" s="14">
        <f>1-_xlfn.BETA.DIST(VLOOKUP($A14,NB_p!$A$2:$G$25,6,FALSE),VLOOKUP($A14,NB_r!$A$2:$G$25,6,FALSE),F$12,TRUE)</f>
        <v>0.70836101670444607</v>
      </c>
      <c r="G14" s="14">
        <f t="shared" si="1"/>
        <v>0.71584699453551914</v>
      </c>
      <c r="H14" s="14">
        <f>1-_xlfn.BETA.DIST(VLOOKUP($A14,NB_p!$A$2:$G$25,6,FALSE),VLOOKUP($A14,NB_r!$A$2:$G$25,6,FALSE),H$12,TRUE)</f>
        <v>0.46300364574416242</v>
      </c>
      <c r="I14" s="14">
        <f t="shared" si="1"/>
        <v>0.48087431693989069</v>
      </c>
      <c r="J14" s="14">
        <f>1-_xlfn.BETA.DIST(VLOOKUP($A14,NB_p!$A$2:$G$25,6,FALSE),VLOOKUP($A14,NB_r!$A$2:$G$25,6,FALSE),J$12,TRUE)</f>
        <v>0.25932388348390267</v>
      </c>
      <c r="K14" s="14">
        <f t="shared" si="1"/>
        <v>0.22677595628415301</v>
      </c>
      <c r="L14" s="14">
        <f>1-_xlfn.BETA.DIST(VLOOKUP($A14,NB_p!$A$2:$G$25,6,FALSE),VLOOKUP($A14,NB_r!$A$2:$G$25,6,FALSE),L$12,TRUE)</f>
        <v>0.12801040708320344</v>
      </c>
      <c r="M14" s="14">
        <f t="shared" si="1"/>
        <v>0.12568306010928962</v>
      </c>
      <c r="N14" s="1"/>
      <c r="O14" s="1"/>
    </row>
    <row r="15" spans="1:15" x14ac:dyDescent="0.3">
      <c r="A15" s="12">
        <v>19</v>
      </c>
      <c r="B15" s="14">
        <f>1-_xlfn.BETA.DIST(VLOOKUP($A15,NB_p!$A$2:$G$25,6,FALSE),VLOOKUP($A15,NB_r!$A$2:$G$25,6,FALSE),B$12,TRUE)</f>
        <v>0.99654816070570995</v>
      </c>
      <c r="C15" s="14">
        <f t="shared" si="1"/>
        <v>0.99453551912568305</v>
      </c>
      <c r="D15" s="14">
        <f>1-_xlfn.BETA.DIST(VLOOKUP($A15,NB_p!$A$2:$G$25,6,FALSE),VLOOKUP($A15,NB_r!$A$2:$G$25,6,FALSE),D$12,TRUE)</f>
        <v>0.93535771147517</v>
      </c>
      <c r="E15" s="14">
        <f t="shared" si="1"/>
        <v>0.97267759562841527</v>
      </c>
      <c r="F15" s="14">
        <f>1-_xlfn.BETA.DIST(VLOOKUP($A15,NB_p!$A$2:$G$25,6,FALSE),VLOOKUP($A15,NB_r!$A$2:$G$25,6,FALSE),F$12,TRUE)</f>
        <v>0.73106659171023258</v>
      </c>
      <c r="G15" s="14">
        <f t="shared" si="1"/>
        <v>0.74590163934426235</v>
      </c>
      <c r="H15" s="14">
        <f>1-_xlfn.BETA.DIST(VLOOKUP($A15,NB_p!$A$2:$G$25,6,FALSE),VLOOKUP($A15,NB_r!$A$2:$G$25,6,FALSE),H$12,TRUE)</f>
        <v>0.44713282786583242</v>
      </c>
      <c r="I15" s="14">
        <f t="shared" si="1"/>
        <v>0.44808743169398907</v>
      </c>
      <c r="J15" s="14">
        <f>1-_xlfn.BETA.DIST(VLOOKUP($A15,NB_p!$A$2:$G$25,6,FALSE),VLOOKUP($A15,NB_r!$A$2:$G$25,6,FALSE),J$12,TRUE)</f>
        <v>0.21657106902513978</v>
      </c>
      <c r="K15" s="14">
        <f t="shared" si="1"/>
        <v>0.18852459016393441</v>
      </c>
      <c r="L15" s="14">
        <f>1-_xlfn.BETA.DIST(VLOOKUP($A15,NB_p!$A$2:$G$25,6,FALSE),VLOOKUP($A15,NB_r!$A$2:$G$25,6,FALSE),L$12,TRUE)</f>
        <v>8.6112839914490813E-2</v>
      </c>
      <c r="M15" s="14">
        <f t="shared" si="1"/>
        <v>5.737704918032787E-2</v>
      </c>
      <c r="N15" s="1"/>
      <c r="O15" s="1"/>
    </row>
    <row r="16" spans="1:15" x14ac:dyDescent="0.3">
      <c r="A16" s="12">
        <v>20</v>
      </c>
      <c r="B16" s="14">
        <f>1-_xlfn.BETA.DIST(VLOOKUP($A16,NB_p!$A$2:$G$25,6,FALSE),VLOOKUP($A16,NB_r!$A$2:$G$25,6,FALSE),B$12,TRUE)</f>
        <v>0.98827442138782851</v>
      </c>
      <c r="C16" s="14">
        <f t="shared" si="1"/>
        <v>0.99726775956284153</v>
      </c>
      <c r="D16" s="14">
        <f>1-_xlfn.BETA.DIST(VLOOKUP($A16,NB_p!$A$2:$G$25,6,FALSE),VLOOKUP($A16,NB_r!$A$2:$G$25,6,FALSE),D$12,TRUE)</f>
        <v>0.86353510304608616</v>
      </c>
      <c r="E16" s="14">
        <f t="shared" si="1"/>
        <v>0.93715846994535523</v>
      </c>
      <c r="F16" s="14">
        <f>1-_xlfn.BETA.DIST(VLOOKUP($A16,NB_p!$A$2:$G$25,6,FALSE),VLOOKUP($A16,NB_r!$A$2:$G$25,6,FALSE),F$12,TRUE)</f>
        <v>0.5852760509423468</v>
      </c>
      <c r="G16" s="14">
        <f t="shared" si="1"/>
        <v>0.6202185792349727</v>
      </c>
      <c r="H16" s="14">
        <f>1-_xlfn.BETA.DIST(VLOOKUP($A16,NB_p!$A$2:$G$25,6,FALSE),VLOOKUP($A16,NB_r!$A$2:$G$25,6,FALSE),H$12,TRUE)</f>
        <v>0.30388153602447132</v>
      </c>
      <c r="I16" s="14">
        <f t="shared" si="1"/>
        <v>0.22404371584699453</v>
      </c>
      <c r="J16" s="14">
        <f>1-_xlfn.BETA.DIST(VLOOKUP($A16,NB_p!$A$2:$G$25,6,FALSE),VLOOKUP($A16,NB_r!$A$2:$G$25,6,FALSE),J$12,TRUE)</f>
        <v>0.1261692802885741</v>
      </c>
      <c r="K16" s="14">
        <f t="shared" si="1"/>
        <v>6.2841530054644809E-2</v>
      </c>
      <c r="L16" s="14">
        <f>1-_xlfn.BETA.DIST(VLOOKUP($A16,NB_p!$A$2:$G$25,6,FALSE),VLOOKUP($A16,NB_r!$A$2:$G$25,6,FALSE),L$12,TRUE)</f>
        <v>4.3867177269155233E-2</v>
      </c>
      <c r="M16" s="14">
        <f t="shared" si="1"/>
        <v>1.912568306010929E-2</v>
      </c>
      <c r="N16" s="1"/>
      <c r="O16" s="1"/>
    </row>
    <row r="17" spans="1:25" x14ac:dyDescent="0.3">
      <c r="A17" s="12">
        <v>21</v>
      </c>
      <c r="B17" s="14">
        <f>1-_xlfn.BETA.DIST(VLOOKUP($A17,NB_p!$A$2:$G$25,6,FALSE),VLOOKUP($A17,NB_r!$A$2:$G$25,6,FALSE),B$12,TRUE)</f>
        <v>0.94907169560169657</v>
      </c>
      <c r="C17" s="14">
        <f t="shared" si="1"/>
        <v>0.99180327868852458</v>
      </c>
      <c r="D17" s="14">
        <f>1-_xlfn.BETA.DIST(VLOOKUP($A17,NB_p!$A$2:$G$25,6,FALSE),VLOOKUP($A17,NB_r!$A$2:$G$25,6,FALSE),D$12,TRUE)</f>
        <v>0.72320338132571726</v>
      </c>
      <c r="E17" s="14">
        <f t="shared" si="1"/>
        <v>0.8306010928961749</v>
      </c>
      <c r="F17" s="14">
        <f>1-_xlfn.BETA.DIST(VLOOKUP($A17,NB_p!$A$2:$G$25,6,FALSE),VLOOKUP($A17,NB_r!$A$2:$G$25,6,FALSE),F$12,TRUE)</f>
        <v>0.43150684503007053</v>
      </c>
      <c r="G17" s="14">
        <f t="shared" si="1"/>
        <v>0.40437158469945356</v>
      </c>
      <c r="H17" s="14">
        <f>1-_xlfn.BETA.DIST(VLOOKUP($A17,NB_p!$A$2:$G$25,6,FALSE),VLOOKUP($A17,NB_r!$A$2:$G$25,6,FALSE),H$12,TRUE)</f>
        <v>0.212769287755463</v>
      </c>
      <c r="I17" s="14">
        <f t="shared" si="1"/>
        <v>0.12021857923497267</v>
      </c>
      <c r="J17" s="14">
        <f>1-_xlfn.BETA.DIST(VLOOKUP($A17,NB_p!$A$2:$G$25,6,FALSE),VLOOKUP($A17,NB_r!$A$2:$G$25,6,FALSE),J$12,TRUE)</f>
        <v>9.116321948419559E-2</v>
      </c>
      <c r="K17" s="14">
        <f t="shared" si="1"/>
        <v>2.7322404371584699E-2</v>
      </c>
      <c r="L17" s="14">
        <f>1-_xlfn.BETA.DIST(VLOOKUP($A17,NB_p!$A$2:$G$25,6,FALSE),VLOOKUP($A17,NB_r!$A$2:$G$25,6,FALSE),L$12,TRUE)</f>
        <v>3.517295428932532E-2</v>
      </c>
      <c r="M17" s="14">
        <f t="shared" si="1"/>
        <v>1.092896174863388E-2</v>
      </c>
      <c r="N17" s="1"/>
      <c r="O17" s="1"/>
    </row>
    <row r="18" spans="1:25" x14ac:dyDescent="0.3">
      <c r="A18" s="12">
        <v>22</v>
      </c>
      <c r="B18" s="14">
        <f>1-_xlfn.BETA.DIST(VLOOKUP($A18,NB_p!$A$2:$G$25,6,FALSE),VLOOKUP($A18,NB_r!$A$2:$G$25,6,FALSE),B$12,TRUE)</f>
        <v>0.93252922576999264</v>
      </c>
      <c r="C18" s="14">
        <f t="shared" si="1"/>
        <v>0.97540983606557374</v>
      </c>
      <c r="D18" s="14">
        <f>1-_xlfn.BETA.DIST(VLOOKUP($A18,NB_p!$A$2:$G$25,6,FALSE),VLOOKUP($A18,NB_r!$A$2:$G$25,6,FALSE),D$12,TRUE)</f>
        <v>0.63139070391871677</v>
      </c>
      <c r="E18" s="14">
        <f t="shared" si="1"/>
        <v>0.66666666666666663</v>
      </c>
      <c r="F18" s="14">
        <f>1-_xlfn.BETA.DIST(VLOOKUP($A18,NB_p!$A$2:$G$25,6,FALSE),VLOOKUP($A18,NB_r!$A$2:$G$25,6,FALSE),F$12,TRUE)</f>
        <v>0.2993823670436867</v>
      </c>
      <c r="G18" s="14">
        <f t="shared" si="1"/>
        <v>0.25409836065573771</v>
      </c>
      <c r="H18" s="14">
        <f>1-_xlfn.BETA.DIST(VLOOKUP($A18,NB_p!$A$2:$G$25,6,FALSE),VLOOKUP($A18,NB_r!$A$2:$G$25,6,FALSE),H$12,TRUE)</f>
        <v>0.10845592605017107</v>
      </c>
      <c r="I18" s="14">
        <f t="shared" si="1"/>
        <v>6.2841530054644809E-2</v>
      </c>
      <c r="J18" s="14">
        <f>1-_xlfn.BETA.DIST(VLOOKUP($A18,NB_p!$A$2:$G$25,6,FALSE),VLOOKUP($A18,NB_r!$A$2:$G$25,6,FALSE),J$12,TRUE)</f>
        <v>3.2376151724003099E-2</v>
      </c>
      <c r="K18" s="14">
        <f t="shared" si="1"/>
        <v>2.185792349726776E-2</v>
      </c>
      <c r="L18" s="14">
        <f>1-_xlfn.BETA.DIST(VLOOKUP($A18,NB_p!$A$2:$G$25,6,FALSE),VLOOKUP($A18,NB_r!$A$2:$G$25,6,FALSE),L$12,TRUE)</f>
        <v>8.3846617220660891E-3</v>
      </c>
      <c r="M18" s="14">
        <f t="shared" si="1"/>
        <v>5.4644808743169399E-3</v>
      </c>
      <c r="N18" s="1"/>
      <c r="O18" s="1"/>
    </row>
    <row r="19" spans="1:25" x14ac:dyDescent="0.3">
      <c r="A19" s="9"/>
      <c r="B19" s="10" t="s">
        <v>21</v>
      </c>
      <c r="C19" s="10" t="s">
        <v>22</v>
      </c>
      <c r="D19" s="10" t="s">
        <v>16</v>
      </c>
      <c r="E19" s="10" t="s">
        <v>17</v>
      </c>
      <c r="F19" s="10" t="s">
        <v>23</v>
      </c>
      <c r="G19" s="10" t="s">
        <v>24</v>
      </c>
      <c r="H19" s="10" t="s">
        <v>25</v>
      </c>
      <c r="I19" s="10" t="s">
        <v>26</v>
      </c>
      <c r="J19" s="10" t="s">
        <v>27</v>
      </c>
      <c r="K19" s="10" t="s">
        <v>28</v>
      </c>
      <c r="L19" s="10" t="s">
        <v>30</v>
      </c>
      <c r="M19" s="10" t="s">
        <v>31</v>
      </c>
      <c r="N19" s="10" t="s">
        <v>32</v>
      </c>
      <c r="O19" s="11" t="s">
        <v>33</v>
      </c>
    </row>
    <row r="20" spans="1:25" x14ac:dyDescent="0.3">
      <c r="A20" s="12" t="s">
        <v>34</v>
      </c>
      <c r="B20" s="1">
        <v>10</v>
      </c>
      <c r="C20" s="1">
        <v>10</v>
      </c>
      <c r="D20" s="1">
        <v>15</v>
      </c>
      <c r="E20" s="1">
        <v>15</v>
      </c>
      <c r="F20" s="1">
        <v>20</v>
      </c>
      <c r="G20" s="1">
        <v>20</v>
      </c>
      <c r="H20" s="1">
        <v>25</v>
      </c>
      <c r="I20" s="1">
        <v>25</v>
      </c>
      <c r="J20" s="1">
        <v>30</v>
      </c>
      <c r="K20" s="1">
        <v>30</v>
      </c>
      <c r="L20" s="1">
        <v>35</v>
      </c>
      <c r="M20" s="1">
        <v>35</v>
      </c>
      <c r="N20" s="1">
        <v>40</v>
      </c>
      <c r="O20" s="13">
        <v>40</v>
      </c>
    </row>
    <row r="21" spans="1:25" x14ac:dyDescent="0.3">
      <c r="A21" s="12">
        <v>9</v>
      </c>
      <c r="B21" s="14">
        <f>1-_xlfn.BETA.DIST(VLOOKUP($A21,NB_p!$A$2:$G$25,6,FALSE),VLOOKUP($A21,NB_r!$A$2:$G$25,6,FALSE),B$20,TRUE)</f>
        <v>0.96096462578524044</v>
      </c>
      <c r="C21" s="14">
        <f>COUNTIF(INDEX($B$33:$Y$398,0,MATCH($A21,$B$32:$Y$32,0)),"&gt;="&amp;C$20)/ROWS($A$33:$A$398)</f>
        <v>0.98087431693989069</v>
      </c>
      <c r="D21" s="14">
        <f>1-_xlfn.BETA.DIST(VLOOKUP($A21,NB_p!$A$2:$G$25,6,FALSE),VLOOKUP($A21,NB_r!$A$2:$G$25,6,FALSE),D$20,TRUE)</f>
        <v>0.80858666337799212</v>
      </c>
      <c r="E21" s="14">
        <f>COUNTIF(INDEX($B$33:$Y$398,0,MATCH($A21,$B$32:$Y$32,0)),"&gt;="&amp;E$20)/ROWS($A$33:$A$398)</f>
        <v>0.81693989071038253</v>
      </c>
      <c r="F21" s="14">
        <f>1-_xlfn.BETA.DIST(VLOOKUP($A21,NB_p!$A$2:$G$25,6,FALSE),VLOOKUP($A21,NB_r!$A$2:$G$25,6,FALSE),F$20,TRUE)</f>
        <v>0.5529321418327362</v>
      </c>
      <c r="G21" s="14">
        <f>COUNTIF(INDEX($B$33:$Y$398,0,MATCH($A21,$B$32:$Y$32,0)),"&gt;="&amp;G$20)/ROWS($A$33:$A$398)</f>
        <v>0.55464480874316935</v>
      </c>
      <c r="H21" s="14">
        <f>1-_xlfn.BETA.DIST(VLOOKUP($A21,NB_p!$A$2:$G$25,6,FALSE),VLOOKUP($A21,NB_r!$A$2:$G$25,6,FALSE),H$20,TRUE)</f>
        <v>0.30508818867360599</v>
      </c>
      <c r="I21" s="14">
        <f>COUNTIF(INDEX($B$33:$Y$398,0,MATCH($A21,$B$32:$Y$32,0)),"&gt;="&amp;I$20)/ROWS($A$33:$A$398)</f>
        <v>0.28142076502732238</v>
      </c>
      <c r="J21" s="14">
        <f>1-_xlfn.BETA.DIST(VLOOKUP($A21,NB_p!$A$2:$G$25,6,FALSE),VLOOKUP($A21,NB_r!$A$2:$G$25,6,FALSE),J$20,TRUE)</f>
        <v>0.13920268690341953</v>
      </c>
      <c r="K21" s="14">
        <f>COUNTIF(INDEX($B$33:$Y$398,0,MATCH($A21,$B$32:$Y$32,0)),"&gt;="&amp;K$20)/ROWS($A$33:$A$398)</f>
        <v>0.11748633879781421</v>
      </c>
      <c r="L21" s="14">
        <f>1-_xlfn.BETA.DIST(VLOOKUP($A21,NB_p!$A$2:$G$25,6,FALSE),VLOOKUP($A21,NB_r!$A$2:$G$25,6,FALSE),L$20,TRUE)</f>
        <v>5.4135169508782832E-2</v>
      </c>
      <c r="M21" s="14">
        <f>COUNTIF(INDEX($B$33:$Y$398,0,MATCH($A21,$B$32:$Y$32,0)),"&gt;="&amp;M$20)/ROWS($A$33:$A$398)</f>
        <v>4.6448087431693992E-2</v>
      </c>
      <c r="N21" s="14">
        <f>1-_xlfn.BETA.DIST(VLOOKUP($A21,NB_p!$A$2:$G$25,6,FALSE),VLOOKUP($A21,NB_r!$A$2:$G$25,6,FALSE),N$20,TRUE)</f>
        <v>1.8435653143366149E-2</v>
      </c>
      <c r="O21" s="17">
        <f>COUNTIF(INDEX($B$33:$Y$398,0,MATCH($A21,$B$32:$Y$32,0)),"&gt;="&amp;O$20)/ROWS($A$33:$A$398)</f>
        <v>2.4590163934426229E-2</v>
      </c>
    </row>
    <row r="22" spans="1:25" x14ac:dyDescent="0.3">
      <c r="A22" s="12">
        <v>10</v>
      </c>
      <c r="B22" s="14">
        <f>1-_xlfn.BETA.DIST(VLOOKUP($A22,NB_p!$A$2:$G$25,6,FALSE),VLOOKUP($A22,NB_r!$A$2:$G$25,6,FALSE),B$20,TRUE)</f>
        <v>0.98255880838235055</v>
      </c>
      <c r="C22" s="14">
        <f>COUNTIF(INDEX($B$33:$Y$398,0,MATCH($A22,$B$32:$Y$32,0)),"&gt;="&amp;C$20)/ROWS($A$33:$A$398)</f>
        <v>0.98360655737704916</v>
      </c>
      <c r="D22" s="14">
        <f>1-_xlfn.BETA.DIST(VLOOKUP($A22,NB_p!$A$2:$G$25,6,FALSE),VLOOKUP($A22,NB_r!$A$2:$G$25,6,FALSE),D$20,TRUE)</f>
        <v>0.8608201681723483</v>
      </c>
      <c r="E22" s="14">
        <f t="shared" ref="C22:O30" si="2">COUNTIF(INDEX($B$33:$Y$398,0,MATCH($A22,$B$32:$Y$32,0)),"&gt;="&amp;E$20)/ROWS($A$33:$A$398)</f>
        <v>0.87431693989071035</v>
      </c>
      <c r="F22" s="14">
        <f>1-_xlfn.BETA.DIST(VLOOKUP($A22,NB_p!$A$2:$G$25,6,FALSE),VLOOKUP($A22,NB_r!$A$2:$G$25,6,FALSE),F$20,TRUE)</f>
        <v>0.58452904698421992</v>
      </c>
      <c r="G22" s="14">
        <f t="shared" si="2"/>
        <v>0.57650273224043713</v>
      </c>
      <c r="H22" s="14">
        <f>1-_xlfn.BETA.DIST(VLOOKUP($A22,NB_p!$A$2:$G$25,6,FALSE),VLOOKUP($A22,NB_r!$A$2:$G$25,6,FALSE),H$20,TRUE)</f>
        <v>0.28989370637476641</v>
      </c>
      <c r="I22" s="14">
        <f t="shared" si="2"/>
        <v>0.28142076502732238</v>
      </c>
      <c r="J22" s="14">
        <f>1-_xlfn.BETA.DIST(VLOOKUP($A22,NB_p!$A$2:$G$25,6,FALSE),VLOOKUP($A22,NB_r!$A$2:$G$25,6,FALSE),J$20,TRUE)</f>
        <v>0.10644036679892921</v>
      </c>
      <c r="K22" s="14">
        <f t="shared" si="2"/>
        <v>0.10382513661202186</v>
      </c>
      <c r="L22" s="14">
        <f>1-_xlfn.BETA.DIST(VLOOKUP($A22,NB_p!$A$2:$G$25,6,FALSE),VLOOKUP($A22,NB_r!$A$2:$G$25,6,FALSE),L$20,TRUE)</f>
        <v>3.0066046565524251E-2</v>
      </c>
      <c r="M22" s="14">
        <f t="shared" si="2"/>
        <v>2.7322404371584699E-2</v>
      </c>
      <c r="N22" s="14">
        <f>1-_xlfn.BETA.DIST(VLOOKUP($A22,NB_p!$A$2:$G$25,6,FALSE),VLOOKUP($A22,NB_r!$A$2:$G$25,6,FALSE),N$20,TRUE)</f>
        <v>6.7986139300826309E-3</v>
      </c>
      <c r="O22" s="17">
        <f t="shared" si="2"/>
        <v>1.092896174863388E-2</v>
      </c>
    </row>
    <row r="23" spans="1:25" x14ac:dyDescent="0.3">
      <c r="A23" s="12">
        <v>11</v>
      </c>
      <c r="B23" s="14">
        <f>1-_xlfn.BETA.DIST(VLOOKUP($A23,NB_p!$A$2:$G$25,6,FALSE),VLOOKUP($A23,NB_r!$A$2:$G$25,6,FALSE),B$20,TRUE)</f>
        <v>0.98665121997383998</v>
      </c>
      <c r="C23" s="14">
        <f t="shared" si="2"/>
        <v>0.98633879781420764</v>
      </c>
      <c r="D23" s="14">
        <f>1-_xlfn.BETA.DIST(VLOOKUP($A23,NB_p!$A$2:$G$25,6,FALSE),VLOOKUP($A23,NB_r!$A$2:$G$25,6,FALSE),D$20,TRUE)</f>
        <v>0.88476916057368893</v>
      </c>
      <c r="E23" s="14">
        <f t="shared" si="2"/>
        <v>0.89890710382513661</v>
      </c>
      <c r="F23" s="14">
        <f>1-_xlfn.BETA.DIST(VLOOKUP($A23,NB_p!$A$2:$G$25,6,FALSE),VLOOKUP($A23,NB_r!$A$2:$G$25,6,FALSE),F$20,TRUE)</f>
        <v>0.6317215604638482</v>
      </c>
      <c r="G23" s="14">
        <f t="shared" si="2"/>
        <v>0.63387978142076506</v>
      </c>
      <c r="H23" s="14">
        <f>1-_xlfn.BETA.DIST(VLOOKUP($A23,NB_p!$A$2:$G$25,6,FALSE),VLOOKUP($A23,NB_r!$A$2:$G$25,6,FALSE),H$20,TRUE)</f>
        <v>0.33585425933956781</v>
      </c>
      <c r="I23" s="14">
        <f t="shared" si="2"/>
        <v>0.33333333333333331</v>
      </c>
      <c r="J23" s="14">
        <f>1-_xlfn.BETA.DIST(VLOOKUP($A23,NB_p!$A$2:$G$25,6,FALSE),VLOOKUP($A23,NB_r!$A$2:$G$25,6,FALSE),J$20,TRUE)</f>
        <v>0.1336280640516021</v>
      </c>
      <c r="K23" s="14">
        <f t="shared" si="2"/>
        <v>0.12295081967213115</v>
      </c>
      <c r="L23" s="14">
        <f>1-_xlfn.BETA.DIST(VLOOKUP($A23,NB_p!$A$2:$G$25,6,FALSE),VLOOKUP($A23,NB_r!$A$2:$G$25,6,FALSE),L$20,TRUE)</f>
        <v>4.1140342244495143E-2</v>
      </c>
      <c r="M23" s="14">
        <f t="shared" si="2"/>
        <v>3.5519125683060107E-2</v>
      </c>
      <c r="N23" s="14">
        <f>1-_xlfn.BETA.DIST(VLOOKUP($A23,NB_p!$A$2:$G$25,6,FALSE),VLOOKUP($A23,NB_r!$A$2:$G$25,6,FALSE),N$20,TRUE)</f>
        <v>1.0172295938133513E-2</v>
      </c>
      <c r="O23" s="17">
        <f t="shared" si="2"/>
        <v>1.912568306010929E-2</v>
      </c>
    </row>
    <row r="24" spans="1:25" x14ac:dyDescent="0.3">
      <c r="A24" s="12">
        <v>12</v>
      </c>
      <c r="B24" s="14">
        <f>1-_xlfn.BETA.DIST(VLOOKUP($A24,NB_p!$A$2:$G$25,6,FALSE),VLOOKUP($A24,NB_r!$A$2:$G$25,6,FALSE),B$20,TRUE)</f>
        <v>0.98785538904467307</v>
      </c>
      <c r="C24" s="14">
        <f t="shared" si="2"/>
        <v>0.99180327868852458</v>
      </c>
      <c r="D24" s="14">
        <f>1-_xlfn.BETA.DIST(VLOOKUP($A24,NB_p!$A$2:$G$25,6,FALSE),VLOOKUP($A24,NB_r!$A$2:$G$25,6,FALSE),D$20,TRUE)</f>
        <v>0.90250645112103667</v>
      </c>
      <c r="E24" s="14">
        <f t="shared" si="2"/>
        <v>0.92349726775956287</v>
      </c>
      <c r="F24" s="14">
        <f>1-_xlfn.BETA.DIST(VLOOKUP($A24,NB_p!$A$2:$G$25,6,FALSE),VLOOKUP($A24,NB_r!$A$2:$G$25,6,FALSE),F$20,TRUE)</f>
        <v>0.68810119732620634</v>
      </c>
      <c r="G24" s="14">
        <f t="shared" si="2"/>
        <v>0.69398907103825136</v>
      </c>
      <c r="H24" s="14">
        <f>1-_xlfn.BETA.DIST(VLOOKUP($A24,NB_p!$A$2:$G$25,6,FALSE),VLOOKUP($A24,NB_r!$A$2:$G$25,6,FALSE),H$20,TRUE)</f>
        <v>0.41471615723474131</v>
      </c>
      <c r="I24" s="14">
        <f t="shared" si="2"/>
        <v>0.40437158469945356</v>
      </c>
      <c r="J24" s="14">
        <f>1-_xlfn.BETA.DIST(VLOOKUP($A24,NB_p!$A$2:$G$25,6,FALSE),VLOOKUP($A24,NB_r!$A$2:$G$25,6,FALSE),J$20,TRUE)</f>
        <v>0.19781736519606274</v>
      </c>
      <c r="K24" s="14">
        <f t="shared" si="2"/>
        <v>0.17486338797814208</v>
      </c>
      <c r="L24" s="14">
        <f>1-_xlfn.BETA.DIST(VLOOKUP($A24,NB_p!$A$2:$G$25,6,FALSE),VLOOKUP($A24,NB_r!$A$2:$G$25,6,FALSE),L$20,TRUE)</f>
        <v>7.6570511455035573E-2</v>
      </c>
      <c r="M24" s="14">
        <f t="shared" si="2"/>
        <v>7.1038251366120214E-2</v>
      </c>
      <c r="N24" s="14">
        <f>1-_xlfn.BETA.DIST(VLOOKUP($A24,NB_p!$A$2:$G$25,6,FALSE),VLOOKUP($A24,NB_r!$A$2:$G$25,6,FALSE),N$20,TRUE)</f>
        <v>2.4768109655395998E-2</v>
      </c>
      <c r="O24" s="17">
        <f t="shared" si="2"/>
        <v>1.6393442622950821E-2</v>
      </c>
    </row>
    <row r="25" spans="1:25" x14ac:dyDescent="0.3">
      <c r="A25" s="12">
        <v>13</v>
      </c>
      <c r="B25" s="14">
        <f>1-_xlfn.BETA.DIST(VLOOKUP($A25,NB_p!$A$2:$G$25,6,FALSE),VLOOKUP($A25,NB_r!$A$2:$G$25,6,FALSE),B$20,TRUE)</f>
        <v>0.98994521781112321</v>
      </c>
      <c r="C25" s="14">
        <f t="shared" si="2"/>
        <v>0.98360655737704916</v>
      </c>
      <c r="D25" s="14">
        <f>1-_xlfn.BETA.DIST(VLOOKUP($A25,NB_p!$A$2:$G$25,6,FALSE),VLOOKUP($A25,NB_r!$A$2:$G$25,6,FALSE),D$20,TRUE)</f>
        <v>0.9060814632137919</v>
      </c>
      <c r="E25" s="14">
        <f t="shared" si="2"/>
        <v>0.9098360655737705</v>
      </c>
      <c r="F25" s="14">
        <f>1-_xlfn.BETA.DIST(VLOOKUP($A25,NB_p!$A$2:$G$25,6,FALSE),VLOOKUP($A25,NB_r!$A$2:$G$25,6,FALSE),F$20,TRUE)</f>
        <v>0.6781273469781568</v>
      </c>
      <c r="G25" s="14">
        <f t="shared" si="2"/>
        <v>0.68032786885245899</v>
      </c>
      <c r="H25" s="14">
        <f>1-_xlfn.BETA.DIST(VLOOKUP($A25,NB_p!$A$2:$G$25,6,FALSE),VLOOKUP($A25,NB_r!$A$2:$G$25,6,FALSE),H$20,TRUE)</f>
        <v>0.38577278972634843</v>
      </c>
      <c r="I25" s="14">
        <f t="shared" si="2"/>
        <v>0.40710382513661203</v>
      </c>
      <c r="J25" s="14">
        <f>1-_xlfn.BETA.DIST(VLOOKUP($A25,NB_p!$A$2:$G$25,6,FALSE),VLOOKUP($A25,NB_r!$A$2:$G$25,6,FALSE),J$20,TRUE)</f>
        <v>0.16623370402583992</v>
      </c>
      <c r="K25" s="14">
        <f t="shared" si="2"/>
        <v>0.15573770491803279</v>
      </c>
      <c r="L25" s="14">
        <f>1-_xlfn.BETA.DIST(VLOOKUP($A25,NB_p!$A$2:$G$25,6,FALSE),VLOOKUP($A25,NB_r!$A$2:$G$25,6,FALSE),L$20,TRUE)</f>
        <v>5.5801841028950139E-2</v>
      </c>
      <c r="M25" s="14">
        <f t="shared" si="2"/>
        <v>6.2841530054644809E-2</v>
      </c>
      <c r="N25" s="14">
        <f>1-_xlfn.BETA.DIST(VLOOKUP($A25,NB_p!$A$2:$G$25,6,FALSE),VLOOKUP($A25,NB_r!$A$2:$G$25,6,FALSE),N$20,TRUE)</f>
        <v>1.5102105598656879E-2</v>
      </c>
      <c r="O25" s="17">
        <f t="shared" si="2"/>
        <v>1.092896174863388E-2</v>
      </c>
    </row>
    <row r="26" spans="1:25" x14ac:dyDescent="0.3">
      <c r="A26" s="12">
        <v>14</v>
      </c>
      <c r="B26" s="14">
        <f>1-_xlfn.BETA.DIST(VLOOKUP($A26,NB_p!$A$2:$G$25,6,FALSE),VLOOKUP($A26,NB_r!$A$2:$G$25,6,FALSE),B$20,TRUE)</f>
        <v>0.99419981036837823</v>
      </c>
      <c r="C26" s="14">
        <f t="shared" si="2"/>
        <v>0.99453551912568305</v>
      </c>
      <c r="D26" s="14">
        <f>1-_xlfn.BETA.DIST(VLOOKUP($A26,NB_p!$A$2:$G$25,6,FALSE),VLOOKUP($A26,NB_r!$A$2:$G$25,6,FALSE),D$20,TRUE)</f>
        <v>0.92871957385036452</v>
      </c>
      <c r="E26" s="14">
        <f t="shared" si="2"/>
        <v>0.93715846994535523</v>
      </c>
      <c r="F26" s="14">
        <f>1-_xlfn.BETA.DIST(VLOOKUP($A26,NB_p!$A$2:$G$25,6,FALSE),VLOOKUP($A26,NB_r!$A$2:$G$25,6,FALSE),F$20,TRUE)</f>
        <v>0.71255581627720255</v>
      </c>
      <c r="G26" s="14">
        <f t="shared" si="2"/>
        <v>0.71857923497267762</v>
      </c>
      <c r="H26" s="14">
        <f>1-_xlfn.BETA.DIST(VLOOKUP($A26,NB_p!$A$2:$G$25,6,FALSE),VLOOKUP($A26,NB_r!$A$2:$G$25,6,FALSE),H$20,TRUE)</f>
        <v>0.40437467895882584</v>
      </c>
      <c r="I26" s="14">
        <f t="shared" si="2"/>
        <v>0.39890710382513661</v>
      </c>
      <c r="J26" s="14">
        <f>1-_xlfn.BETA.DIST(VLOOKUP($A26,NB_p!$A$2:$G$25,6,FALSE),VLOOKUP($A26,NB_r!$A$2:$G$25,6,FALSE),J$20,TRUE)</f>
        <v>0.16611923161862086</v>
      </c>
      <c r="K26" s="14">
        <f t="shared" si="2"/>
        <v>0.1448087431693989</v>
      </c>
      <c r="L26" s="14">
        <f>1-_xlfn.BETA.DIST(VLOOKUP($A26,NB_p!$A$2:$G$25,6,FALSE),VLOOKUP($A26,NB_r!$A$2:$G$25,6,FALSE),L$20,TRUE)</f>
        <v>5.0628694091915616E-2</v>
      </c>
      <c r="M26" s="14">
        <f t="shared" si="2"/>
        <v>5.4644808743169397E-2</v>
      </c>
      <c r="N26" s="14">
        <f>1-_xlfn.BETA.DIST(VLOOKUP($A26,NB_p!$A$2:$G$25,6,FALSE),VLOOKUP($A26,NB_r!$A$2:$G$25,6,FALSE),N$20,TRUE)</f>
        <v>1.1880398455420327E-2</v>
      </c>
      <c r="O26" s="17">
        <f t="shared" si="2"/>
        <v>1.092896174863388E-2</v>
      </c>
    </row>
    <row r="27" spans="1:25" x14ac:dyDescent="0.3">
      <c r="A27" s="12">
        <v>15</v>
      </c>
      <c r="B27" s="14">
        <f>1-_xlfn.BETA.DIST(VLOOKUP($A27,NB_p!$A$2:$G$25,6,FALSE),VLOOKUP($A27,NB_r!$A$2:$G$25,6,FALSE),B$20,TRUE)</f>
        <v>0.99370014980528143</v>
      </c>
      <c r="C27" s="14">
        <f t="shared" si="2"/>
        <v>0.98633879781420764</v>
      </c>
      <c r="D27" s="14">
        <f>1-_xlfn.BETA.DIST(VLOOKUP($A27,NB_p!$A$2:$G$25,6,FALSE),VLOOKUP($A27,NB_r!$A$2:$G$25,6,FALSE),D$20,TRUE)</f>
        <v>0.9340191918441082</v>
      </c>
      <c r="E27" s="14">
        <f t="shared" si="2"/>
        <v>0.92622950819672134</v>
      </c>
      <c r="F27" s="14">
        <f>1-_xlfn.BETA.DIST(VLOOKUP($A27,NB_p!$A$2:$G$25,6,FALSE),VLOOKUP($A27,NB_r!$A$2:$G$25,6,FALSE),F$20,TRUE)</f>
        <v>0.74813278147897799</v>
      </c>
      <c r="G27" s="14">
        <f t="shared" si="2"/>
        <v>0.75136612021857918</v>
      </c>
      <c r="H27" s="14">
        <f>1-_xlfn.BETA.DIST(VLOOKUP($A27,NB_p!$A$2:$G$25,6,FALSE),VLOOKUP($A27,NB_r!$A$2:$G$25,6,FALSE),H$20,TRUE)</f>
        <v>0.47253641170321825</v>
      </c>
      <c r="I27" s="14">
        <f t="shared" si="2"/>
        <v>0.5</v>
      </c>
      <c r="J27" s="14">
        <f>1-_xlfn.BETA.DIST(VLOOKUP($A27,NB_p!$A$2:$G$25,6,FALSE),VLOOKUP($A27,NB_r!$A$2:$G$25,6,FALSE),J$20,TRUE)</f>
        <v>0.23162656673944104</v>
      </c>
      <c r="K27" s="14">
        <f t="shared" si="2"/>
        <v>0.21857923497267759</v>
      </c>
      <c r="L27" s="14">
        <f>1-_xlfn.BETA.DIST(VLOOKUP($A27,NB_p!$A$2:$G$25,6,FALSE),VLOOKUP($A27,NB_r!$A$2:$G$25,6,FALSE),L$20,TRUE)</f>
        <v>8.9788463758432746E-2</v>
      </c>
      <c r="M27" s="14">
        <f t="shared" si="2"/>
        <v>8.1967213114754092E-2</v>
      </c>
      <c r="N27" s="14">
        <f>1-_xlfn.BETA.DIST(VLOOKUP($A27,NB_p!$A$2:$G$25,6,FALSE),VLOOKUP($A27,NB_r!$A$2:$G$25,6,FALSE),N$20,TRUE)</f>
        <v>2.8334515223739976E-2</v>
      </c>
      <c r="O27" s="17">
        <f t="shared" si="2"/>
        <v>2.185792349726776E-2</v>
      </c>
    </row>
    <row r="28" spans="1:25" x14ac:dyDescent="0.3">
      <c r="A28" s="12">
        <v>16</v>
      </c>
      <c r="B28" s="14">
        <f>1-_xlfn.BETA.DIST(VLOOKUP($A28,NB_p!$A$2:$G$25,6,FALSE),VLOOKUP($A28,NB_r!$A$2:$G$25,6,FALSE),B$20,TRUE)</f>
        <v>0.98976296770252892</v>
      </c>
      <c r="C28" s="14">
        <f t="shared" si="2"/>
        <v>0.98907103825136611</v>
      </c>
      <c r="D28" s="14">
        <f>1-_xlfn.BETA.DIST(VLOOKUP($A28,NB_p!$A$2:$G$25,6,FALSE),VLOOKUP($A28,NB_r!$A$2:$G$25,6,FALSE),D$20,TRUE)</f>
        <v>0.92143499859455469</v>
      </c>
      <c r="E28" s="14">
        <f t="shared" si="2"/>
        <v>0.93442622950819676</v>
      </c>
      <c r="F28" s="14">
        <f>1-_xlfn.BETA.DIST(VLOOKUP($A28,NB_p!$A$2:$G$25,6,FALSE),VLOOKUP($A28,NB_r!$A$2:$G$25,6,FALSE),F$20,TRUE)</f>
        <v>0.74520511307438153</v>
      </c>
      <c r="G28" s="14">
        <f t="shared" si="2"/>
        <v>0.7404371584699454</v>
      </c>
      <c r="H28" s="14">
        <f>1-_xlfn.BETA.DIST(VLOOKUP($A28,NB_p!$A$2:$G$25,6,FALSE),VLOOKUP($A28,NB_r!$A$2:$G$25,6,FALSE),H$20,TRUE)</f>
        <v>0.50020324598137811</v>
      </c>
      <c r="I28" s="14">
        <f t="shared" si="2"/>
        <v>0.50273224043715847</v>
      </c>
      <c r="J28" s="14">
        <f>1-_xlfn.BETA.DIST(VLOOKUP($A28,NB_p!$A$2:$G$25,6,FALSE),VLOOKUP($A28,NB_r!$A$2:$G$25,6,FALSE),J$20,TRUE)</f>
        <v>0.27780307673030591</v>
      </c>
      <c r="K28" s="14">
        <f t="shared" si="2"/>
        <v>0.29781420765027322</v>
      </c>
      <c r="L28" s="14">
        <f>1-_xlfn.BETA.DIST(VLOOKUP($A28,NB_p!$A$2:$G$25,6,FALSE),VLOOKUP($A28,NB_r!$A$2:$G$25,6,FALSE),L$20,TRUE)</f>
        <v>0.12991832181373775</v>
      </c>
      <c r="M28" s="14">
        <f t="shared" si="2"/>
        <v>0.13387978142076504</v>
      </c>
      <c r="N28" s="14">
        <f>1-_xlfn.BETA.DIST(VLOOKUP($A28,NB_p!$A$2:$G$25,6,FALSE),VLOOKUP($A28,NB_r!$A$2:$G$25,6,FALSE),N$20,TRUE)</f>
        <v>5.2332967062408864E-2</v>
      </c>
      <c r="O28" s="17">
        <f t="shared" si="2"/>
        <v>4.0983606557377046E-2</v>
      </c>
    </row>
    <row r="29" spans="1:25" x14ac:dyDescent="0.3">
      <c r="A29" s="12">
        <v>17</v>
      </c>
      <c r="B29" s="14">
        <f>1-_xlfn.BETA.DIST(VLOOKUP($A29,NB_p!$A$2:$G$25,6,FALSE),VLOOKUP($A29,NB_r!$A$2:$G$25,6,FALSE),B$20,TRUE)</f>
        <v>0.98839808952185382</v>
      </c>
      <c r="C29" s="14">
        <f t="shared" si="2"/>
        <v>0.99180327868852458</v>
      </c>
      <c r="D29" s="14">
        <f>1-_xlfn.BETA.DIST(VLOOKUP($A29,NB_p!$A$2:$G$25,6,FALSE),VLOOKUP($A29,NB_r!$A$2:$G$25,6,FALSE),D$20,TRUE)</f>
        <v>0.92003283411755332</v>
      </c>
      <c r="E29" s="14">
        <f t="shared" si="2"/>
        <v>0.91803278688524592</v>
      </c>
      <c r="F29" s="14">
        <f>1-_xlfn.BETA.DIST(VLOOKUP($A29,NB_p!$A$2:$G$25,6,FALSE),VLOOKUP($A29,NB_r!$A$2:$G$25,6,FALSE),F$20,TRUE)</f>
        <v>0.75349038837891846</v>
      </c>
      <c r="G29" s="14">
        <f t="shared" si="2"/>
        <v>0.74590163934426235</v>
      </c>
      <c r="H29" s="14">
        <f>1-_xlfn.BETA.DIST(VLOOKUP($A29,NB_p!$A$2:$G$25,6,FALSE),VLOOKUP($A29,NB_r!$A$2:$G$25,6,FALSE),H$20,TRUE)</f>
        <v>0.52382428196970054</v>
      </c>
      <c r="I29" s="14">
        <f t="shared" si="2"/>
        <v>0.55464480874316935</v>
      </c>
      <c r="J29" s="14">
        <f>1-_xlfn.BETA.DIST(VLOOKUP($A29,NB_p!$A$2:$G$25,6,FALSE),VLOOKUP($A29,NB_r!$A$2:$G$25,6,FALSE),J$20,TRUE)</f>
        <v>0.30889345014850988</v>
      </c>
      <c r="K29" s="14">
        <f t="shared" si="2"/>
        <v>0.33060109289617484</v>
      </c>
      <c r="L29" s="14">
        <f>1-_xlfn.BETA.DIST(VLOOKUP($A29,NB_p!$A$2:$G$25,6,FALSE),VLOOKUP($A29,NB_r!$A$2:$G$25,6,FALSE),L$20,TRUE)</f>
        <v>0.156958878583214</v>
      </c>
      <c r="M29" s="14">
        <f t="shared" si="2"/>
        <v>0.15846994535519127</v>
      </c>
      <c r="N29" s="14">
        <f>1-_xlfn.BETA.DIST(VLOOKUP($A29,NB_p!$A$2:$G$25,6,FALSE),VLOOKUP($A29,NB_r!$A$2:$G$25,6,FALSE),N$20,TRUE)</f>
        <v>7.0090854894080845E-2</v>
      </c>
      <c r="O29" s="17">
        <f t="shared" si="2"/>
        <v>5.737704918032787E-2</v>
      </c>
    </row>
    <row r="30" spans="1:25" x14ac:dyDescent="0.3">
      <c r="A30" s="15">
        <v>18</v>
      </c>
      <c r="B30" s="16">
        <f>1-_xlfn.BETA.DIST(VLOOKUP($A30,NB_p!$A$2:$G$25,6,FALSE),VLOOKUP($A30,NB_r!$A$2:$G$25,6,FALSE),B$20,TRUE)</f>
        <v>0.9596646592545004</v>
      </c>
      <c r="C30" s="16">
        <f t="shared" si="2"/>
        <v>0.98360655737704916</v>
      </c>
      <c r="D30" s="16">
        <f>1-_xlfn.BETA.DIST(VLOOKUP($A30,NB_p!$A$2:$G$25,6,FALSE),VLOOKUP($A30,NB_r!$A$2:$G$25,6,FALSE),D$20,TRUE)</f>
        <v>0.81755719939205396</v>
      </c>
      <c r="E30" s="16">
        <f t="shared" si="2"/>
        <v>0.85245901639344257</v>
      </c>
      <c r="F30" s="16">
        <f>1-_xlfn.BETA.DIST(VLOOKUP($A30,NB_p!$A$2:$G$25,6,FALSE),VLOOKUP($A30,NB_r!$A$2:$G$25,6,FALSE),F$20,TRUE)</f>
        <v>0.58352152860731965</v>
      </c>
      <c r="G30" s="16">
        <f t="shared" si="2"/>
        <v>0.5901639344262295</v>
      </c>
      <c r="H30" s="16">
        <f>1-_xlfn.BETA.DIST(VLOOKUP($A30,NB_p!$A$2:$G$25,6,FALSE),VLOOKUP($A30,NB_r!$A$2:$G$25,6,FALSE),H$20,TRUE)</f>
        <v>0.34787774385048287</v>
      </c>
      <c r="I30" s="16">
        <f t="shared" si="2"/>
        <v>0.30327868852459017</v>
      </c>
      <c r="J30" s="16">
        <f>1-_xlfn.BETA.DIST(VLOOKUP($A30,NB_p!$A$2:$G$25,6,FALSE),VLOOKUP($A30,NB_r!$A$2:$G$25,6,FALSE),J$20,TRUE)</f>
        <v>0.1769250362762862</v>
      </c>
      <c r="K30" s="16">
        <f t="shared" si="2"/>
        <v>0.13387978142076504</v>
      </c>
      <c r="L30" s="16">
        <f>1-_xlfn.BETA.DIST(VLOOKUP($A30,NB_p!$A$2:$G$25,6,FALSE),VLOOKUP($A30,NB_r!$A$2:$G$25,6,FALSE),L$20,TRUE)</f>
        <v>7.8722209176653735E-2</v>
      </c>
      <c r="M30" s="16">
        <f t="shared" si="2"/>
        <v>6.5573770491803282E-2</v>
      </c>
      <c r="N30" s="16">
        <f>1-_xlfn.BETA.DIST(VLOOKUP($A30,NB_p!$A$2:$G$25,6,FALSE),VLOOKUP($A30,NB_r!$A$2:$G$25,6,FALSE),N$20,TRUE)</f>
        <v>3.1340933496563972E-2</v>
      </c>
      <c r="O30" s="18">
        <f t="shared" si="2"/>
        <v>2.4590163934426229E-2</v>
      </c>
    </row>
    <row r="32" spans="1:25" x14ac:dyDescent="0.3">
      <c r="A32" s="1" t="s">
        <v>7</v>
      </c>
      <c r="B32" s="1">
        <v>0</v>
      </c>
      <c r="C32" s="1">
        <v>1</v>
      </c>
      <c r="D32" s="1">
        <v>2</v>
      </c>
      <c r="E32" s="1">
        <v>3</v>
      </c>
      <c r="F32" s="1">
        <v>4</v>
      </c>
      <c r="G32" s="1">
        <v>5</v>
      </c>
      <c r="H32" s="1">
        <v>6</v>
      </c>
      <c r="I32" s="1">
        <v>7</v>
      </c>
      <c r="J32" s="1">
        <v>8</v>
      </c>
      <c r="K32" s="1">
        <v>9</v>
      </c>
      <c r="L32" s="1">
        <v>10</v>
      </c>
      <c r="M32" s="1">
        <v>11</v>
      </c>
      <c r="N32" s="1">
        <v>12</v>
      </c>
      <c r="O32" s="1">
        <v>13</v>
      </c>
      <c r="P32" s="1">
        <v>14</v>
      </c>
      <c r="Q32" s="1">
        <v>15</v>
      </c>
      <c r="R32" s="1">
        <v>16</v>
      </c>
      <c r="S32" s="1">
        <v>17</v>
      </c>
      <c r="T32" s="1">
        <v>18</v>
      </c>
      <c r="U32" s="1">
        <v>19</v>
      </c>
      <c r="V32" s="1">
        <v>20</v>
      </c>
      <c r="W32" s="1">
        <v>21</v>
      </c>
      <c r="X32" s="1">
        <v>22</v>
      </c>
      <c r="Y32" s="1">
        <v>23</v>
      </c>
    </row>
    <row r="33" spans="1:25" x14ac:dyDescent="0.3">
      <c r="A33" s="2">
        <v>42370</v>
      </c>
      <c r="B33" s="1">
        <v>19</v>
      </c>
      <c r="C33" s="1">
        <v>11</v>
      </c>
      <c r="D33" s="1">
        <v>13</v>
      </c>
      <c r="E33" s="1">
        <v>6</v>
      </c>
      <c r="F33" s="1">
        <v>3</v>
      </c>
      <c r="G33" s="1">
        <v>4</v>
      </c>
      <c r="H33" s="1">
        <v>5</v>
      </c>
      <c r="I33" s="1">
        <v>8</v>
      </c>
      <c r="J33" s="1">
        <v>9</v>
      </c>
      <c r="K33" s="1">
        <v>7</v>
      </c>
      <c r="L33" s="1">
        <v>14</v>
      </c>
      <c r="M33" s="1">
        <v>15</v>
      </c>
      <c r="N33" s="1">
        <v>10</v>
      </c>
      <c r="O33" s="1">
        <v>16</v>
      </c>
      <c r="P33" s="1">
        <v>15</v>
      </c>
      <c r="Q33" s="1">
        <v>11</v>
      </c>
      <c r="R33" s="1">
        <v>8</v>
      </c>
      <c r="S33" s="1">
        <v>20</v>
      </c>
      <c r="T33" s="1">
        <v>13</v>
      </c>
      <c r="U33" s="1">
        <v>15</v>
      </c>
      <c r="V33" s="1">
        <v>10</v>
      </c>
      <c r="W33" s="1">
        <v>9</v>
      </c>
      <c r="X33" s="1">
        <v>10</v>
      </c>
      <c r="Y33" s="1">
        <v>11</v>
      </c>
    </row>
    <row r="34" spans="1:25" x14ac:dyDescent="0.3">
      <c r="A34" s="2">
        <v>42371</v>
      </c>
      <c r="B34" s="1">
        <v>6</v>
      </c>
      <c r="C34" s="1">
        <v>6</v>
      </c>
      <c r="D34" s="1">
        <v>11</v>
      </c>
      <c r="E34" s="1">
        <v>3</v>
      </c>
      <c r="F34" s="1">
        <v>4</v>
      </c>
      <c r="G34" s="1">
        <v>7</v>
      </c>
      <c r="H34" s="1">
        <v>5</v>
      </c>
      <c r="I34" s="1">
        <v>13</v>
      </c>
      <c r="J34" s="1">
        <v>9</v>
      </c>
      <c r="K34" s="1">
        <v>11</v>
      </c>
      <c r="L34" s="1">
        <v>17</v>
      </c>
      <c r="M34" s="1">
        <v>20</v>
      </c>
      <c r="N34" s="1">
        <v>23</v>
      </c>
      <c r="O34" s="1">
        <v>21</v>
      </c>
      <c r="P34" s="1">
        <v>19</v>
      </c>
      <c r="Q34" s="1">
        <v>20</v>
      </c>
      <c r="R34" s="1">
        <v>20</v>
      </c>
      <c r="S34" s="1">
        <v>24</v>
      </c>
      <c r="T34" s="1">
        <v>27</v>
      </c>
      <c r="U34" s="1">
        <v>21</v>
      </c>
      <c r="V34" s="1">
        <v>14</v>
      </c>
      <c r="W34" s="1">
        <v>12</v>
      </c>
      <c r="X34" s="1">
        <v>11</v>
      </c>
      <c r="Y34" s="1">
        <v>10</v>
      </c>
    </row>
    <row r="35" spans="1:25" x14ac:dyDescent="0.3">
      <c r="A35" s="2">
        <v>42372</v>
      </c>
      <c r="B35" s="1">
        <v>6</v>
      </c>
      <c r="C35" s="1">
        <v>3</v>
      </c>
      <c r="D35" s="1">
        <v>6</v>
      </c>
      <c r="E35" s="1">
        <v>8</v>
      </c>
      <c r="F35" s="1">
        <v>10</v>
      </c>
      <c r="G35" s="1">
        <v>7</v>
      </c>
      <c r="H35" s="1">
        <v>5</v>
      </c>
      <c r="I35" s="1">
        <v>8</v>
      </c>
      <c r="J35" s="1">
        <v>8</v>
      </c>
      <c r="K35" s="1">
        <v>21</v>
      </c>
      <c r="L35" s="1">
        <v>6</v>
      </c>
      <c r="M35" s="1">
        <v>18</v>
      </c>
      <c r="N35" s="1">
        <v>20</v>
      </c>
      <c r="O35" s="1">
        <v>27</v>
      </c>
      <c r="P35" s="1">
        <v>14</v>
      </c>
      <c r="Q35" s="1">
        <v>23</v>
      </c>
      <c r="R35" s="1">
        <v>24</v>
      </c>
      <c r="S35" s="1">
        <v>27</v>
      </c>
      <c r="T35" s="1">
        <v>23</v>
      </c>
      <c r="U35" s="1">
        <v>12</v>
      </c>
      <c r="V35" s="1">
        <v>16</v>
      </c>
      <c r="W35" s="1">
        <v>16</v>
      </c>
      <c r="X35" s="1">
        <v>10</v>
      </c>
      <c r="Y35" s="1">
        <v>4</v>
      </c>
    </row>
    <row r="36" spans="1:25" x14ac:dyDescent="0.3">
      <c r="A36" s="2">
        <v>42373</v>
      </c>
      <c r="B36" s="1">
        <v>11</v>
      </c>
      <c r="C36" s="1">
        <v>8</v>
      </c>
      <c r="D36" s="1">
        <v>5</v>
      </c>
      <c r="E36" s="1">
        <v>3</v>
      </c>
      <c r="F36" s="1">
        <v>4</v>
      </c>
      <c r="G36" s="1">
        <v>6</v>
      </c>
      <c r="H36" s="1">
        <v>12</v>
      </c>
      <c r="I36" s="1">
        <v>19</v>
      </c>
      <c r="J36" s="1">
        <v>21</v>
      </c>
      <c r="K36" s="1">
        <v>12</v>
      </c>
      <c r="L36" s="1">
        <v>18</v>
      </c>
      <c r="M36" s="1">
        <v>19</v>
      </c>
      <c r="N36" s="1">
        <v>21</v>
      </c>
      <c r="O36" s="1">
        <v>22</v>
      </c>
      <c r="P36" s="1">
        <v>24</v>
      </c>
      <c r="Q36" s="1">
        <v>27</v>
      </c>
      <c r="R36" s="1">
        <v>31</v>
      </c>
      <c r="S36" s="1">
        <v>29</v>
      </c>
      <c r="T36" s="1">
        <v>29</v>
      </c>
      <c r="U36" s="1">
        <v>21</v>
      </c>
      <c r="V36" s="1">
        <v>16</v>
      </c>
      <c r="W36" s="1">
        <v>10</v>
      </c>
      <c r="X36" s="1">
        <v>21</v>
      </c>
      <c r="Y36" s="1">
        <v>12</v>
      </c>
    </row>
    <row r="37" spans="1:25" x14ac:dyDescent="0.3">
      <c r="A37" s="2">
        <v>42374</v>
      </c>
      <c r="B37" s="1">
        <v>9</v>
      </c>
      <c r="C37" s="1">
        <v>6</v>
      </c>
      <c r="D37" s="1">
        <v>10</v>
      </c>
      <c r="E37" s="1">
        <v>4</v>
      </c>
      <c r="F37" s="1">
        <v>5</v>
      </c>
      <c r="G37" s="1">
        <v>12</v>
      </c>
      <c r="H37" s="1">
        <v>14</v>
      </c>
      <c r="I37" s="1">
        <v>30</v>
      </c>
      <c r="J37" s="1">
        <v>32</v>
      </c>
      <c r="K37" s="1">
        <v>31</v>
      </c>
      <c r="L37" s="1">
        <v>19</v>
      </c>
      <c r="M37" s="1">
        <v>20</v>
      </c>
      <c r="N37" s="1">
        <v>37</v>
      </c>
      <c r="O37" s="1">
        <v>37</v>
      </c>
      <c r="P37" s="1">
        <v>27</v>
      </c>
      <c r="Q37" s="1">
        <v>9</v>
      </c>
      <c r="R37" s="1">
        <v>19</v>
      </c>
      <c r="S37" s="1">
        <v>35</v>
      </c>
      <c r="T37" s="1">
        <v>22</v>
      </c>
      <c r="U37" s="1">
        <v>14</v>
      </c>
      <c r="V37" s="1">
        <v>22</v>
      </c>
      <c r="W37" s="1">
        <v>15</v>
      </c>
      <c r="X37" s="1">
        <v>11</v>
      </c>
      <c r="Y37" s="1">
        <v>5</v>
      </c>
    </row>
    <row r="38" spans="1:25" x14ac:dyDescent="0.3">
      <c r="A38" s="2">
        <v>42375</v>
      </c>
      <c r="B38" s="1">
        <v>5</v>
      </c>
      <c r="C38" s="1">
        <v>4</v>
      </c>
      <c r="D38" s="1">
        <v>6</v>
      </c>
      <c r="E38" s="1">
        <v>8</v>
      </c>
      <c r="F38" s="1">
        <v>5</v>
      </c>
      <c r="G38" s="1">
        <v>5</v>
      </c>
      <c r="H38" s="1">
        <v>10</v>
      </c>
      <c r="I38" s="1">
        <v>29</v>
      </c>
      <c r="J38" s="1">
        <v>24</v>
      </c>
      <c r="K38" s="1">
        <v>31</v>
      </c>
      <c r="L38" s="1">
        <v>22</v>
      </c>
      <c r="M38" s="1">
        <v>17</v>
      </c>
      <c r="N38" s="1">
        <v>30</v>
      </c>
      <c r="O38" s="1">
        <v>27</v>
      </c>
      <c r="P38" s="1">
        <v>26</v>
      </c>
      <c r="Q38" s="1">
        <v>29</v>
      </c>
      <c r="R38" s="1">
        <v>22</v>
      </c>
      <c r="S38" s="1">
        <v>45</v>
      </c>
      <c r="T38" s="1">
        <v>25</v>
      </c>
      <c r="U38" s="1">
        <v>25</v>
      </c>
      <c r="V38" s="1">
        <v>10</v>
      </c>
      <c r="W38" s="1">
        <v>9</v>
      </c>
      <c r="X38" s="1">
        <v>8</v>
      </c>
      <c r="Y38" s="1">
        <v>8</v>
      </c>
    </row>
    <row r="39" spans="1:25" x14ac:dyDescent="0.3">
      <c r="A39" s="2">
        <v>42376</v>
      </c>
      <c r="B39" s="1">
        <v>10</v>
      </c>
      <c r="C39" s="1">
        <v>7</v>
      </c>
      <c r="D39" s="1">
        <v>8</v>
      </c>
      <c r="E39" s="1">
        <v>1</v>
      </c>
      <c r="F39" s="1">
        <v>4</v>
      </c>
      <c r="G39" s="1">
        <v>5</v>
      </c>
      <c r="H39" s="1">
        <v>6</v>
      </c>
      <c r="I39" s="1">
        <v>9</v>
      </c>
      <c r="J39" s="1">
        <v>16</v>
      </c>
      <c r="K39" s="1">
        <v>26</v>
      </c>
      <c r="L39" s="1">
        <v>18</v>
      </c>
      <c r="M39" s="1">
        <v>22</v>
      </c>
      <c r="N39" s="1">
        <v>32</v>
      </c>
      <c r="O39" s="1">
        <v>21</v>
      </c>
      <c r="P39" s="1">
        <v>24</v>
      </c>
      <c r="Q39" s="1">
        <v>22</v>
      </c>
      <c r="R39" s="1">
        <v>24</v>
      </c>
      <c r="S39" s="1">
        <v>36</v>
      </c>
      <c r="T39" s="1">
        <v>28</v>
      </c>
      <c r="U39" s="1">
        <v>24</v>
      </c>
      <c r="V39" s="1">
        <v>13</v>
      </c>
      <c r="W39" s="1">
        <v>12</v>
      </c>
      <c r="X39" s="1">
        <v>10</v>
      </c>
      <c r="Y39" s="1">
        <v>7</v>
      </c>
    </row>
    <row r="40" spans="1:25" x14ac:dyDescent="0.3">
      <c r="A40" s="2">
        <v>42377</v>
      </c>
      <c r="B40" s="1">
        <v>5</v>
      </c>
      <c r="C40" s="1">
        <v>3</v>
      </c>
      <c r="D40" s="1">
        <v>3</v>
      </c>
      <c r="E40" s="1">
        <v>7</v>
      </c>
      <c r="F40" s="1">
        <v>5</v>
      </c>
      <c r="G40" s="1">
        <v>6</v>
      </c>
      <c r="H40" s="1">
        <v>14</v>
      </c>
      <c r="I40" s="1">
        <v>18</v>
      </c>
      <c r="J40" s="1">
        <v>20</v>
      </c>
      <c r="K40" s="1">
        <v>24</v>
      </c>
      <c r="L40" s="1">
        <v>9</v>
      </c>
      <c r="M40" s="1">
        <v>26</v>
      </c>
      <c r="N40" s="1">
        <v>16</v>
      </c>
      <c r="O40" s="1">
        <v>20</v>
      </c>
      <c r="P40" s="1">
        <v>25</v>
      </c>
      <c r="Q40" s="1">
        <v>17</v>
      </c>
      <c r="R40" s="1">
        <v>21</v>
      </c>
      <c r="S40" s="1">
        <v>30</v>
      </c>
      <c r="T40" s="1">
        <v>28</v>
      </c>
      <c r="U40" s="1">
        <v>10</v>
      </c>
      <c r="V40" s="1">
        <v>9</v>
      </c>
      <c r="W40" s="1">
        <v>17</v>
      </c>
      <c r="X40" s="1">
        <v>17</v>
      </c>
      <c r="Y40" s="1">
        <v>9</v>
      </c>
    </row>
    <row r="41" spans="1:25" x14ac:dyDescent="0.3">
      <c r="A41" s="2">
        <v>42378</v>
      </c>
      <c r="B41" s="1">
        <v>3</v>
      </c>
      <c r="C41" s="1">
        <v>9</v>
      </c>
      <c r="D41" s="1">
        <v>6</v>
      </c>
      <c r="E41" s="1">
        <v>15</v>
      </c>
      <c r="F41" s="1">
        <v>3</v>
      </c>
      <c r="G41" s="1">
        <v>10</v>
      </c>
      <c r="H41" s="1">
        <v>11</v>
      </c>
      <c r="I41" s="1">
        <v>10</v>
      </c>
      <c r="J41" s="1">
        <v>13</v>
      </c>
      <c r="K41" s="1">
        <v>27</v>
      </c>
      <c r="L41" s="1">
        <v>25</v>
      </c>
      <c r="M41" s="1">
        <v>22</v>
      </c>
      <c r="N41" s="1">
        <v>20</v>
      </c>
      <c r="O41" s="1">
        <v>25</v>
      </c>
      <c r="P41" s="1">
        <v>16</v>
      </c>
      <c r="Q41" s="1">
        <v>19</v>
      </c>
      <c r="R41" s="1">
        <v>15</v>
      </c>
      <c r="S41" s="1">
        <v>13</v>
      </c>
      <c r="T41" s="1">
        <v>23</v>
      </c>
      <c r="U41" s="1">
        <v>24</v>
      </c>
      <c r="V41" s="1">
        <v>16</v>
      </c>
      <c r="W41" s="1">
        <v>18</v>
      </c>
      <c r="X41" s="1">
        <v>8</v>
      </c>
      <c r="Y41" s="1">
        <v>9</v>
      </c>
    </row>
    <row r="42" spans="1:25" x14ac:dyDescent="0.3">
      <c r="A42" s="2">
        <v>42379</v>
      </c>
      <c r="B42" s="1">
        <v>7</v>
      </c>
      <c r="C42" s="1">
        <v>10</v>
      </c>
      <c r="D42" s="1">
        <v>7</v>
      </c>
      <c r="E42" s="1">
        <v>8</v>
      </c>
      <c r="F42" s="1">
        <v>10</v>
      </c>
      <c r="G42" s="1">
        <v>9</v>
      </c>
      <c r="H42" s="1">
        <v>18</v>
      </c>
      <c r="I42" s="1">
        <v>10</v>
      </c>
      <c r="J42" s="1">
        <v>16</v>
      </c>
      <c r="K42" s="1">
        <v>32</v>
      </c>
      <c r="L42" s="1">
        <v>18</v>
      </c>
      <c r="M42" s="1">
        <v>22</v>
      </c>
      <c r="N42" s="1">
        <v>20</v>
      </c>
      <c r="O42" s="1">
        <v>19</v>
      </c>
      <c r="P42" s="1">
        <v>27</v>
      </c>
      <c r="Q42" s="1">
        <v>16</v>
      </c>
      <c r="R42" s="1">
        <v>18</v>
      </c>
      <c r="S42" s="1">
        <v>30</v>
      </c>
      <c r="T42" s="1">
        <v>42</v>
      </c>
      <c r="U42" s="1">
        <v>23</v>
      </c>
      <c r="V42" s="1">
        <v>14</v>
      </c>
      <c r="W42" s="1">
        <v>14</v>
      </c>
      <c r="X42" s="1">
        <v>8</v>
      </c>
      <c r="Y42" s="1">
        <v>3</v>
      </c>
    </row>
    <row r="43" spans="1:25" x14ac:dyDescent="0.3">
      <c r="A43" s="2">
        <v>42380</v>
      </c>
      <c r="B43" s="1">
        <v>12</v>
      </c>
      <c r="C43" s="1">
        <v>4</v>
      </c>
      <c r="D43" s="1">
        <v>6</v>
      </c>
      <c r="E43" s="1">
        <v>5</v>
      </c>
      <c r="F43" s="1">
        <v>8</v>
      </c>
      <c r="G43" s="1">
        <v>7</v>
      </c>
      <c r="H43" s="1">
        <v>15</v>
      </c>
      <c r="I43" s="1">
        <v>19</v>
      </c>
      <c r="J43" s="1">
        <v>40</v>
      </c>
      <c r="K43" s="1">
        <v>19</v>
      </c>
      <c r="L43" s="1">
        <v>27</v>
      </c>
      <c r="M43" s="1">
        <v>18</v>
      </c>
      <c r="N43" s="1">
        <v>22</v>
      </c>
      <c r="O43" s="1">
        <v>29</v>
      </c>
      <c r="P43" s="1">
        <v>24</v>
      </c>
      <c r="Q43" s="1">
        <v>28</v>
      </c>
      <c r="R43" s="1">
        <v>19</v>
      </c>
      <c r="S43" s="1">
        <v>23</v>
      </c>
      <c r="T43" s="1">
        <v>26</v>
      </c>
      <c r="U43" s="1">
        <v>19</v>
      </c>
      <c r="V43" s="1">
        <v>19</v>
      </c>
      <c r="W43" s="1">
        <v>11</v>
      </c>
      <c r="X43" s="1">
        <v>11</v>
      </c>
      <c r="Y43" s="1">
        <v>7</v>
      </c>
    </row>
    <row r="44" spans="1:25" x14ac:dyDescent="0.3">
      <c r="A44" s="2">
        <v>42381</v>
      </c>
      <c r="B44" s="1">
        <v>6</v>
      </c>
      <c r="C44" s="1">
        <v>1</v>
      </c>
      <c r="D44" s="1">
        <v>4</v>
      </c>
      <c r="E44" s="1">
        <v>1</v>
      </c>
      <c r="F44" s="1">
        <v>4</v>
      </c>
      <c r="G44" s="1">
        <v>7</v>
      </c>
      <c r="H44" s="1">
        <v>21</v>
      </c>
      <c r="I44" s="1">
        <v>17</v>
      </c>
      <c r="J44" s="1">
        <v>25</v>
      </c>
      <c r="K44" s="1">
        <v>16</v>
      </c>
      <c r="L44" s="1">
        <v>20</v>
      </c>
      <c r="M44" s="1">
        <v>25</v>
      </c>
      <c r="N44" s="1">
        <v>18</v>
      </c>
      <c r="O44" s="1">
        <v>35</v>
      </c>
      <c r="P44" s="1">
        <v>22</v>
      </c>
      <c r="Q44" s="1">
        <v>30</v>
      </c>
      <c r="R44" s="1">
        <v>30</v>
      </c>
      <c r="S44" s="1">
        <v>23</v>
      </c>
      <c r="T44" s="1">
        <v>17</v>
      </c>
      <c r="U44" s="1">
        <v>68</v>
      </c>
      <c r="V44" s="1">
        <v>77</v>
      </c>
      <c r="W44" s="1">
        <v>61</v>
      </c>
      <c r="X44" s="1">
        <v>33</v>
      </c>
      <c r="Y44" s="1">
        <v>21</v>
      </c>
    </row>
    <row r="45" spans="1:25" x14ac:dyDescent="0.3">
      <c r="A45" s="2">
        <v>42382</v>
      </c>
      <c r="B45" s="1">
        <v>12</v>
      </c>
      <c r="C45" s="1">
        <v>5</v>
      </c>
      <c r="D45" s="1">
        <v>8</v>
      </c>
      <c r="E45" s="1">
        <v>7</v>
      </c>
      <c r="F45" s="1">
        <v>6</v>
      </c>
      <c r="G45" s="1">
        <v>11</v>
      </c>
      <c r="H45" s="1">
        <v>14</v>
      </c>
      <c r="I45" s="1">
        <v>23</v>
      </c>
      <c r="J45" s="1">
        <v>50</v>
      </c>
      <c r="K45" s="1">
        <v>22</v>
      </c>
      <c r="L45" s="1">
        <v>12</v>
      </c>
      <c r="M45" s="1">
        <v>25</v>
      </c>
      <c r="N45" s="1">
        <v>23</v>
      </c>
      <c r="O45" s="1">
        <v>21</v>
      </c>
      <c r="P45" s="1">
        <v>37</v>
      </c>
      <c r="Q45" s="1">
        <v>23</v>
      </c>
      <c r="R45" s="1">
        <v>13</v>
      </c>
      <c r="S45" s="1">
        <v>28</v>
      </c>
      <c r="T45" s="1">
        <v>33</v>
      </c>
      <c r="U45" s="1">
        <v>24</v>
      </c>
      <c r="V45" s="1">
        <v>12</v>
      </c>
      <c r="W45" s="1">
        <v>9</v>
      </c>
      <c r="X45" s="1">
        <v>5</v>
      </c>
      <c r="Y45" s="1">
        <v>4</v>
      </c>
    </row>
    <row r="46" spans="1:25" x14ac:dyDescent="0.3">
      <c r="A46" s="2">
        <v>42383</v>
      </c>
      <c r="B46" s="1">
        <v>9</v>
      </c>
      <c r="C46" s="1">
        <v>9</v>
      </c>
      <c r="D46" s="1">
        <v>5</v>
      </c>
      <c r="E46" s="1">
        <v>7</v>
      </c>
      <c r="F46" s="1">
        <v>3</v>
      </c>
      <c r="G46" s="1">
        <v>2</v>
      </c>
      <c r="H46" s="1">
        <v>15</v>
      </c>
      <c r="I46" s="1">
        <v>18</v>
      </c>
      <c r="J46" s="1">
        <v>29</v>
      </c>
      <c r="K46" s="1">
        <v>19</v>
      </c>
      <c r="L46" s="1">
        <v>20</v>
      </c>
      <c r="M46" s="1">
        <v>24</v>
      </c>
      <c r="N46" s="1">
        <v>27</v>
      </c>
      <c r="O46" s="1">
        <v>18</v>
      </c>
      <c r="P46" s="1">
        <v>20</v>
      </c>
      <c r="Q46" s="1">
        <v>25</v>
      </c>
      <c r="R46" s="1">
        <v>17</v>
      </c>
      <c r="S46" s="1">
        <v>26</v>
      </c>
      <c r="T46" s="1">
        <v>34</v>
      </c>
      <c r="U46" s="1">
        <v>20</v>
      </c>
      <c r="V46" s="1">
        <v>11</v>
      </c>
      <c r="W46" s="1">
        <v>23</v>
      </c>
      <c r="X46" s="1">
        <v>7</v>
      </c>
      <c r="Y46" s="1">
        <v>12</v>
      </c>
    </row>
    <row r="47" spans="1:25" x14ac:dyDescent="0.3">
      <c r="A47" s="2">
        <v>42384</v>
      </c>
      <c r="B47" s="1">
        <v>4</v>
      </c>
      <c r="C47" s="1">
        <v>5</v>
      </c>
      <c r="D47" s="1">
        <v>9</v>
      </c>
      <c r="E47" s="1">
        <v>10</v>
      </c>
      <c r="F47" s="1">
        <v>8</v>
      </c>
      <c r="G47" s="1">
        <v>7</v>
      </c>
      <c r="H47" s="1">
        <v>12</v>
      </c>
      <c r="I47" s="1">
        <v>19</v>
      </c>
      <c r="J47" s="1">
        <v>30</v>
      </c>
      <c r="K47" s="1">
        <v>27</v>
      </c>
      <c r="L47" s="1">
        <v>18</v>
      </c>
      <c r="M47" s="1">
        <v>30</v>
      </c>
      <c r="N47" s="1">
        <v>24</v>
      </c>
      <c r="O47" s="1">
        <v>43</v>
      </c>
      <c r="P47" s="1">
        <v>34</v>
      </c>
      <c r="Q47" s="1">
        <v>28</v>
      </c>
      <c r="R47" s="1">
        <v>22</v>
      </c>
      <c r="S47" s="1">
        <v>30</v>
      </c>
      <c r="T47" s="1">
        <v>13</v>
      </c>
      <c r="U47" s="1">
        <v>12</v>
      </c>
      <c r="V47" s="1">
        <v>12</v>
      </c>
      <c r="W47" s="1">
        <v>8</v>
      </c>
      <c r="X47" s="1">
        <v>19</v>
      </c>
      <c r="Y47" s="1">
        <v>13</v>
      </c>
    </row>
    <row r="48" spans="1:25" x14ac:dyDescent="0.3">
      <c r="A48" s="2">
        <v>42385</v>
      </c>
      <c r="B48" s="1">
        <v>7</v>
      </c>
      <c r="C48" s="1">
        <v>5</v>
      </c>
      <c r="D48" s="1">
        <v>2</v>
      </c>
      <c r="E48" s="1">
        <v>9</v>
      </c>
      <c r="F48" s="1">
        <v>4</v>
      </c>
      <c r="G48" s="1">
        <v>7</v>
      </c>
      <c r="H48" s="1">
        <v>10</v>
      </c>
      <c r="I48" s="1">
        <v>5</v>
      </c>
      <c r="J48" s="1">
        <v>19</v>
      </c>
      <c r="K48" s="1">
        <v>15</v>
      </c>
      <c r="L48" s="1">
        <v>24</v>
      </c>
      <c r="M48" s="1">
        <v>26</v>
      </c>
      <c r="N48" s="1">
        <v>33</v>
      </c>
      <c r="O48" s="1">
        <v>19</v>
      </c>
      <c r="P48" s="1">
        <v>11</v>
      </c>
      <c r="Q48" s="1">
        <v>19</v>
      </c>
      <c r="R48" s="1">
        <v>17</v>
      </c>
      <c r="S48" s="1">
        <v>13</v>
      </c>
      <c r="T48" s="1">
        <v>16</v>
      </c>
      <c r="U48" s="1">
        <v>16</v>
      </c>
      <c r="V48" s="1">
        <v>14</v>
      </c>
      <c r="W48" s="1">
        <v>8</v>
      </c>
      <c r="X48" s="1">
        <v>15</v>
      </c>
      <c r="Y48" s="1">
        <v>9</v>
      </c>
    </row>
    <row r="49" spans="1:25" x14ac:dyDescent="0.3">
      <c r="A49" s="2">
        <v>42386</v>
      </c>
      <c r="B49" s="1">
        <v>8</v>
      </c>
      <c r="C49" s="1">
        <v>11</v>
      </c>
      <c r="D49" s="1">
        <v>8</v>
      </c>
      <c r="E49" s="1">
        <v>7</v>
      </c>
      <c r="F49" s="1">
        <v>7</v>
      </c>
      <c r="G49" s="1">
        <v>1</v>
      </c>
      <c r="H49" s="1">
        <v>9</v>
      </c>
      <c r="I49" s="1">
        <v>8</v>
      </c>
      <c r="J49" s="1">
        <v>7</v>
      </c>
      <c r="K49" s="1">
        <v>17</v>
      </c>
      <c r="L49" s="1">
        <v>22</v>
      </c>
      <c r="M49" s="1">
        <v>16</v>
      </c>
      <c r="N49" s="1">
        <v>17</v>
      </c>
      <c r="O49" s="1">
        <v>10</v>
      </c>
      <c r="P49" s="1">
        <v>18</v>
      </c>
      <c r="Q49" s="1">
        <v>11</v>
      </c>
      <c r="R49" s="1">
        <v>13</v>
      </c>
      <c r="S49" s="1">
        <v>15</v>
      </c>
      <c r="T49" s="1">
        <v>22</v>
      </c>
      <c r="U49" s="1">
        <v>11</v>
      </c>
      <c r="V49" s="1">
        <v>18</v>
      </c>
      <c r="W49" s="1">
        <v>12</v>
      </c>
      <c r="X49" s="1">
        <v>12</v>
      </c>
      <c r="Y49" s="1">
        <v>6</v>
      </c>
    </row>
    <row r="50" spans="1:25" x14ac:dyDescent="0.3">
      <c r="A50" s="2">
        <v>42387</v>
      </c>
      <c r="B50" s="1">
        <v>8</v>
      </c>
      <c r="C50" s="1">
        <v>6</v>
      </c>
      <c r="D50" s="1">
        <v>3</v>
      </c>
      <c r="E50" s="1">
        <v>6</v>
      </c>
      <c r="F50" s="1">
        <v>4</v>
      </c>
      <c r="G50" s="1">
        <v>6</v>
      </c>
      <c r="H50" s="1">
        <v>6</v>
      </c>
      <c r="I50" s="1">
        <v>11</v>
      </c>
      <c r="J50" s="1">
        <v>14</v>
      </c>
      <c r="K50" s="1">
        <v>22</v>
      </c>
      <c r="L50" s="1">
        <v>23</v>
      </c>
      <c r="M50" s="1">
        <v>34</v>
      </c>
      <c r="N50" s="1">
        <v>15</v>
      </c>
      <c r="O50" s="1">
        <v>19</v>
      </c>
      <c r="P50" s="1">
        <v>16</v>
      </c>
      <c r="Q50" s="1">
        <v>17</v>
      </c>
      <c r="R50" s="1">
        <v>18</v>
      </c>
      <c r="S50" s="1">
        <v>17</v>
      </c>
      <c r="T50" s="1">
        <v>26</v>
      </c>
      <c r="U50" s="1">
        <v>19</v>
      </c>
      <c r="V50" s="1">
        <v>10</v>
      </c>
      <c r="W50" s="1">
        <v>7</v>
      </c>
      <c r="X50" s="1">
        <v>11</v>
      </c>
      <c r="Y50" s="1">
        <v>12</v>
      </c>
    </row>
    <row r="51" spans="1:25" x14ac:dyDescent="0.3">
      <c r="A51" s="2">
        <v>42388</v>
      </c>
      <c r="B51" s="1">
        <v>4</v>
      </c>
      <c r="C51" s="1">
        <v>4</v>
      </c>
      <c r="D51" s="1">
        <v>6</v>
      </c>
      <c r="E51" s="1">
        <v>3</v>
      </c>
      <c r="F51" s="1">
        <v>4</v>
      </c>
      <c r="G51" s="1">
        <v>15</v>
      </c>
      <c r="H51" s="1">
        <v>12</v>
      </c>
      <c r="I51" s="1">
        <v>13</v>
      </c>
      <c r="J51" s="1">
        <v>34</v>
      </c>
      <c r="K51" s="1">
        <v>18</v>
      </c>
      <c r="L51" s="1">
        <v>31</v>
      </c>
      <c r="M51" s="1">
        <v>35</v>
      </c>
      <c r="N51" s="1">
        <v>25</v>
      </c>
      <c r="O51" s="1">
        <v>27</v>
      </c>
      <c r="P51" s="1">
        <v>21</v>
      </c>
      <c r="Q51" s="1">
        <v>23</v>
      </c>
      <c r="R51" s="1">
        <v>27</v>
      </c>
      <c r="S51" s="1">
        <v>16</v>
      </c>
      <c r="T51" s="1">
        <v>32</v>
      </c>
      <c r="U51" s="1">
        <v>19</v>
      </c>
      <c r="V51" s="1">
        <v>18</v>
      </c>
      <c r="W51" s="1">
        <v>20</v>
      </c>
      <c r="X51" s="1">
        <v>16</v>
      </c>
      <c r="Y51" s="1">
        <v>8</v>
      </c>
    </row>
    <row r="52" spans="1:25" x14ac:dyDescent="0.3">
      <c r="A52" s="2">
        <v>42389</v>
      </c>
      <c r="B52" s="1">
        <v>7</v>
      </c>
      <c r="C52" s="1">
        <v>6</v>
      </c>
      <c r="D52" s="1">
        <v>4</v>
      </c>
      <c r="E52" s="1">
        <v>4</v>
      </c>
      <c r="F52" s="1">
        <v>4</v>
      </c>
      <c r="G52" s="1">
        <v>3</v>
      </c>
      <c r="H52" s="1">
        <v>16</v>
      </c>
      <c r="I52" s="1">
        <v>20</v>
      </c>
      <c r="J52" s="1">
        <v>32</v>
      </c>
      <c r="K52" s="1">
        <v>27</v>
      </c>
      <c r="L52" s="1">
        <v>16</v>
      </c>
      <c r="M52" s="1">
        <v>29</v>
      </c>
      <c r="N52" s="1">
        <v>16</v>
      </c>
      <c r="O52" s="1">
        <v>19</v>
      </c>
      <c r="P52" s="1">
        <v>24</v>
      </c>
      <c r="Q52" s="1">
        <v>14</v>
      </c>
      <c r="R52" s="1">
        <v>19</v>
      </c>
      <c r="S52" s="1">
        <v>32</v>
      </c>
      <c r="T52" s="1">
        <v>27</v>
      </c>
      <c r="U52" s="1">
        <v>26</v>
      </c>
      <c r="V52" s="1">
        <v>17</v>
      </c>
      <c r="W52" s="1">
        <v>17</v>
      </c>
      <c r="X52" s="1">
        <v>8</v>
      </c>
      <c r="Y52" s="1">
        <v>7</v>
      </c>
    </row>
    <row r="53" spans="1:25" x14ac:dyDescent="0.3">
      <c r="A53" s="2">
        <v>42390</v>
      </c>
      <c r="B53" s="1">
        <v>6</v>
      </c>
      <c r="C53" s="1">
        <v>4</v>
      </c>
      <c r="D53" s="1">
        <v>8</v>
      </c>
      <c r="E53" s="1">
        <v>3</v>
      </c>
      <c r="F53" s="1">
        <v>2</v>
      </c>
      <c r="G53" s="1">
        <v>4</v>
      </c>
      <c r="H53" s="1">
        <v>8</v>
      </c>
      <c r="I53" s="1">
        <v>15</v>
      </c>
      <c r="J53" s="1">
        <v>20</v>
      </c>
      <c r="K53" s="1">
        <v>21</v>
      </c>
      <c r="L53" s="1">
        <v>18</v>
      </c>
      <c r="M53" s="1">
        <v>17</v>
      </c>
      <c r="N53" s="1">
        <v>15</v>
      </c>
      <c r="O53" s="1">
        <v>15</v>
      </c>
      <c r="P53" s="1">
        <v>25</v>
      </c>
      <c r="Q53" s="1">
        <v>20</v>
      </c>
      <c r="R53" s="1">
        <v>25</v>
      </c>
      <c r="S53" s="1">
        <v>26</v>
      </c>
      <c r="T53" s="1">
        <v>27</v>
      </c>
      <c r="U53" s="1">
        <v>16</v>
      </c>
      <c r="V53" s="1">
        <v>17</v>
      </c>
      <c r="W53" s="1">
        <v>22</v>
      </c>
      <c r="X53" s="1">
        <v>13</v>
      </c>
      <c r="Y53" s="1">
        <v>18</v>
      </c>
    </row>
    <row r="54" spans="1:25" x14ac:dyDescent="0.3">
      <c r="A54" s="2">
        <v>42391</v>
      </c>
      <c r="B54" s="1">
        <v>3</v>
      </c>
      <c r="C54" s="1">
        <v>6</v>
      </c>
      <c r="D54" s="1">
        <v>4</v>
      </c>
      <c r="E54" s="1">
        <v>3</v>
      </c>
      <c r="F54" s="1">
        <v>10</v>
      </c>
      <c r="G54" s="1">
        <v>5</v>
      </c>
      <c r="H54" s="1">
        <v>15</v>
      </c>
      <c r="I54" s="1">
        <v>15</v>
      </c>
      <c r="J54" s="1">
        <v>19</v>
      </c>
      <c r="K54" s="1">
        <v>20</v>
      </c>
      <c r="L54" s="1">
        <v>24</v>
      </c>
      <c r="M54" s="1">
        <v>21</v>
      </c>
      <c r="N54" s="1">
        <v>22</v>
      </c>
      <c r="O54" s="1">
        <v>19</v>
      </c>
      <c r="P54" s="1">
        <v>26</v>
      </c>
      <c r="Q54" s="1">
        <v>28</v>
      </c>
      <c r="R54" s="1">
        <v>21</v>
      </c>
      <c r="S54" s="1">
        <v>38</v>
      </c>
      <c r="T54" s="1">
        <v>24</v>
      </c>
      <c r="U54" s="1">
        <v>33</v>
      </c>
      <c r="V54" s="1">
        <v>38</v>
      </c>
      <c r="W54" s="1">
        <v>38</v>
      </c>
      <c r="X54" s="1">
        <v>20</v>
      </c>
      <c r="Y54" s="1">
        <v>23</v>
      </c>
    </row>
    <row r="55" spans="1:25" x14ac:dyDescent="0.3">
      <c r="A55" s="2">
        <v>42392</v>
      </c>
      <c r="B55" s="1">
        <v>35</v>
      </c>
      <c r="C55" s="1">
        <v>20</v>
      </c>
      <c r="D55" s="1">
        <v>18</v>
      </c>
      <c r="E55" s="1">
        <v>20</v>
      </c>
      <c r="F55" s="1">
        <v>21</v>
      </c>
      <c r="G55" s="1">
        <v>18</v>
      </c>
      <c r="H55" s="1">
        <v>30</v>
      </c>
      <c r="I55" s="1">
        <v>51</v>
      </c>
      <c r="J55" s="1">
        <v>30</v>
      </c>
      <c r="K55" s="1">
        <v>37</v>
      </c>
      <c r="L55" s="1">
        <v>40</v>
      </c>
      <c r="M55" s="1">
        <v>47</v>
      </c>
      <c r="N55" s="1">
        <v>36</v>
      </c>
      <c r="O55" s="1">
        <v>43</v>
      </c>
      <c r="P55" s="1">
        <v>39</v>
      </c>
      <c r="Q55" s="1">
        <v>54</v>
      </c>
      <c r="R55" s="1">
        <v>67</v>
      </c>
      <c r="S55" s="1">
        <v>58</v>
      </c>
      <c r="T55" s="1">
        <v>53</v>
      </c>
      <c r="U55" s="1">
        <v>47</v>
      </c>
      <c r="V55" s="1">
        <v>42</v>
      </c>
      <c r="W55" s="1">
        <v>23</v>
      </c>
      <c r="X55" s="1">
        <v>29</v>
      </c>
      <c r="Y55" s="1">
        <v>29</v>
      </c>
    </row>
    <row r="56" spans="1:25" x14ac:dyDescent="0.3">
      <c r="A56" s="2">
        <v>42393</v>
      </c>
      <c r="B56" s="1">
        <v>19</v>
      </c>
      <c r="C56" s="1">
        <v>13</v>
      </c>
      <c r="D56" s="1">
        <v>11</v>
      </c>
      <c r="E56" s="1">
        <v>14</v>
      </c>
      <c r="F56" s="1">
        <v>14</v>
      </c>
      <c r="G56" s="1">
        <v>16</v>
      </c>
      <c r="H56" s="1">
        <v>20</v>
      </c>
      <c r="I56" s="1">
        <v>34</v>
      </c>
      <c r="J56" s="1">
        <v>35</v>
      </c>
      <c r="K56" s="1">
        <v>46</v>
      </c>
      <c r="L56" s="1">
        <v>35</v>
      </c>
      <c r="M56" s="1">
        <v>40</v>
      </c>
      <c r="N56" s="1">
        <v>55</v>
      </c>
      <c r="O56" s="1">
        <v>36</v>
      </c>
      <c r="P56" s="1">
        <v>34</v>
      </c>
      <c r="Q56" s="1">
        <v>25</v>
      </c>
      <c r="R56" s="1">
        <v>28</v>
      </c>
      <c r="S56" s="1">
        <v>46</v>
      </c>
      <c r="T56" s="1">
        <v>32</v>
      </c>
      <c r="U56" s="1">
        <v>28</v>
      </c>
      <c r="V56" s="1">
        <v>21</v>
      </c>
      <c r="W56" s="1">
        <v>18</v>
      </c>
      <c r="X56" s="1">
        <v>19</v>
      </c>
      <c r="Y56" s="1">
        <v>18</v>
      </c>
    </row>
    <row r="57" spans="1:25" x14ac:dyDescent="0.3">
      <c r="A57" s="2">
        <v>42394</v>
      </c>
      <c r="B57" s="1">
        <v>14</v>
      </c>
      <c r="C57" s="1">
        <v>4</v>
      </c>
      <c r="D57" s="1">
        <v>13</v>
      </c>
      <c r="E57" s="1">
        <v>6</v>
      </c>
      <c r="F57" s="1">
        <v>6</v>
      </c>
      <c r="G57" s="1">
        <v>12</v>
      </c>
      <c r="H57" s="1">
        <v>18</v>
      </c>
      <c r="I57" s="1">
        <v>24</v>
      </c>
      <c r="J57" s="1">
        <v>48</v>
      </c>
      <c r="K57" s="1">
        <v>45</v>
      </c>
      <c r="L57" s="1">
        <v>27</v>
      </c>
      <c r="M57" s="1">
        <v>34</v>
      </c>
      <c r="N57" s="1">
        <v>42</v>
      </c>
      <c r="O57" s="1">
        <v>30</v>
      </c>
      <c r="P57" s="1">
        <v>37</v>
      </c>
      <c r="Q57" s="1">
        <v>39</v>
      </c>
      <c r="R57" s="1">
        <v>33</v>
      </c>
      <c r="S57" s="1">
        <v>27</v>
      </c>
      <c r="T57" s="1">
        <v>23</v>
      </c>
      <c r="U57" s="1">
        <v>25</v>
      </c>
      <c r="V57" s="1">
        <v>17</v>
      </c>
      <c r="W57" s="1">
        <v>12</v>
      </c>
      <c r="X57" s="1">
        <v>19</v>
      </c>
      <c r="Y57" s="1">
        <v>14</v>
      </c>
    </row>
    <row r="58" spans="1:25" x14ac:dyDescent="0.3">
      <c r="A58" s="2">
        <v>42395</v>
      </c>
      <c r="B58" s="1">
        <v>10</v>
      </c>
      <c r="C58" s="1">
        <v>7</v>
      </c>
      <c r="D58" s="1">
        <v>7</v>
      </c>
      <c r="E58" s="1">
        <v>12</v>
      </c>
      <c r="F58" s="1">
        <v>11</v>
      </c>
      <c r="G58" s="1">
        <v>4</v>
      </c>
      <c r="H58" s="1">
        <v>10</v>
      </c>
      <c r="I58" s="1">
        <v>16</v>
      </c>
      <c r="J58" s="1">
        <v>41</v>
      </c>
      <c r="K58" s="1">
        <v>32</v>
      </c>
      <c r="L58" s="1">
        <v>32</v>
      </c>
      <c r="M58" s="1">
        <v>42</v>
      </c>
      <c r="N58" s="1">
        <v>39</v>
      </c>
      <c r="O58" s="1">
        <v>32</v>
      </c>
      <c r="P58" s="1">
        <v>29</v>
      </c>
      <c r="Q58" s="1">
        <v>16</v>
      </c>
      <c r="R58" s="1">
        <v>34</v>
      </c>
      <c r="S58" s="1">
        <v>37</v>
      </c>
      <c r="T58" s="1">
        <v>32</v>
      </c>
      <c r="U58" s="1">
        <v>16</v>
      </c>
      <c r="V58" s="1">
        <v>14</v>
      </c>
      <c r="W58" s="1">
        <v>10</v>
      </c>
      <c r="X58" s="1">
        <v>8</v>
      </c>
      <c r="Y58" s="1">
        <v>12</v>
      </c>
    </row>
    <row r="59" spans="1:25" x14ac:dyDescent="0.3">
      <c r="A59" s="2">
        <v>42396</v>
      </c>
      <c r="B59" s="1">
        <v>10</v>
      </c>
      <c r="C59" s="1">
        <v>13</v>
      </c>
      <c r="D59" s="1">
        <v>7</v>
      </c>
      <c r="E59" s="1">
        <v>6</v>
      </c>
      <c r="F59" s="1">
        <v>5</v>
      </c>
      <c r="G59" s="1">
        <v>8</v>
      </c>
      <c r="H59" s="1">
        <v>17</v>
      </c>
      <c r="I59" s="1">
        <v>21</v>
      </c>
      <c r="J59" s="1">
        <v>24</v>
      </c>
      <c r="K59" s="1">
        <v>21</v>
      </c>
      <c r="L59" s="1">
        <v>28</v>
      </c>
      <c r="M59" s="1">
        <v>27</v>
      </c>
      <c r="N59" s="1">
        <v>30</v>
      </c>
      <c r="O59" s="1">
        <v>20</v>
      </c>
      <c r="P59" s="1">
        <v>31</v>
      </c>
      <c r="Q59" s="1">
        <v>21</v>
      </c>
      <c r="R59" s="1">
        <v>31</v>
      </c>
      <c r="S59" s="1">
        <v>30</v>
      </c>
      <c r="T59" s="1">
        <v>20</v>
      </c>
      <c r="U59" s="1">
        <v>12</v>
      </c>
      <c r="V59" s="1">
        <v>23</v>
      </c>
      <c r="W59" s="1">
        <v>12</v>
      </c>
      <c r="X59" s="1">
        <v>9</v>
      </c>
      <c r="Y59" s="1">
        <v>6</v>
      </c>
    </row>
    <row r="60" spans="1:25" x14ac:dyDescent="0.3">
      <c r="A60" s="2">
        <v>42397</v>
      </c>
      <c r="B60" s="1">
        <v>12</v>
      </c>
      <c r="C60" s="1">
        <v>2</v>
      </c>
      <c r="D60" s="1">
        <v>8</v>
      </c>
      <c r="E60" s="1">
        <v>1</v>
      </c>
      <c r="F60" s="1">
        <v>9</v>
      </c>
      <c r="G60" s="1">
        <v>8</v>
      </c>
      <c r="H60" s="1">
        <v>16</v>
      </c>
      <c r="I60" s="1">
        <v>23</v>
      </c>
      <c r="J60" s="1">
        <v>35</v>
      </c>
      <c r="K60" s="1">
        <v>35</v>
      </c>
      <c r="L60" s="1">
        <v>30</v>
      </c>
      <c r="M60" s="1">
        <v>25</v>
      </c>
      <c r="N60" s="1">
        <v>29</v>
      </c>
      <c r="O60" s="1">
        <v>30</v>
      </c>
      <c r="P60" s="1">
        <v>29</v>
      </c>
      <c r="Q60" s="1">
        <v>19</v>
      </c>
      <c r="R60" s="1">
        <v>16</v>
      </c>
      <c r="S60" s="1">
        <v>19</v>
      </c>
      <c r="T60" s="1">
        <v>17</v>
      </c>
      <c r="U60" s="1">
        <v>17</v>
      </c>
      <c r="V60" s="1">
        <v>18</v>
      </c>
      <c r="W60" s="1">
        <v>11</v>
      </c>
      <c r="X60" s="1">
        <v>13</v>
      </c>
      <c r="Y60" s="1">
        <v>12</v>
      </c>
    </row>
    <row r="61" spans="1:25" x14ac:dyDescent="0.3">
      <c r="A61" s="2">
        <v>42398</v>
      </c>
      <c r="B61" s="1">
        <v>6</v>
      </c>
      <c r="C61" s="1">
        <v>6</v>
      </c>
      <c r="D61" s="1">
        <v>6</v>
      </c>
      <c r="E61" s="1">
        <v>5</v>
      </c>
      <c r="F61" s="1">
        <v>2</v>
      </c>
      <c r="G61" s="1">
        <v>6</v>
      </c>
      <c r="H61" s="1">
        <v>17</v>
      </c>
      <c r="I61" s="1">
        <v>26</v>
      </c>
      <c r="J61" s="1">
        <v>25</v>
      </c>
      <c r="K61" s="1">
        <v>18</v>
      </c>
      <c r="L61" s="1">
        <v>20</v>
      </c>
      <c r="M61" s="1">
        <v>17</v>
      </c>
      <c r="N61" s="1">
        <v>16</v>
      </c>
      <c r="O61" s="1">
        <v>27</v>
      </c>
      <c r="P61" s="1">
        <v>30</v>
      </c>
      <c r="Q61" s="1">
        <v>22</v>
      </c>
      <c r="R61" s="1">
        <v>32</v>
      </c>
      <c r="S61" s="1">
        <v>32</v>
      </c>
      <c r="T61" s="1">
        <v>28</v>
      </c>
      <c r="U61" s="1">
        <v>23</v>
      </c>
      <c r="V61" s="1">
        <v>17</v>
      </c>
      <c r="W61" s="1">
        <v>12</v>
      </c>
      <c r="X61" s="1">
        <v>13</v>
      </c>
      <c r="Y61" s="1">
        <v>11</v>
      </c>
    </row>
    <row r="62" spans="1:25" x14ac:dyDescent="0.3">
      <c r="A62" s="2">
        <v>42399</v>
      </c>
      <c r="B62" s="1">
        <v>7</v>
      </c>
      <c r="C62" s="1">
        <v>14</v>
      </c>
      <c r="D62" s="1">
        <v>9</v>
      </c>
      <c r="E62" s="1">
        <v>7</v>
      </c>
      <c r="F62" s="1">
        <v>5</v>
      </c>
      <c r="G62" s="1">
        <v>5</v>
      </c>
      <c r="H62" s="1">
        <v>11</v>
      </c>
      <c r="I62" s="1">
        <v>6</v>
      </c>
      <c r="J62" s="1">
        <v>12</v>
      </c>
      <c r="K62" s="1">
        <v>26</v>
      </c>
      <c r="L62" s="1">
        <v>18</v>
      </c>
      <c r="M62" s="1">
        <v>17</v>
      </c>
      <c r="N62" s="1">
        <v>19</v>
      </c>
      <c r="O62" s="1">
        <v>23</v>
      </c>
      <c r="P62" s="1">
        <v>20</v>
      </c>
      <c r="Q62" s="1">
        <v>17</v>
      </c>
      <c r="R62" s="1">
        <v>28</v>
      </c>
      <c r="S62" s="1">
        <v>21</v>
      </c>
      <c r="T62" s="1">
        <v>15</v>
      </c>
      <c r="U62" s="1">
        <v>21</v>
      </c>
      <c r="V62" s="1">
        <v>12</v>
      </c>
      <c r="W62" s="1">
        <v>13</v>
      </c>
      <c r="X62" s="1">
        <v>14</v>
      </c>
      <c r="Y62" s="1">
        <v>9</v>
      </c>
    </row>
    <row r="63" spans="1:25" x14ac:dyDescent="0.3">
      <c r="A63" s="2">
        <v>42400</v>
      </c>
      <c r="B63" s="1">
        <v>5</v>
      </c>
      <c r="C63" s="1">
        <v>5</v>
      </c>
      <c r="D63" s="1">
        <v>6</v>
      </c>
      <c r="E63" s="1">
        <v>4</v>
      </c>
      <c r="F63" s="1">
        <v>5</v>
      </c>
      <c r="G63" s="1">
        <v>6</v>
      </c>
      <c r="H63" s="1">
        <v>9</v>
      </c>
      <c r="I63" s="1">
        <v>10</v>
      </c>
      <c r="J63" s="1">
        <v>18</v>
      </c>
      <c r="K63" s="1">
        <v>14</v>
      </c>
      <c r="L63" s="1">
        <v>15</v>
      </c>
      <c r="M63" s="1">
        <v>13</v>
      </c>
      <c r="N63" s="1">
        <v>19</v>
      </c>
      <c r="O63" s="1">
        <v>18</v>
      </c>
      <c r="P63" s="1">
        <v>18</v>
      </c>
      <c r="Q63" s="1">
        <v>18</v>
      </c>
      <c r="R63" s="1">
        <v>15</v>
      </c>
      <c r="S63" s="1">
        <v>14</v>
      </c>
      <c r="T63" s="1">
        <v>15</v>
      </c>
      <c r="U63" s="1">
        <v>19</v>
      </c>
      <c r="V63" s="1">
        <v>13</v>
      </c>
      <c r="W63" s="1">
        <v>8</v>
      </c>
      <c r="X63" s="1">
        <v>8</v>
      </c>
      <c r="Y63" s="1">
        <v>6</v>
      </c>
    </row>
    <row r="64" spans="1:25" x14ac:dyDescent="0.3">
      <c r="A64" s="2">
        <v>42401</v>
      </c>
      <c r="B64" s="1">
        <v>7</v>
      </c>
      <c r="C64" s="1">
        <v>3</v>
      </c>
      <c r="D64" s="1">
        <v>3</v>
      </c>
      <c r="E64" s="1">
        <v>4</v>
      </c>
      <c r="F64" s="1">
        <v>7</v>
      </c>
      <c r="G64" s="1">
        <v>14</v>
      </c>
      <c r="H64" s="1">
        <v>11</v>
      </c>
      <c r="I64" s="1">
        <v>24</v>
      </c>
      <c r="J64" s="1">
        <v>23</v>
      </c>
      <c r="K64" s="1">
        <v>25</v>
      </c>
      <c r="L64" s="1">
        <v>19</v>
      </c>
      <c r="M64" s="1">
        <v>11</v>
      </c>
      <c r="N64" s="1">
        <v>32</v>
      </c>
      <c r="O64" s="1">
        <v>9</v>
      </c>
      <c r="P64" s="1">
        <v>23</v>
      </c>
      <c r="Q64" s="1">
        <v>20</v>
      </c>
      <c r="R64" s="1">
        <v>16</v>
      </c>
      <c r="S64" s="1">
        <v>29</v>
      </c>
      <c r="T64" s="1">
        <v>28</v>
      </c>
      <c r="U64" s="1">
        <v>19</v>
      </c>
      <c r="V64" s="1">
        <v>11</v>
      </c>
      <c r="W64" s="1">
        <v>15</v>
      </c>
      <c r="X64" s="1">
        <v>8</v>
      </c>
      <c r="Y64" s="1">
        <v>14</v>
      </c>
    </row>
    <row r="65" spans="1:25" x14ac:dyDescent="0.3">
      <c r="A65" s="2">
        <v>42402</v>
      </c>
      <c r="B65" s="1">
        <v>4</v>
      </c>
      <c r="C65" s="1">
        <v>5</v>
      </c>
      <c r="D65" s="1">
        <v>5</v>
      </c>
      <c r="E65" s="1">
        <v>4</v>
      </c>
      <c r="F65" s="1">
        <v>9</v>
      </c>
      <c r="G65" s="1">
        <v>5</v>
      </c>
      <c r="H65" s="1">
        <v>20</v>
      </c>
      <c r="I65" s="1">
        <v>68</v>
      </c>
      <c r="J65" s="1">
        <v>40</v>
      </c>
      <c r="K65" s="1">
        <v>33</v>
      </c>
      <c r="L65" s="1">
        <v>25</v>
      </c>
      <c r="M65" s="1">
        <v>23</v>
      </c>
      <c r="N65" s="1">
        <v>19</v>
      </c>
      <c r="O65" s="1">
        <v>24</v>
      </c>
      <c r="P65" s="1">
        <v>23</v>
      </c>
      <c r="Q65" s="1">
        <v>31</v>
      </c>
      <c r="R65" s="1">
        <v>25</v>
      </c>
      <c r="S65" s="1">
        <v>32</v>
      </c>
      <c r="T65" s="1">
        <v>26</v>
      </c>
      <c r="U65" s="1">
        <v>16</v>
      </c>
      <c r="V65" s="1">
        <v>10</v>
      </c>
      <c r="W65" s="1">
        <v>7</v>
      </c>
      <c r="X65" s="1">
        <v>8</v>
      </c>
      <c r="Y65" s="1">
        <v>5</v>
      </c>
    </row>
    <row r="66" spans="1:25" x14ac:dyDescent="0.3">
      <c r="A66" s="2">
        <v>42403</v>
      </c>
      <c r="B66" s="1">
        <v>9</v>
      </c>
      <c r="C66" s="1">
        <v>3</v>
      </c>
      <c r="D66" s="1">
        <v>2</v>
      </c>
      <c r="E66" s="1">
        <v>5</v>
      </c>
      <c r="F66" s="1">
        <v>5</v>
      </c>
      <c r="G66" s="1">
        <v>5</v>
      </c>
      <c r="H66" s="1">
        <v>29</v>
      </c>
      <c r="I66" s="1">
        <v>22</v>
      </c>
      <c r="J66" s="1">
        <v>17</v>
      </c>
      <c r="K66" s="1">
        <v>23</v>
      </c>
      <c r="L66" s="1">
        <v>17</v>
      </c>
      <c r="M66" s="1">
        <v>27</v>
      </c>
      <c r="N66" s="1">
        <v>20</v>
      </c>
      <c r="O66" s="1">
        <v>25</v>
      </c>
      <c r="P66" s="1">
        <v>27</v>
      </c>
      <c r="Q66" s="1">
        <v>42</v>
      </c>
      <c r="R66" s="1">
        <v>33</v>
      </c>
      <c r="S66" s="1">
        <v>25</v>
      </c>
      <c r="T66" s="1">
        <v>27</v>
      </c>
      <c r="U66" s="1">
        <v>20</v>
      </c>
      <c r="V66" s="1">
        <v>23</v>
      </c>
      <c r="W66" s="1">
        <v>10</v>
      </c>
      <c r="X66" s="1">
        <v>9</v>
      </c>
      <c r="Y66" s="1">
        <v>7</v>
      </c>
    </row>
    <row r="67" spans="1:25" x14ac:dyDescent="0.3">
      <c r="A67" s="2">
        <v>42404</v>
      </c>
      <c r="B67" s="1">
        <v>10</v>
      </c>
      <c r="C67" s="1">
        <v>1</v>
      </c>
      <c r="D67" s="1">
        <v>4</v>
      </c>
      <c r="E67" s="1">
        <v>8</v>
      </c>
      <c r="F67" s="1">
        <v>3</v>
      </c>
      <c r="G67" s="1">
        <v>8</v>
      </c>
      <c r="H67" s="1">
        <v>16</v>
      </c>
      <c r="I67" s="1">
        <v>19</v>
      </c>
      <c r="J67" s="1">
        <v>24</v>
      </c>
      <c r="K67" s="1">
        <v>24</v>
      </c>
      <c r="L67" s="1">
        <v>30</v>
      </c>
      <c r="M67" s="1">
        <v>19</v>
      </c>
      <c r="N67" s="1">
        <v>16</v>
      </c>
      <c r="O67" s="1">
        <v>14</v>
      </c>
      <c r="P67" s="1">
        <v>19</v>
      </c>
      <c r="Q67" s="1">
        <v>21</v>
      </c>
      <c r="R67" s="1">
        <v>23</v>
      </c>
      <c r="S67" s="1">
        <v>26</v>
      </c>
      <c r="T67" s="1">
        <v>16</v>
      </c>
      <c r="U67" s="1">
        <v>19</v>
      </c>
      <c r="V67" s="1">
        <v>20</v>
      </c>
      <c r="W67" s="1">
        <v>7</v>
      </c>
      <c r="X67" s="1">
        <v>9</v>
      </c>
      <c r="Y67" s="1">
        <v>6</v>
      </c>
    </row>
    <row r="68" spans="1:25" x14ac:dyDescent="0.3">
      <c r="A68" s="2">
        <v>42405</v>
      </c>
      <c r="B68" s="1">
        <v>5</v>
      </c>
      <c r="C68" s="1">
        <v>2</v>
      </c>
      <c r="D68" s="1">
        <v>2</v>
      </c>
      <c r="E68" s="1">
        <v>6</v>
      </c>
      <c r="F68" s="1">
        <v>4</v>
      </c>
      <c r="G68" s="1">
        <v>6</v>
      </c>
      <c r="H68" s="1">
        <v>13</v>
      </c>
      <c r="I68" s="1">
        <v>15</v>
      </c>
      <c r="J68" s="1">
        <v>16</v>
      </c>
      <c r="K68" s="1">
        <v>22</v>
      </c>
      <c r="L68" s="1">
        <v>22</v>
      </c>
      <c r="M68" s="1">
        <v>24</v>
      </c>
      <c r="N68" s="1">
        <v>23</v>
      </c>
      <c r="O68" s="1">
        <v>22</v>
      </c>
      <c r="P68" s="1">
        <v>29</v>
      </c>
      <c r="Q68" s="1">
        <v>27</v>
      </c>
      <c r="R68" s="1">
        <v>40</v>
      </c>
      <c r="S68" s="1">
        <v>27</v>
      </c>
      <c r="T68" s="1">
        <v>19</v>
      </c>
      <c r="U68" s="1">
        <v>16</v>
      </c>
      <c r="V68" s="1">
        <v>16</v>
      </c>
      <c r="W68" s="1">
        <v>19</v>
      </c>
      <c r="X68" s="1">
        <v>15</v>
      </c>
      <c r="Y68" s="1">
        <v>11</v>
      </c>
    </row>
    <row r="69" spans="1:25" x14ac:dyDescent="0.3">
      <c r="A69" s="2">
        <v>42406</v>
      </c>
      <c r="B69" s="1">
        <v>9</v>
      </c>
      <c r="C69" s="1">
        <v>9</v>
      </c>
      <c r="D69" s="1">
        <v>4</v>
      </c>
      <c r="E69" s="1">
        <v>5</v>
      </c>
      <c r="F69" s="1">
        <v>4</v>
      </c>
      <c r="G69" s="1">
        <v>6</v>
      </c>
      <c r="H69" s="1">
        <v>10</v>
      </c>
      <c r="I69" s="1">
        <v>10</v>
      </c>
      <c r="J69" s="1">
        <v>21</v>
      </c>
      <c r="K69" s="1">
        <v>22</v>
      </c>
      <c r="L69" s="1">
        <v>19</v>
      </c>
      <c r="M69" s="1">
        <v>17</v>
      </c>
      <c r="N69" s="1">
        <v>28</v>
      </c>
      <c r="O69" s="1">
        <v>17</v>
      </c>
      <c r="P69" s="1">
        <v>25</v>
      </c>
      <c r="Q69" s="1">
        <v>13</v>
      </c>
      <c r="R69" s="1">
        <v>19</v>
      </c>
      <c r="S69" s="1">
        <v>17</v>
      </c>
      <c r="T69" s="1">
        <v>23</v>
      </c>
      <c r="U69" s="1">
        <v>15</v>
      </c>
      <c r="V69" s="1">
        <v>13</v>
      </c>
      <c r="W69" s="1">
        <v>11</v>
      </c>
      <c r="X69" s="1">
        <v>14</v>
      </c>
      <c r="Y69" s="1">
        <v>16</v>
      </c>
    </row>
    <row r="70" spans="1:25" x14ac:dyDescent="0.3">
      <c r="A70" s="2">
        <v>42407</v>
      </c>
      <c r="B70" s="1">
        <v>8</v>
      </c>
      <c r="C70" s="1">
        <v>8</v>
      </c>
      <c r="D70" s="1">
        <v>12</v>
      </c>
      <c r="E70" s="1">
        <v>5</v>
      </c>
      <c r="F70" s="1">
        <v>2</v>
      </c>
      <c r="G70" s="1">
        <v>5</v>
      </c>
      <c r="H70" s="1">
        <v>2</v>
      </c>
      <c r="I70" s="1">
        <v>11</v>
      </c>
      <c r="J70" s="1">
        <v>20</v>
      </c>
      <c r="K70" s="1">
        <v>14</v>
      </c>
      <c r="L70" s="1">
        <v>17</v>
      </c>
      <c r="M70" s="1">
        <v>25</v>
      </c>
      <c r="N70" s="1">
        <v>17</v>
      </c>
      <c r="O70" s="1">
        <v>9</v>
      </c>
      <c r="P70" s="1">
        <v>13</v>
      </c>
      <c r="Q70" s="1">
        <v>13</v>
      </c>
      <c r="R70" s="1">
        <v>9</v>
      </c>
      <c r="S70" s="1">
        <v>10</v>
      </c>
      <c r="T70" s="1">
        <v>12</v>
      </c>
      <c r="U70" s="1">
        <v>12</v>
      </c>
      <c r="V70" s="1">
        <v>5</v>
      </c>
      <c r="W70" s="1">
        <v>6</v>
      </c>
      <c r="X70" s="1">
        <v>10</v>
      </c>
      <c r="Y70" s="1">
        <v>11</v>
      </c>
    </row>
    <row r="71" spans="1:25" x14ac:dyDescent="0.3">
      <c r="A71" s="2">
        <v>42408</v>
      </c>
      <c r="B71" s="1">
        <v>14</v>
      </c>
      <c r="C71" s="1">
        <v>7</v>
      </c>
      <c r="D71" s="1">
        <v>3</v>
      </c>
      <c r="E71" s="1">
        <v>3</v>
      </c>
      <c r="F71" s="1">
        <v>7</v>
      </c>
      <c r="G71" s="1">
        <v>9</v>
      </c>
      <c r="H71" s="1">
        <v>6</v>
      </c>
      <c r="I71" s="1">
        <v>9</v>
      </c>
      <c r="J71" s="1">
        <v>19</v>
      </c>
      <c r="K71" s="1">
        <v>29</v>
      </c>
      <c r="L71" s="1">
        <v>19</v>
      </c>
      <c r="M71" s="1">
        <v>19</v>
      </c>
      <c r="N71" s="1">
        <v>31</v>
      </c>
      <c r="O71" s="1">
        <v>27</v>
      </c>
      <c r="P71" s="1">
        <v>18</v>
      </c>
      <c r="Q71" s="1">
        <v>16</v>
      </c>
      <c r="R71" s="1">
        <v>25</v>
      </c>
      <c r="S71" s="1">
        <v>24</v>
      </c>
      <c r="T71" s="1">
        <v>31</v>
      </c>
      <c r="U71" s="1">
        <v>13</v>
      </c>
      <c r="V71" s="1">
        <v>7</v>
      </c>
      <c r="W71" s="1">
        <v>11</v>
      </c>
      <c r="X71" s="1">
        <v>6</v>
      </c>
      <c r="Y71" s="1">
        <v>8</v>
      </c>
    </row>
    <row r="72" spans="1:25" x14ac:dyDescent="0.3">
      <c r="A72" s="2">
        <v>42409</v>
      </c>
      <c r="B72" s="1">
        <v>10</v>
      </c>
      <c r="C72" s="1">
        <v>7</v>
      </c>
      <c r="D72" s="1">
        <v>2</v>
      </c>
      <c r="E72" s="1">
        <v>2</v>
      </c>
      <c r="F72" s="1">
        <v>6</v>
      </c>
      <c r="G72" s="1">
        <v>6</v>
      </c>
      <c r="H72" s="1">
        <v>16</v>
      </c>
      <c r="I72" s="1">
        <v>11</v>
      </c>
      <c r="J72" s="1">
        <v>24</v>
      </c>
      <c r="K72" s="1">
        <v>20</v>
      </c>
      <c r="L72" s="1">
        <v>22</v>
      </c>
      <c r="M72" s="1">
        <v>12</v>
      </c>
      <c r="N72" s="1">
        <v>18</v>
      </c>
      <c r="O72" s="1">
        <v>25</v>
      </c>
      <c r="P72" s="1">
        <v>22</v>
      </c>
      <c r="Q72" s="1">
        <v>16</v>
      </c>
      <c r="R72" s="1">
        <v>35</v>
      </c>
      <c r="S72" s="1">
        <v>31</v>
      </c>
      <c r="T72" s="1">
        <v>33</v>
      </c>
      <c r="U72" s="1">
        <v>13</v>
      </c>
      <c r="V72" s="1">
        <v>15</v>
      </c>
      <c r="W72" s="1">
        <v>19</v>
      </c>
      <c r="X72" s="1">
        <v>5</v>
      </c>
      <c r="Y72" s="1">
        <v>7</v>
      </c>
    </row>
    <row r="73" spans="1:25" x14ac:dyDescent="0.3">
      <c r="A73" s="2">
        <v>42410</v>
      </c>
      <c r="B73" s="1">
        <v>7</v>
      </c>
      <c r="C73" s="1">
        <v>5</v>
      </c>
      <c r="D73" s="1">
        <v>8</v>
      </c>
      <c r="E73" s="1">
        <v>3</v>
      </c>
      <c r="F73" s="1">
        <v>6</v>
      </c>
      <c r="G73" s="1">
        <v>4</v>
      </c>
      <c r="H73" s="1">
        <v>15</v>
      </c>
      <c r="I73" s="1">
        <v>61</v>
      </c>
      <c r="J73" s="1">
        <v>18</v>
      </c>
      <c r="K73" s="1">
        <v>14</v>
      </c>
      <c r="L73" s="1">
        <v>25</v>
      </c>
      <c r="M73" s="1">
        <v>19</v>
      </c>
      <c r="N73" s="1">
        <v>15</v>
      </c>
      <c r="O73" s="1">
        <v>18</v>
      </c>
      <c r="P73" s="1">
        <v>30</v>
      </c>
      <c r="Q73" s="1">
        <v>26</v>
      </c>
      <c r="R73" s="1">
        <v>16</v>
      </c>
      <c r="S73" s="1">
        <v>25</v>
      </c>
      <c r="T73" s="1">
        <v>21</v>
      </c>
      <c r="U73" s="1">
        <v>21</v>
      </c>
      <c r="V73" s="1">
        <v>18</v>
      </c>
      <c r="W73" s="1">
        <v>12</v>
      </c>
      <c r="X73" s="1">
        <v>15</v>
      </c>
      <c r="Y73" s="1">
        <v>8</v>
      </c>
    </row>
    <row r="74" spans="1:25" x14ac:dyDescent="0.3">
      <c r="A74" s="2">
        <v>42411</v>
      </c>
      <c r="B74" s="1">
        <v>6</v>
      </c>
      <c r="C74" s="1">
        <v>7</v>
      </c>
      <c r="D74" s="1">
        <v>3</v>
      </c>
      <c r="E74" s="1">
        <v>6</v>
      </c>
      <c r="F74" s="1">
        <v>4</v>
      </c>
      <c r="G74" s="1">
        <v>8</v>
      </c>
      <c r="H74" s="1">
        <v>23</v>
      </c>
      <c r="I74" s="1">
        <v>11</v>
      </c>
      <c r="J74" s="1">
        <v>43</v>
      </c>
      <c r="K74" s="1">
        <v>64</v>
      </c>
      <c r="L74" s="1">
        <v>27</v>
      </c>
      <c r="M74" s="1">
        <v>20</v>
      </c>
      <c r="N74" s="1">
        <v>19</v>
      </c>
      <c r="O74" s="1">
        <v>27</v>
      </c>
      <c r="P74" s="1">
        <v>28</v>
      </c>
      <c r="Q74" s="1">
        <v>31</v>
      </c>
      <c r="R74" s="1">
        <v>14</v>
      </c>
      <c r="S74" s="1">
        <v>20</v>
      </c>
      <c r="T74" s="1">
        <v>12</v>
      </c>
      <c r="U74" s="1">
        <v>19</v>
      </c>
      <c r="V74" s="1">
        <v>13</v>
      </c>
      <c r="W74" s="1">
        <v>11</v>
      </c>
      <c r="X74" s="1">
        <v>8</v>
      </c>
      <c r="Y74" s="1">
        <v>14</v>
      </c>
    </row>
    <row r="75" spans="1:25" x14ac:dyDescent="0.3">
      <c r="A75" s="2">
        <v>42412</v>
      </c>
      <c r="B75" s="1">
        <v>6</v>
      </c>
      <c r="C75" s="1">
        <v>5</v>
      </c>
      <c r="D75" s="1">
        <v>2</v>
      </c>
      <c r="E75" s="1">
        <v>4</v>
      </c>
      <c r="F75" s="1">
        <v>4</v>
      </c>
      <c r="G75" s="1">
        <v>4</v>
      </c>
      <c r="H75" s="1">
        <v>11</v>
      </c>
      <c r="I75" s="1">
        <v>19</v>
      </c>
      <c r="J75" s="1">
        <v>16</v>
      </c>
      <c r="K75" s="1">
        <v>22</v>
      </c>
      <c r="L75" s="1">
        <v>19</v>
      </c>
      <c r="M75" s="1">
        <v>25</v>
      </c>
      <c r="N75" s="1">
        <v>17</v>
      </c>
      <c r="O75" s="1">
        <v>28</v>
      </c>
      <c r="P75" s="1">
        <v>25</v>
      </c>
      <c r="Q75" s="1">
        <v>25</v>
      </c>
      <c r="R75" s="1">
        <v>23</v>
      </c>
      <c r="S75" s="1">
        <v>16</v>
      </c>
      <c r="T75" s="1">
        <v>29</v>
      </c>
      <c r="U75" s="1">
        <v>19</v>
      </c>
      <c r="V75" s="1">
        <v>16</v>
      </c>
      <c r="W75" s="1">
        <v>12</v>
      </c>
      <c r="X75" s="1">
        <v>24</v>
      </c>
      <c r="Y75" s="1">
        <v>9</v>
      </c>
    </row>
    <row r="76" spans="1:25" x14ac:dyDescent="0.3">
      <c r="A76" s="2">
        <v>42413</v>
      </c>
      <c r="B76" s="1">
        <v>10</v>
      </c>
      <c r="C76" s="1">
        <v>7</v>
      </c>
      <c r="D76" s="1">
        <v>6</v>
      </c>
      <c r="E76" s="1">
        <v>6</v>
      </c>
      <c r="F76" s="1">
        <v>2</v>
      </c>
      <c r="G76" s="1">
        <v>7</v>
      </c>
      <c r="H76" s="1">
        <v>6</v>
      </c>
      <c r="I76" s="1">
        <v>13</v>
      </c>
      <c r="J76" s="1">
        <v>9</v>
      </c>
      <c r="K76" s="1">
        <v>14</v>
      </c>
      <c r="L76" s="1">
        <v>11</v>
      </c>
      <c r="M76" s="1">
        <v>24</v>
      </c>
      <c r="N76" s="1">
        <v>22</v>
      </c>
      <c r="O76" s="1">
        <v>31</v>
      </c>
      <c r="P76" s="1">
        <v>25</v>
      </c>
      <c r="Q76" s="1">
        <v>19</v>
      </c>
      <c r="R76" s="1">
        <v>16</v>
      </c>
      <c r="S76" s="1">
        <v>18</v>
      </c>
      <c r="T76" s="1">
        <v>22</v>
      </c>
      <c r="U76" s="1">
        <v>7</v>
      </c>
      <c r="V76" s="1">
        <v>14</v>
      </c>
      <c r="W76" s="1">
        <v>15</v>
      </c>
      <c r="X76" s="1">
        <v>16</v>
      </c>
      <c r="Y76" s="1">
        <v>10</v>
      </c>
    </row>
    <row r="77" spans="1:25" x14ac:dyDescent="0.3">
      <c r="A77" s="2">
        <v>42414</v>
      </c>
      <c r="B77" s="1">
        <v>14</v>
      </c>
      <c r="C77" s="1">
        <v>9</v>
      </c>
      <c r="D77" s="1">
        <v>14</v>
      </c>
      <c r="E77" s="1">
        <v>4</v>
      </c>
      <c r="F77" s="1">
        <v>3</v>
      </c>
      <c r="G77" s="1">
        <v>3</v>
      </c>
      <c r="H77" s="1">
        <v>13</v>
      </c>
      <c r="I77" s="1">
        <v>9</v>
      </c>
      <c r="J77" s="1">
        <v>11</v>
      </c>
      <c r="K77" s="1">
        <v>27</v>
      </c>
      <c r="L77" s="1">
        <v>17</v>
      </c>
      <c r="M77" s="1">
        <v>19</v>
      </c>
      <c r="N77" s="1">
        <v>20</v>
      </c>
      <c r="O77" s="1">
        <v>13</v>
      </c>
      <c r="P77" s="1">
        <v>24</v>
      </c>
      <c r="Q77" s="1">
        <v>19</v>
      </c>
      <c r="R77" s="1">
        <v>19</v>
      </c>
      <c r="S77" s="1">
        <v>19</v>
      </c>
      <c r="T77" s="1">
        <v>13</v>
      </c>
      <c r="U77" s="1">
        <v>21</v>
      </c>
      <c r="V77" s="1">
        <v>15</v>
      </c>
      <c r="W77" s="1">
        <v>14</v>
      </c>
      <c r="X77" s="1">
        <v>10</v>
      </c>
      <c r="Y77" s="1">
        <v>9</v>
      </c>
    </row>
    <row r="78" spans="1:25" x14ac:dyDescent="0.3">
      <c r="A78" s="2">
        <v>42415</v>
      </c>
      <c r="B78" s="1">
        <v>10</v>
      </c>
      <c r="C78" s="1">
        <v>4</v>
      </c>
      <c r="D78" s="1">
        <v>9</v>
      </c>
      <c r="E78" s="1">
        <v>5</v>
      </c>
      <c r="F78" s="1">
        <v>4</v>
      </c>
      <c r="G78" s="1">
        <v>12</v>
      </c>
      <c r="H78" s="1">
        <v>8</v>
      </c>
      <c r="I78" s="1">
        <v>16</v>
      </c>
      <c r="J78" s="1">
        <v>14</v>
      </c>
      <c r="K78" s="1">
        <v>18</v>
      </c>
      <c r="L78" s="1">
        <v>20</v>
      </c>
      <c r="M78" s="1">
        <v>20</v>
      </c>
      <c r="N78" s="1">
        <v>23</v>
      </c>
      <c r="O78" s="1">
        <v>41</v>
      </c>
      <c r="P78" s="1">
        <v>43</v>
      </c>
      <c r="Q78" s="1">
        <v>37</v>
      </c>
      <c r="R78" s="1">
        <v>38</v>
      </c>
      <c r="S78" s="1">
        <v>35</v>
      </c>
      <c r="T78" s="1">
        <v>33</v>
      </c>
      <c r="U78" s="1">
        <v>44</v>
      </c>
      <c r="V78" s="1">
        <v>33</v>
      </c>
      <c r="W78" s="1">
        <v>26</v>
      </c>
      <c r="X78" s="1">
        <v>27</v>
      </c>
      <c r="Y78" s="1">
        <v>18</v>
      </c>
    </row>
    <row r="79" spans="1:25" x14ac:dyDescent="0.3">
      <c r="A79" s="2">
        <v>42416</v>
      </c>
      <c r="B79" s="1">
        <v>20</v>
      </c>
      <c r="C79" s="1">
        <v>15</v>
      </c>
      <c r="D79" s="1">
        <v>6</v>
      </c>
      <c r="E79" s="1">
        <v>8</v>
      </c>
      <c r="F79" s="1">
        <v>15</v>
      </c>
      <c r="G79" s="1">
        <v>22</v>
      </c>
      <c r="H79" s="1">
        <v>20</v>
      </c>
      <c r="I79" s="1">
        <v>39</v>
      </c>
      <c r="J79" s="1">
        <v>21</v>
      </c>
      <c r="K79" s="1">
        <v>24</v>
      </c>
      <c r="L79" s="1">
        <v>42</v>
      </c>
      <c r="M79" s="1">
        <v>37</v>
      </c>
      <c r="N79" s="1">
        <v>51</v>
      </c>
      <c r="O79" s="1">
        <v>32</v>
      </c>
      <c r="P79" s="1">
        <v>18</v>
      </c>
      <c r="Q79" s="1">
        <v>37</v>
      </c>
      <c r="R79" s="1">
        <v>37</v>
      </c>
      <c r="S79" s="1">
        <v>20</v>
      </c>
      <c r="T79" s="1">
        <v>28</v>
      </c>
      <c r="U79" s="1">
        <v>13</v>
      </c>
      <c r="V79" s="1">
        <v>18</v>
      </c>
      <c r="W79" s="1">
        <v>10</v>
      </c>
      <c r="X79" s="1">
        <v>15</v>
      </c>
      <c r="Y79" s="1">
        <v>11</v>
      </c>
    </row>
    <row r="80" spans="1:25" x14ac:dyDescent="0.3">
      <c r="A80" s="2">
        <v>42417</v>
      </c>
      <c r="B80" s="1">
        <v>3</v>
      </c>
      <c r="C80" s="1">
        <v>5</v>
      </c>
      <c r="D80" s="1">
        <v>4</v>
      </c>
      <c r="E80" s="1">
        <v>3</v>
      </c>
      <c r="F80" s="1">
        <v>2</v>
      </c>
      <c r="G80" s="1">
        <v>8</v>
      </c>
      <c r="H80" s="1">
        <v>15</v>
      </c>
      <c r="I80" s="1">
        <v>17</v>
      </c>
      <c r="J80" s="1">
        <v>27</v>
      </c>
      <c r="K80" s="1">
        <v>25</v>
      </c>
      <c r="L80" s="1">
        <v>19</v>
      </c>
      <c r="M80" s="1">
        <v>18</v>
      </c>
      <c r="N80" s="1">
        <v>15</v>
      </c>
      <c r="O80" s="1">
        <v>22</v>
      </c>
      <c r="P80" s="1">
        <v>15</v>
      </c>
      <c r="Q80" s="1">
        <v>28</v>
      </c>
      <c r="R80" s="1">
        <v>18</v>
      </c>
      <c r="S80" s="1">
        <v>22</v>
      </c>
      <c r="T80" s="1">
        <v>37</v>
      </c>
      <c r="U80" s="1">
        <v>13</v>
      </c>
      <c r="V80" s="1">
        <v>22</v>
      </c>
      <c r="W80" s="1">
        <v>13</v>
      </c>
      <c r="X80" s="1">
        <v>11</v>
      </c>
      <c r="Y80" s="1">
        <v>13</v>
      </c>
    </row>
    <row r="81" spans="1:25" x14ac:dyDescent="0.3">
      <c r="A81" s="2">
        <v>42418</v>
      </c>
      <c r="B81" s="1">
        <v>3</v>
      </c>
      <c r="C81" s="1">
        <v>3</v>
      </c>
      <c r="D81" s="1">
        <v>4</v>
      </c>
      <c r="E81" s="1">
        <v>5</v>
      </c>
      <c r="F81" s="1">
        <v>5</v>
      </c>
      <c r="G81" s="1">
        <v>7</v>
      </c>
      <c r="H81" s="1">
        <v>9</v>
      </c>
      <c r="I81" s="1">
        <v>10</v>
      </c>
      <c r="J81" s="1">
        <v>16</v>
      </c>
      <c r="K81" s="1">
        <v>20</v>
      </c>
      <c r="L81" s="1">
        <v>23</v>
      </c>
      <c r="M81" s="1">
        <v>11</v>
      </c>
      <c r="N81" s="1">
        <v>21</v>
      </c>
      <c r="O81" s="1">
        <v>21</v>
      </c>
      <c r="P81" s="1">
        <v>23</v>
      </c>
      <c r="Q81" s="1">
        <v>33</v>
      </c>
      <c r="R81" s="1">
        <v>21</v>
      </c>
      <c r="S81" s="1">
        <v>21</v>
      </c>
      <c r="T81" s="1">
        <v>17</v>
      </c>
      <c r="U81" s="1">
        <v>22</v>
      </c>
      <c r="V81" s="1">
        <v>18</v>
      </c>
      <c r="W81" s="1">
        <v>12</v>
      </c>
      <c r="X81" s="1">
        <v>9</v>
      </c>
      <c r="Y81" s="1">
        <v>11</v>
      </c>
    </row>
    <row r="82" spans="1:25" x14ac:dyDescent="0.3">
      <c r="A82" s="2">
        <v>42419</v>
      </c>
      <c r="B82" s="1">
        <v>6</v>
      </c>
      <c r="C82" s="1">
        <v>6</v>
      </c>
      <c r="D82" s="1">
        <v>3</v>
      </c>
      <c r="E82" s="1">
        <v>3</v>
      </c>
      <c r="F82" s="1">
        <v>6</v>
      </c>
      <c r="G82" s="1">
        <v>8</v>
      </c>
      <c r="H82" s="1">
        <v>8</v>
      </c>
      <c r="I82" s="1">
        <v>13</v>
      </c>
      <c r="J82" s="1">
        <v>18</v>
      </c>
      <c r="K82" s="1">
        <v>21</v>
      </c>
      <c r="L82" s="1">
        <v>21</v>
      </c>
      <c r="M82" s="1">
        <v>11</v>
      </c>
      <c r="N82" s="1">
        <v>27</v>
      </c>
      <c r="O82" s="1">
        <v>27</v>
      </c>
      <c r="P82" s="1">
        <v>22</v>
      </c>
      <c r="Q82" s="1">
        <v>29</v>
      </c>
      <c r="R82" s="1">
        <v>9</v>
      </c>
      <c r="S82" s="1">
        <v>26</v>
      </c>
      <c r="T82" s="1">
        <v>37</v>
      </c>
      <c r="U82" s="1">
        <v>14</v>
      </c>
      <c r="V82" s="1">
        <v>13</v>
      </c>
      <c r="W82" s="1">
        <v>23</v>
      </c>
      <c r="X82" s="1">
        <v>24</v>
      </c>
      <c r="Y82" s="1">
        <v>16</v>
      </c>
    </row>
    <row r="83" spans="1:25" x14ac:dyDescent="0.3">
      <c r="A83" s="2">
        <v>42420</v>
      </c>
      <c r="B83" s="1">
        <v>8</v>
      </c>
      <c r="C83" s="1">
        <v>10</v>
      </c>
      <c r="D83" s="1">
        <v>6</v>
      </c>
      <c r="E83" s="1">
        <v>4</v>
      </c>
      <c r="F83" s="1">
        <v>14</v>
      </c>
      <c r="G83" s="1">
        <v>6</v>
      </c>
      <c r="H83" s="1">
        <v>6</v>
      </c>
      <c r="I83" s="1">
        <v>15</v>
      </c>
      <c r="J83" s="1">
        <v>15</v>
      </c>
      <c r="K83" s="1">
        <v>19</v>
      </c>
      <c r="L83" s="1">
        <v>22</v>
      </c>
      <c r="M83" s="1">
        <v>15</v>
      </c>
      <c r="N83" s="1">
        <v>25</v>
      </c>
      <c r="O83" s="1">
        <v>22</v>
      </c>
      <c r="P83" s="1">
        <v>20</v>
      </c>
      <c r="Q83" s="1">
        <v>27</v>
      </c>
      <c r="R83" s="1">
        <v>26</v>
      </c>
      <c r="S83" s="1">
        <v>16</v>
      </c>
      <c r="T83" s="1">
        <v>14</v>
      </c>
      <c r="U83" s="1">
        <v>30</v>
      </c>
      <c r="V83" s="1">
        <v>17</v>
      </c>
      <c r="W83" s="1">
        <v>17</v>
      </c>
      <c r="X83" s="1">
        <v>12</v>
      </c>
      <c r="Y83" s="1">
        <v>7</v>
      </c>
    </row>
    <row r="84" spans="1:25" x14ac:dyDescent="0.3">
      <c r="A84" s="2">
        <v>42421</v>
      </c>
      <c r="B84" s="1">
        <v>17</v>
      </c>
      <c r="C84" s="1">
        <v>12</v>
      </c>
      <c r="D84" s="1">
        <v>3</v>
      </c>
      <c r="E84" s="1">
        <v>9</v>
      </c>
      <c r="F84" s="1">
        <v>3</v>
      </c>
      <c r="G84" s="1">
        <v>4</v>
      </c>
      <c r="H84" s="1">
        <v>4</v>
      </c>
      <c r="I84" s="1">
        <v>3</v>
      </c>
      <c r="J84" s="1">
        <v>9</v>
      </c>
      <c r="K84" s="1">
        <v>12</v>
      </c>
      <c r="L84" s="1">
        <v>13</v>
      </c>
      <c r="M84" s="1">
        <v>19</v>
      </c>
      <c r="N84" s="1">
        <v>26</v>
      </c>
      <c r="O84" s="1">
        <v>30</v>
      </c>
      <c r="P84" s="1">
        <v>10</v>
      </c>
      <c r="Q84" s="1">
        <v>17</v>
      </c>
      <c r="R84" s="1">
        <v>15</v>
      </c>
      <c r="S84" s="1">
        <v>20</v>
      </c>
      <c r="T84" s="1">
        <v>15</v>
      </c>
      <c r="U84" s="1">
        <v>22</v>
      </c>
      <c r="V84" s="1">
        <v>10</v>
      </c>
      <c r="W84" s="1">
        <v>10</v>
      </c>
      <c r="X84" s="1">
        <v>10</v>
      </c>
      <c r="Y84" s="1">
        <v>6</v>
      </c>
    </row>
    <row r="85" spans="1:25" x14ac:dyDescent="0.3">
      <c r="A85" s="2">
        <v>42422</v>
      </c>
      <c r="B85" s="1">
        <v>9</v>
      </c>
      <c r="C85" s="1">
        <v>4</v>
      </c>
      <c r="D85" s="1">
        <v>4</v>
      </c>
      <c r="E85" s="1">
        <v>2</v>
      </c>
      <c r="F85" s="1">
        <v>6</v>
      </c>
      <c r="G85" s="1">
        <v>9</v>
      </c>
      <c r="H85" s="1">
        <v>9</v>
      </c>
      <c r="I85" s="1">
        <v>25</v>
      </c>
      <c r="J85" s="1">
        <v>17</v>
      </c>
      <c r="K85" s="1">
        <v>18</v>
      </c>
      <c r="L85" s="1">
        <v>29</v>
      </c>
      <c r="M85" s="1">
        <v>28</v>
      </c>
      <c r="N85" s="1">
        <v>16</v>
      </c>
      <c r="O85" s="1">
        <v>17</v>
      </c>
      <c r="P85" s="1">
        <v>17</v>
      </c>
      <c r="Q85" s="1">
        <v>22</v>
      </c>
      <c r="R85" s="1">
        <v>16</v>
      </c>
      <c r="S85" s="1">
        <v>19</v>
      </c>
      <c r="T85" s="1">
        <v>12</v>
      </c>
      <c r="U85" s="1">
        <v>28</v>
      </c>
      <c r="V85" s="1">
        <v>13</v>
      </c>
      <c r="W85" s="1">
        <v>3</v>
      </c>
      <c r="X85" s="1">
        <v>12</v>
      </c>
      <c r="Y85" s="1">
        <v>7</v>
      </c>
    </row>
    <row r="86" spans="1:25" x14ac:dyDescent="0.3">
      <c r="A86" s="2">
        <v>42423</v>
      </c>
      <c r="B86" s="1">
        <v>3</v>
      </c>
      <c r="C86" s="1">
        <v>2</v>
      </c>
      <c r="D86" s="1">
        <v>4</v>
      </c>
      <c r="E86" s="1">
        <v>3</v>
      </c>
      <c r="F86" s="1">
        <v>9</v>
      </c>
      <c r="G86" s="1">
        <v>1</v>
      </c>
      <c r="H86" s="1">
        <v>11</v>
      </c>
      <c r="I86" s="1">
        <v>11</v>
      </c>
      <c r="J86" s="1">
        <v>17</v>
      </c>
      <c r="K86" s="1">
        <v>14</v>
      </c>
      <c r="L86" s="1">
        <v>21</v>
      </c>
      <c r="M86" s="1">
        <v>21</v>
      </c>
      <c r="N86" s="1">
        <v>14</v>
      </c>
      <c r="O86" s="1">
        <v>29</v>
      </c>
      <c r="P86" s="1">
        <v>16</v>
      </c>
      <c r="Q86" s="1">
        <v>20</v>
      </c>
      <c r="R86" s="1">
        <v>23</v>
      </c>
      <c r="S86" s="1">
        <v>22</v>
      </c>
      <c r="T86" s="1">
        <v>28</v>
      </c>
      <c r="U86" s="1">
        <v>28</v>
      </c>
      <c r="V86" s="1">
        <v>11</v>
      </c>
      <c r="W86" s="1">
        <v>10</v>
      </c>
      <c r="X86" s="1">
        <v>18</v>
      </c>
      <c r="Y86" s="1">
        <v>4</v>
      </c>
    </row>
    <row r="87" spans="1:25" x14ac:dyDescent="0.3">
      <c r="A87" s="2">
        <v>42424</v>
      </c>
      <c r="B87" s="1">
        <v>8</v>
      </c>
      <c r="C87" s="1">
        <v>8</v>
      </c>
      <c r="D87" s="1">
        <v>3</v>
      </c>
      <c r="E87" s="1">
        <v>9</v>
      </c>
      <c r="F87" s="1">
        <v>4</v>
      </c>
      <c r="G87" s="1">
        <v>3</v>
      </c>
      <c r="H87" s="1">
        <v>7</v>
      </c>
      <c r="I87" s="1">
        <v>24</v>
      </c>
      <c r="J87" s="1">
        <v>24</v>
      </c>
      <c r="K87" s="1">
        <v>12</v>
      </c>
      <c r="L87" s="1">
        <v>14</v>
      </c>
      <c r="M87" s="1">
        <v>18</v>
      </c>
      <c r="N87" s="1">
        <v>28</v>
      </c>
      <c r="O87" s="1">
        <v>21</v>
      </c>
      <c r="P87" s="1">
        <v>21</v>
      </c>
      <c r="Q87" s="1">
        <v>19</v>
      </c>
      <c r="R87" s="1">
        <v>42</v>
      </c>
      <c r="S87" s="1">
        <v>27</v>
      </c>
      <c r="T87" s="1">
        <v>49</v>
      </c>
      <c r="U87" s="1">
        <v>39</v>
      </c>
      <c r="V87" s="1">
        <v>73</v>
      </c>
      <c r="W87" s="1">
        <v>107</v>
      </c>
      <c r="X87" s="1">
        <v>74</v>
      </c>
      <c r="Y87" s="1">
        <v>39</v>
      </c>
    </row>
    <row r="88" spans="1:25" x14ac:dyDescent="0.3">
      <c r="A88" s="2">
        <v>42425</v>
      </c>
      <c r="B88" s="1">
        <v>22</v>
      </c>
      <c r="C88" s="1">
        <v>11</v>
      </c>
      <c r="D88" s="1">
        <v>10</v>
      </c>
      <c r="E88" s="1">
        <v>5</v>
      </c>
      <c r="F88" s="1">
        <v>7</v>
      </c>
      <c r="G88" s="1">
        <v>5</v>
      </c>
      <c r="H88" s="1">
        <v>8</v>
      </c>
      <c r="I88" s="1">
        <v>33</v>
      </c>
      <c r="J88" s="1">
        <v>33</v>
      </c>
      <c r="K88" s="1">
        <v>21</v>
      </c>
      <c r="L88" s="1">
        <v>25</v>
      </c>
      <c r="M88" s="1">
        <v>20</v>
      </c>
      <c r="N88" s="1">
        <v>26</v>
      </c>
      <c r="O88" s="1">
        <v>27</v>
      </c>
      <c r="P88" s="1">
        <v>22</v>
      </c>
      <c r="Q88" s="1">
        <v>29</v>
      </c>
      <c r="R88" s="1">
        <v>18</v>
      </c>
      <c r="S88" s="1">
        <v>27</v>
      </c>
      <c r="T88" s="1">
        <v>22</v>
      </c>
      <c r="U88" s="1">
        <v>17</v>
      </c>
      <c r="V88" s="1">
        <v>18</v>
      </c>
      <c r="W88" s="1">
        <v>11</v>
      </c>
      <c r="X88" s="1">
        <v>10</v>
      </c>
      <c r="Y88" s="1">
        <v>10</v>
      </c>
    </row>
    <row r="89" spans="1:25" x14ac:dyDescent="0.3">
      <c r="A89" s="2">
        <v>42426</v>
      </c>
      <c r="B89" s="1">
        <v>4</v>
      </c>
      <c r="C89" s="1">
        <v>6</v>
      </c>
      <c r="D89" s="1">
        <v>4</v>
      </c>
      <c r="E89" s="1">
        <v>5</v>
      </c>
      <c r="F89" s="1">
        <v>5</v>
      </c>
      <c r="G89" s="1">
        <v>5</v>
      </c>
      <c r="H89" s="1">
        <v>7</v>
      </c>
      <c r="I89" s="1">
        <v>17</v>
      </c>
      <c r="J89" s="1">
        <v>26</v>
      </c>
      <c r="K89" s="1">
        <v>21</v>
      </c>
      <c r="L89" s="1">
        <v>17</v>
      </c>
      <c r="M89" s="1">
        <v>22</v>
      </c>
      <c r="N89" s="1">
        <v>15</v>
      </c>
      <c r="O89" s="1">
        <v>16</v>
      </c>
      <c r="P89" s="1">
        <v>34</v>
      </c>
      <c r="Q89" s="1">
        <v>26</v>
      </c>
      <c r="R89" s="1">
        <v>34</v>
      </c>
      <c r="S89" s="1">
        <v>34</v>
      </c>
      <c r="T89" s="1">
        <v>26</v>
      </c>
      <c r="U89" s="1">
        <v>24</v>
      </c>
      <c r="V89" s="1">
        <v>12</v>
      </c>
      <c r="W89" s="1">
        <v>12</v>
      </c>
      <c r="X89" s="1">
        <v>7</v>
      </c>
      <c r="Y89" s="1">
        <v>13</v>
      </c>
    </row>
    <row r="90" spans="1:25" x14ac:dyDescent="0.3">
      <c r="A90" s="2">
        <v>42427</v>
      </c>
      <c r="B90" s="1">
        <v>12</v>
      </c>
      <c r="C90" s="1">
        <v>11</v>
      </c>
      <c r="D90" s="1">
        <v>6</v>
      </c>
      <c r="E90" s="1">
        <v>10</v>
      </c>
      <c r="F90" s="1">
        <v>13</v>
      </c>
      <c r="G90" s="1">
        <v>13</v>
      </c>
      <c r="H90" s="1">
        <v>5</v>
      </c>
      <c r="I90" s="1">
        <v>9</v>
      </c>
      <c r="J90" s="1">
        <v>12</v>
      </c>
      <c r="K90" s="1">
        <v>10</v>
      </c>
      <c r="L90" s="1">
        <v>25</v>
      </c>
      <c r="M90" s="1">
        <v>18</v>
      </c>
      <c r="N90" s="1">
        <v>29</v>
      </c>
      <c r="O90" s="1">
        <v>27</v>
      </c>
      <c r="P90" s="1">
        <v>17</v>
      </c>
      <c r="Q90" s="1">
        <v>28</v>
      </c>
      <c r="R90" s="1">
        <v>21</v>
      </c>
      <c r="S90" s="1">
        <v>27</v>
      </c>
      <c r="T90" s="1">
        <v>17</v>
      </c>
      <c r="U90" s="1">
        <v>14</v>
      </c>
      <c r="V90" s="1">
        <v>20</v>
      </c>
      <c r="W90" s="1">
        <v>10</v>
      </c>
      <c r="X90" s="1">
        <v>20</v>
      </c>
      <c r="Y90" s="1">
        <v>11</v>
      </c>
    </row>
    <row r="91" spans="1:25" x14ac:dyDescent="0.3">
      <c r="A91" s="2">
        <v>42428</v>
      </c>
      <c r="B91" s="1">
        <v>10</v>
      </c>
      <c r="C91" s="1">
        <v>8</v>
      </c>
      <c r="D91" s="1">
        <v>13</v>
      </c>
      <c r="E91" s="1">
        <v>8</v>
      </c>
      <c r="F91" s="1">
        <v>7</v>
      </c>
      <c r="G91" s="1">
        <v>11</v>
      </c>
      <c r="H91" s="1">
        <v>3</v>
      </c>
      <c r="I91" s="1">
        <v>14</v>
      </c>
      <c r="J91" s="1">
        <v>13</v>
      </c>
      <c r="K91" s="1">
        <v>11</v>
      </c>
      <c r="L91" s="1">
        <v>12</v>
      </c>
      <c r="M91" s="1">
        <v>21</v>
      </c>
      <c r="N91" s="1">
        <v>16</v>
      </c>
      <c r="O91" s="1">
        <v>23</v>
      </c>
      <c r="P91" s="1">
        <v>25</v>
      </c>
      <c r="Q91" s="1">
        <v>25</v>
      </c>
      <c r="R91" s="1">
        <v>18</v>
      </c>
      <c r="S91" s="1">
        <v>17</v>
      </c>
      <c r="T91" s="1">
        <v>15</v>
      </c>
      <c r="U91" s="1">
        <v>23</v>
      </c>
      <c r="V91" s="1">
        <v>12</v>
      </c>
      <c r="W91" s="1">
        <v>11</v>
      </c>
      <c r="X91" s="1">
        <v>8</v>
      </c>
      <c r="Y91" s="1">
        <v>5</v>
      </c>
    </row>
    <row r="92" spans="1:25" x14ac:dyDescent="0.3">
      <c r="A92" s="2">
        <v>42429</v>
      </c>
      <c r="B92" s="1">
        <v>10</v>
      </c>
      <c r="C92" s="1">
        <v>5</v>
      </c>
      <c r="D92" s="1">
        <v>7</v>
      </c>
      <c r="E92" s="1">
        <v>4</v>
      </c>
      <c r="F92" s="1">
        <v>3</v>
      </c>
      <c r="G92" s="1">
        <v>19</v>
      </c>
      <c r="H92" s="1">
        <v>10</v>
      </c>
      <c r="I92" s="1">
        <v>22</v>
      </c>
      <c r="J92" s="1">
        <v>17</v>
      </c>
      <c r="K92" s="1">
        <v>13</v>
      </c>
      <c r="L92" s="1">
        <v>18</v>
      </c>
      <c r="M92" s="1">
        <v>11</v>
      </c>
      <c r="N92" s="1">
        <v>17</v>
      </c>
      <c r="O92" s="1">
        <v>31</v>
      </c>
      <c r="P92" s="1">
        <v>21</v>
      </c>
      <c r="Q92" s="1">
        <v>19</v>
      </c>
      <c r="R92" s="1">
        <v>23</v>
      </c>
      <c r="S92" s="1">
        <v>23</v>
      </c>
      <c r="T92" s="1">
        <v>21</v>
      </c>
      <c r="U92" s="1">
        <v>13</v>
      </c>
      <c r="V92" s="1">
        <v>14</v>
      </c>
      <c r="W92" s="1">
        <v>8</v>
      </c>
      <c r="X92" s="1">
        <v>6</v>
      </c>
      <c r="Y92" s="1">
        <v>8</v>
      </c>
    </row>
    <row r="93" spans="1:25" x14ac:dyDescent="0.3">
      <c r="A93" s="2">
        <v>42430</v>
      </c>
      <c r="B93" s="1">
        <v>5</v>
      </c>
      <c r="C93" s="1">
        <v>5</v>
      </c>
      <c r="D93" s="1">
        <v>2</v>
      </c>
      <c r="E93" s="1">
        <v>2</v>
      </c>
      <c r="F93" s="1">
        <v>2</v>
      </c>
      <c r="G93" s="1">
        <v>6</v>
      </c>
      <c r="H93" s="1">
        <v>14</v>
      </c>
      <c r="I93" s="1">
        <v>20</v>
      </c>
      <c r="J93" s="1">
        <v>22</v>
      </c>
      <c r="K93" s="1">
        <v>20</v>
      </c>
      <c r="L93" s="1">
        <v>25</v>
      </c>
      <c r="M93" s="1">
        <v>32</v>
      </c>
      <c r="N93" s="1">
        <v>23</v>
      </c>
      <c r="O93" s="1">
        <v>36</v>
      </c>
      <c r="P93" s="1">
        <v>27</v>
      </c>
      <c r="Q93" s="1">
        <v>28</v>
      </c>
      <c r="R93" s="1">
        <v>36</v>
      </c>
      <c r="S93" s="1">
        <v>23</v>
      </c>
      <c r="T93" s="1">
        <v>22</v>
      </c>
      <c r="U93" s="1">
        <v>13</v>
      </c>
      <c r="V93" s="1">
        <v>13</v>
      </c>
      <c r="W93" s="1">
        <v>13</v>
      </c>
      <c r="X93" s="1">
        <v>13</v>
      </c>
      <c r="Y93" s="1">
        <v>5</v>
      </c>
    </row>
    <row r="94" spans="1:25" x14ac:dyDescent="0.3">
      <c r="A94" s="2">
        <v>42431</v>
      </c>
      <c r="B94" s="1">
        <v>5</v>
      </c>
      <c r="C94" s="1">
        <v>5</v>
      </c>
      <c r="D94" s="1">
        <v>4</v>
      </c>
      <c r="E94" s="1">
        <v>8</v>
      </c>
      <c r="F94" s="1">
        <v>8</v>
      </c>
      <c r="G94" s="1">
        <v>6</v>
      </c>
      <c r="H94" s="1">
        <v>8</v>
      </c>
      <c r="I94" s="1">
        <v>20</v>
      </c>
      <c r="J94" s="1">
        <v>33</v>
      </c>
      <c r="K94" s="1">
        <v>26</v>
      </c>
      <c r="L94" s="1">
        <v>21</v>
      </c>
      <c r="M94" s="1">
        <v>27</v>
      </c>
      <c r="N94" s="1">
        <v>23</v>
      </c>
      <c r="O94" s="1">
        <v>27</v>
      </c>
      <c r="P94" s="1">
        <v>19</v>
      </c>
      <c r="Q94" s="1">
        <v>20</v>
      </c>
      <c r="R94" s="1">
        <v>26</v>
      </c>
      <c r="S94" s="1">
        <v>22</v>
      </c>
      <c r="T94" s="1">
        <v>22</v>
      </c>
      <c r="U94" s="1">
        <v>21</v>
      </c>
      <c r="V94" s="1">
        <v>13</v>
      </c>
      <c r="W94" s="1">
        <v>11</v>
      </c>
      <c r="X94" s="1">
        <v>15</v>
      </c>
      <c r="Y94" s="1">
        <v>11</v>
      </c>
    </row>
    <row r="95" spans="1:25" x14ac:dyDescent="0.3">
      <c r="A95" s="2">
        <v>42432</v>
      </c>
      <c r="B95" s="1">
        <v>3</v>
      </c>
      <c r="C95" s="1">
        <v>5</v>
      </c>
      <c r="D95" s="1">
        <v>6</v>
      </c>
      <c r="E95" s="1">
        <v>1</v>
      </c>
      <c r="F95" s="1">
        <v>3</v>
      </c>
      <c r="G95" s="1">
        <v>4</v>
      </c>
      <c r="H95" s="1">
        <v>22</v>
      </c>
      <c r="I95" s="1">
        <v>26</v>
      </c>
      <c r="J95" s="1">
        <v>19</v>
      </c>
      <c r="K95" s="1">
        <v>19</v>
      </c>
      <c r="L95" s="1">
        <v>25</v>
      </c>
      <c r="M95" s="1">
        <v>15</v>
      </c>
      <c r="N95" s="1">
        <v>22</v>
      </c>
      <c r="O95" s="1">
        <v>24</v>
      </c>
      <c r="P95" s="1">
        <v>20</v>
      </c>
      <c r="Q95" s="1">
        <v>22</v>
      </c>
      <c r="R95" s="1">
        <v>19</v>
      </c>
      <c r="S95" s="1">
        <v>22</v>
      </c>
      <c r="T95" s="1">
        <v>23</v>
      </c>
      <c r="U95" s="1">
        <v>25</v>
      </c>
      <c r="V95" s="1">
        <v>13</v>
      </c>
      <c r="W95" s="1">
        <v>17</v>
      </c>
      <c r="X95" s="1">
        <v>7</v>
      </c>
      <c r="Y95" s="1">
        <v>5</v>
      </c>
    </row>
    <row r="96" spans="1:25" x14ac:dyDescent="0.3">
      <c r="A96" s="2">
        <v>42433</v>
      </c>
      <c r="B96" s="1">
        <v>8</v>
      </c>
      <c r="C96" s="1">
        <v>8</v>
      </c>
      <c r="D96" s="1">
        <v>6</v>
      </c>
      <c r="E96" s="1">
        <v>1</v>
      </c>
      <c r="F96" s="1">
        <v>4</v>
      </c>
      <c r="G96" s="1">
        <v>6</v>
      </c>
      <c r="H96" s="1">
        <v>8</v>
      </c>
      <c r="I96" s="1">
        <v>34</v>
      </c>
      <c r="J96" s="1">
        <v>15</v>
      </c>
      <c r="K96" s="1">
        <v>18</v>
      </c>
      <c r="L96" s="1">
        <v>24</v>
      </c>
      <c r="M96" s="1">
        <v>18</v>
      </c>
      <c r="N96" s="1">
        <v>15</v>
      </c>
      <c r="O96" s="1">
        <v>15</v>
      </c>
      <c r="P96" s="1">
        <v>12</v>
      </c>
      <c r="Q96" s="1">
        <v>18</v>
      </c>
      <c r="R96" s="1">
        <v>27</v>
      </c>
      <c r="S96" s="1">
        <v>15</v>
      </c>
      <c r="T96" s="1">
        <v>22</v>
      </c>
      <c r="U96" s="1">
        <v>34</v>
      </c>
      <c r="V96" s="1">
        <v>16</v>
      </c>
      <c r="W96" s="1">
        <v>17</v>
      </c>
      <c r="X96" s="1">
        <v>14</v>
      </c>
      <c r="Y96" s="1">
        <v>13</v>
      </c>
    </row>
    <row r="97" spans="1:25" x14ac:dyDescent="0.3">
      <c r="A97" s="2">
        <v>42434</v>
      </c>
      <c r="B97" s="1">
        <v>6</v>
      </c>
      <c r="C97" s="1">
        <v>12</v>
      </c>
      <c r="D97" s="1">
        <v>9</v>
      </c>
      <c r="E97" s="1">
        <v>5</v>
      </c>
      <c r="F97" s="1">
        <v>5</v>
      </c>
      <c r="G97" s="1">
        <v>6</v>
      </c>
      <c r="H97" s="1">
        <v>6</v>
      </c>
      <c r="I97" s="1">
        <v>12</v>
      </c>
      <c r="J97" s="1">
        <v>12</v>
      </c>
      <c r="K97" s="1">
        <v>11</v>
      </c>
      <c r="L97" s="1">
        <v>12</v>
      </c>
      <c r="M97" s="1">
        <v>13</v>
      </c>
      <c r="N97" s="1">
        <v>17</v>
      </c>
      <c r="O97" s="1">
        <v>19</v>
      </c>
      <c r="P97" s="1">
        <v>21</v>
      </c>
      <c r="Q97" s="1">
        <v>14</v>
      </c>
      <c r="R97" s="1">
        <v>20</v>
      </c>
      <c r="S97" s="1">
        <v>10</v>
      </c>
      <c r="T97" s="1">
        <v>23</v>
      </c>
      <c r="U97" s="1">
        <v>14</v>
      </c>
      <c r="V97" s="1">
        <v>11</v>
      </c>
      <c r="W97" s="1">
        <v>15</v>
      </c>
      <c r="X97" s="1">
        <v>13</v>
      </c>
      <c r="Y97" s="1">
        <v>11</v>
      </c>
    </row>
    <row r="98" spans="1:25" x14ac:dyDescent="0.3">
      <c r="A98" s="2">
        <v>42435</v>
      </c>
      <c r="B98" s="1">
        <v>3</v>
      </c>
      <c r="C98" s="1">
        <v>6</v>
      </c>
      <c r="D98" s="1">
        <v>4</v>
      </c>
      <c r="E98" s="1">
        <v>5</v>
      </c>
      <c r="F98" s="1">
        <v>8</v>
      </c>
      <c r="G98" s="1">
        <v>3</v>
      </c>
      <c r="H98" s="1">
        <v>5</v>
      </c>
      <c r="I98" s="1">
        <v>8</v>
      </c>
      <c r="J98" s="1">
        <v>5</v>
      </c>
      <c r="K98" s="1">
        <v>11</v>
      </c>
      <c r="L98" s="1">
        <v>29</v>
      </c>
      <c r="M98" s="1">
        <v>17</v>
      </c>
      <c r="N98" s="1">
        <v>15</v>
      </c>
      <c r="O98" s="1">
        <v>15</v>
      </c>
      <c r="P98" s="1">
        <v>15</v>
      </c>
      <c r="Q98" s="1">
        <v>19</v>
      </c>
      <c r="R98" s="1">
        <v>21</v>
      </c>
      <c r="S98" s="1">
        <v>16</v>
      </c>
      <c r="T98" s="1">
        <v>19</v>
      </c>
      <c r="U98" s="1">
        <v>13</v>
      </c>
      <c r="V98" s="1">
        <v>11</v>
      </c>
      <c r="W98" s="1">
        <v>10</v>
      </c>
      <c r="X98" s="1">
        <v>17</v>
      </c>
      <c r="Y98" s="1">
        <v>11</v>
      </c>
    </row>
    <row r="99" spans="1:25" x14ac:dyDescent="0.3">
      <c r="A99" s="2">
        <v>42436</v>
      </c>
      <c r="B99" s="1">
        <v>5</v>
      </c>
      <c r="C99" s="1">
        <v>7</v>
      </c>
      <c r="D99" s="1">
        <v>10</v>
      </c>
      <c r="E99" s="1">
        <v>7</v>
      </c>
      <c r="F99" s="1">
        <v>3</v>
      </c>
      <c r="G99" s="1">
        <v>4</v>
      </c>
      <c r="H99" s="1">
        <v>15</v>
      </c>
      <c r="I99" s="1">
        <v>22</v>
      </c>
      <c r="J99" s="1">
        <v>16</v>
      </c>
      <c r="K99" s="1">
        <v>28</v>
      </c>
      <c r="L99" s="1">
        <v>23</v>
      </c>
      <c r="M99" s="1">
        <v>20</v>
      </c>
      <c r="N99" s="1">
        <v>25</v>
      </c>
      <c r="O99" s="1">
        <v>20</v>
      </c>
      <c r="P99" s="1">
        <v>25</v>
      </c>
      <c r="Q99" s="1">
        <v>25</v>
      </c>
      <c r="R99" s="1">
        <v>20</v>
      </c>
      <c r="S99" s="1">
        <v>27</v>
      </c>
      <c r="T99" s="1">
        <v>18</v>
      </c>
      <c r="U99" s="1">
        <v>22</v>
      </c>
      <c r="V99" s="1">
        <v>15</v>
      </c>
      <c r="W99" s="1">
        <v>7</v>
      </c>
      <c r="X99" s="1">
        <v>8</v>
      </c>
      <c r="Y99" s="1">
        <v>9</v>
      </c>
    </row>
    <row r="100" spans="1:25" x14ac:dyDescent="0.3">
      <c r="A100" s="2">
        <v>42437</v>
      </c>
      <c r="B100" s="1">
        <v>6</v>
      </c>
      <c r="C100" s="1">
        <v>4</v>
      </c>
      <c r="D100" s="1">
        <v>2</v>
      </c>
      <c r="E100" s="1">
        <v>6</v>
      </c>
      <c r="F100" s="1">
        <v>5</v>
      </c>
      <c r="G100" s="1">
        <v>11</v>
      </c>
      <c r="H100" s="1">
        <v>5</v>
      </c>
      <c r="I100" s="1">
        <v>16</v>
      </c>
      <c r="J100" s="1">
        <v>23</v>
      </c>
      <c r="K100" s="1">
        <v>34</v>
      </c>
      <c r="L100" s="1">
        <v>26</v>
      </c>
      <c r="M100" s="1">
        <v>17</v>
      </c>
      <c r="N100" s="1">
        <v>24</v>
      </c>
      <c r="O100" s="1">
        <v>24</v>
      </c>
      <c r="P100" s="1">
        <v>17</v>
      </c>
      <c r="Q100" s="1">
        <v>35</v>
      </c>
      <c r="R100" s="1">
        <v>38</v>
      </c>
      <c r="S100" s="1">
        <v>31</v>
      </c>
      <c r="T100" s="1">
        <v>21</v>
      </c>
      <c r="U100" s="1">
        <v>11</v>
      </c>
      <c r="V100" s="1">
        <v>19</v>
      </c>
      <c r="W100" s="1">
        <v>11</v>
      </c>
      <c r="X100" s="1">
        <v>10</v>
      </c>
      <c r="Y100" s="1">
        <v>9</v>
      </c>
    </row>
    <row r="101" spans="1:25" x14ac:dyDescent="0.3">
      <c r="A101" s="2">
        <v>42438</v>
      </c>
      <c r="B101" s="1">
        <v>7</v>
      </c>
      <c r="C101" s="1">
        <v>4</v>
      </c>
      <c r="D101" s="1">
        <v>2</v>
      </c>
      <c r="E101" s="1">
        <v>11</v>
      </c>
      <c r="F101" s="1">
        <v>4</v>
      </c>
      <c r="G101" s="1">
        <v>7</v>
      </c>
      <c r="H101" s="1">
        <v>10</v>
      </c>
      <c r="I101" s="1">
        <v>21</v>
      </c>
      <c r="J101" s="1">
        <v>12</v>
      </c>
      <c r="K101" s="1">
        <v>23</v>
      </c>
      <c r="L101" s="1">
        <v>25</v>
      </c>
      <c r="M101" s="1">
        <v>23</v>
      </c>
      <c r="N101" s="1">
        <v>30</v>
      </c>
      <c r="O101" s="1">
        <v>23</v>
      </c>
      <c r="P101" s="1">
        <v>18</v>
      </c>
      <c r="Q101" s="1">
        <v>34</v>
      </c>
      <c r="R101" s="1">
        <v>31</v>
      </c>
      <c r="S101" s="1">
        <v>20</v>
      </c>
      <c r="T101" s="1">
        <v>17</v>
      </c>
      <c r="U101" s="1">
        <v>28</v>
      </c>
      <c r="V101" s="1">
        <v>18</v>
      </c>
      <c r="W101" s="1">
        <v>13</v>
      </c>
      <c r="X101" s="1">
        <v>6</v>
      </c>
      <c r="Y101" s="1">
        <v>7</v>
      </c>
    </row>
    <row r="102" spans="1:25" x14ac:dyDescent="0.3">
      <c r="A102" s="2">
        <v>42439</v>
      </c>
      <c r="B102" s="1">
        <v>10</v>
      </c>
      <c r="C102" s="1">
        <v>2</v>
      </c>
      <c r="D102" s="1">
        <v>10</v>
      </c>
      <c r="E102" s="1">
        <v>5</v>
      </c>
      <c r="F102" s="1">
        <v>4</v>
      </c>
      <c r="G102" s="1">
        <v>8</v>
      </c>
      <c r="H102" s="1">
        <v>5</v>
      </c>
      <c r="I102" s="1">
        <v>17</v>
      </c>
      <c r="J102" s="1">
        <v>22</v>
      </c>
      <c r="K102" s="1">
        <v>21</v>
      </c>
      <c r="L102" s="1">
        <v>28</v>
      </c>
      <c r="M102" s="1">
        <v>20</v>
      </c>
      <c r="N102" s="1">
        <v>20</v>
      </c>
      <c r="O102" s="1">
        <v>27</v>
      </c>
      <c r="P102" s="1">
        <v>20</v>
      </c>
      <c r="Q102" s="1">
        <v>32</v>
      </c>
      <c r="R102" s="1">
        <v>22</v>
      </c>
      <c r="S102" s="1">
        <v>28</v>
      </c>
      <c r="T102" s="1">
        <v>18</v>
      </c>
      <c r="U102" s="1">
        <v>28</v>
      </c>
      <c r="V102" s="1">
        <v>20</v>
      </c>
      <c r="W102" s="1">
        <v>9</v>
      </c>
      <c r="X102" s="1">
        <v>16</v>
      </c>
      <c r="Y102" s="1">
        <v>8</v>
      </c>
    </row>
    <row r="103" spans="1:25" x14ac:dyDescent="0.3">
      <c r="A103" s="2">
        <v>42440</v>
      </c>
      <c r="B103" s="1">
        <v>14</v>
      </c>
      <c r="C103" s="1">
        <v>2</v>
      </c>
      <c r="D103" s="1">
        <v>4</v>
      </c>
      <c r="E103" s="1">
        <v>5</v>
      </c>
      <c r="F103" s="1">
        <v>8</v>
      </c>
      <c r="G103" s="1">
        <v>4</v>
      </c>
      <c r="H103" s="1">
        <v>6</v>
      </c>
      <c r="I103" s="1">
        <v>17</v>
      </c>
      <c r="J103" s="1">
        <v>16</v>
      </c>
      <c r="K103" s="1">
        <v>23</v>
      </c>
      <c r="L103" s="1">
        <v>33</v>
      </c>
      <c r="M103" s="1">
        <v>16</v>
      </c>
      <c r="N103" s="1">
        <v>22</v>
      </c>
      <c r="O103" s="1">
        <v>21</v>
      </c>
      <c r="P103" s="1">
        <v>21</v>
      </c>
      <c r="Q103" s="1">
        <v>32</v>
      </c>
      <c r="R103" s="1">
        <v>28</v>
      </c>
      <c r="S103" s="1">
        <v>20</v>
      </c>
      <c r="T103" s="1">
        <v>24</v>
      </c>
      <c r="U103" s="1">
        <v>16</v>
      </c>
      <c r="V103" s="1">
        <v>14</v>
      </c>
      <c r="W103" s="1">
        <v>12</v>
      </c>
      <c r="X103" s="1">
        <v>15</v>
      </c>
      <c r="Y103" s="1">
        <v>5</v>
      </c>
    </row>
    <row r="104" spans="1:25" x14ac:dyDescent="0.3">
      <c r="A104" s="2">
        <v>42441</v>
      </c>
      <c r="B104" s="1">
        <v>11</v>
      </c>
      <c r="C104" s="1">
        <v>6</v>
      </c>
      <c r="D104" s="1">
        <v>9</v>
      </c>
      <c r="E104" s="1">
        <v>5</v>
      </c>
      <c r="F104" s="1">
        <v>5</v>
      </c>
      <c r="G104" s="1">
        <v>4</v>
      </c>
      <c r="H104" s="1">
        <v>8</v>
      </c>
      <c r="I104" s="1">
        <v>16</v>
      </c>
      <c r="J104" s="1">
        <v>13</v>
      </c>
      <c r="K104" s="1">
        <v>16</v>
      </c>
      <c r="L104" s="1">
        <v>21</v>
      </c>
      <c r="M104" s="1">
        <v>15</v>
      </c>
      <c r="N104" s="1">
        <v>28</v>
      </c>
      <c r="O104" s="1">
        <v>23</v>
      </c>
      <c r="P104" s="1">
        <v>16</v>
      </c>
      <c r="Q104" s="1">
        <v>15</v>
      </c>
      <c r="R104" s="1">
        <v>18</v>
      </c>
      <c r="S104" s="1">
        <v>14</v>
      </c>
      <c r="T104" s="1">
        <v>32</v>
      </c>
      <c r="U104" s="1">
        <v>14</v>
      </c>
      <c r="V104" s="1">
        <v>18</v>
      </c>
      <c r="W104" s="1">
        <v>15</v>
      </c>
      <c r="X104" s="1">
        <v>19</v>
      </c>
      <c r="Y104" s="1">
        <v>9</v>
      </c>
    </row>
    <row r="105" spans="1:25" x14ac:dyDescent="0.3">
      <c r="A105" s="2">
        <v>42442</v>
      </c>
      <c r="B105" s="1">
        <v>14</v>
      </c>
      <c r="C105" s="1">
        <v>15</v>
      </c>
      <c r="D105" s="1">
        <v>0</v>
      </c>
      <c r="E105" s="1">
        <v>4</v>
      </c>
      <c r="F105" s="1">
        <v>7</v>
      </c>
      <c r="G105" s="1">
        <v>4</v>
      </c>
      <c r="H105" s="1">
        <v>13</v>
      </c>
      <c r="I105" s="1">
        <v>12</v>
      </c>
      <c r="J105" s="1">
        <v>10</v>
      </c>
      <c r="K105" s="1">
        <v>13</v>
      </c>
      <c r="L105" s="1">
        <v>15</v>
      </c>
      <c r="M105" s="1">
        <v>16</v>
      </c>
      <c r="N105" s="1">
        <v>25</v>
      </c>
      <c r="O105" s="1">
        <v>18</v>
      </c>
      <c r="P105" s="1">
        <v>14</v>
      </c>
      <c r="Q105" s="1">
        <v>9</v>
      </c>
      <c r="R105" s="1">
        <v>17</v>
      </c>
      <c r="S105" s="1">
        <v>17</v>
      </c>
      <c r="T105" s="1">
        <v>17</v>
      </c>
      <c r="U105" s="1">
        <v>23</v>
      </c>
      <c r="V105" s="1">
        <v>11</v>
      </c>
      <c r="W105" s="1">
        <v>12</v>
      </c>
      <c r="X105" s="1">
        <v>11</v>
      </c>
      <c r="Y105" s="1">
        <v>5</v>
      </c>
    </row>
    <row r="106" spans="1:25" x14ac:dyDescent="0.3">
      <c r="A106" s="2">
        <v>42443</v>
      </c>
      <c r="B106" s="1">
        <v>7</v>
      </c>
      <c r="C106" s="1">
        <v>6</v>
      </c>
      <c r="D106" s="1">
        <v>11</v>
      </c>
      <c r="E106" s="1">
        <v>4</v>
      </c>
      <c r="F106" s="1">
        <v>10</v>
      </c>
      <c r="G106" s="1">
        <v>3</v>
      </c>
      <c r="H106" s="1">
        <v>20</v>
      </c>
      <c r="I106" s="1">
        <v>16</v>
      </c>
      <c r="J106" s="1">
        <v>23</v>
      </c>
      <c r="K106" s="1">
        <v>18</v>
      </c>
      <c r="L106" s="1">
        <v>18</v>
      </c>
      <c r="M106" s="1">
        <v>34</v>
      </c>
      <c r="N106" s="1">
        <v>22</v>
      </c>
      <c r="O106" s="1">
        <v>16</v>
      </c>
      <c r="P106" s="1">
        <v>20</v>
      </c>
      <c r="Q106" s="1">
        <v>29</v>
      </c>
      <c r="R106" s="1">
        <v>24</v>
      </c>
      <c r="S106" s="1">
        <v>22</v>
      </c>
      <c r="T106" s="1">
        <v>16</v>
      </c>
      <c r="U106" s="1">
        <v>14</v>
      </c>
      <c r="V106" s="1">
        <v>16</v>
      </c>
      <c r="W106" s="1">
        <v>14</v>
      </c>
      <c r="X106" s="1">
        <v>11</v>
      </c>
      <c r="Y106" s="1">
        <v>6</v>
      </c>
    </row>
    <row r="107" spans="1:25" x14ac:dyDescent="0.3">
      <c r="A107" s="2">
        <v>42444</v>
      </c>
      <c r="B107" s="1">
        <v>6</v>
      </c>
      <c r="C107" s="1">
        <v>4</v>
      </c>
      <c r="D107" s="1">
        <v>7</v>
      </c>
      <c r="E107" s="1">
        <v>4</v>
      </c>
      <c r="F107" s="1">
        <v>8</v>
      </c>
      <c r="G107" s="1">
        <v>4</v>
      </c>
      <c r="H107" s="1">
        <v>14</v>
      </c>
      <c r="I107" s="1">
        <v>21</v>
      </c>
      <c r="J107" s="1">
        <v>28</v>
      </c>
      <c r="K107" s="1">
        <v>27</v>
      </c>
      <c r="L107" s="1">
        <v>22</v>
      </c>
      <c r="M107" s="1">
        <v>15</v>
      </c>
      <c r="N107" s="1">
        <v>16</v>
      </c>
      <c r="O107" s="1">
        <v>20</v>
      </c>
      <c r="P107" s="1">
        <v>27</v>
      </c>
      <c r="Q107" s="1">
        <v>29</v>
      </c>
      <c r="R107" s="1">
        <v>18</v>
      </c>
      <c r="S107" s="1">
        <v>27</v>
      </c>
      <c r="T107" s="1">
        <v>13</v>
      </c>
      <c r="U107" s="1">
        <v>20</v>
      </c>
      <c r="V107" s="1">
        <v>21</v>
      </c>
      <c r="W107" s="1">
        <v>9</v>
      </c>
      <c r="X107" s="1">
        <v>11</v>
      </c>
      <c r="Y107" s="1">
        <v>7</v>
      </c>
    </row>
    <row r="108" spans="1:25" x14ac:dyDescent="0.3">
      <c r="A108" s="2">
        <v>42445</v>
      </c>
      <c r="B108" s="1">
        <v>7</v>
      </c>
      <c r="C108" s="1">
        <v>6</v>
      </c>
      <c r="D108" s="1">
        <v>6</v>
      </c>
      <c r="E108" s="1">
        <v>4</v>
      </c>
      <c r="F108" s="1">
        <v>4</v>
      </c>
      <c r="G108" s="1">
        <v>10</v>
      </c>
      <c r="H108" s="1">
        <v>12</v>
      </c>
      <c r="I108" s="1">
        <v>17</v>
      </c>
      <c r="J108" s="1">
        <v>28</v>
      </c>
      <c r="K108" s="1">
        <v>16</v>
      </c>
      <c r="L108" s="1">
        <v>23</v>
      </c>
      <c r="M108" s="1">
        <v>15</v>
      </c>
      <c r="N108" s="1">
        <v>31</v>
      </c>
      <c r="O108" s="1">
        <v>20</v>
      </c>
      <c r="P108" s="1">
        <v>21</v>
      </c>
      <c r="Q108" s="1">
        <v>32</v>
      </c>
      <c r="R108" s="1">
        <v>22</v>
      </c>
      <c r="S108" s="1">
        <v>14</v>
      </c>
      <c r="T108" s="1">
        <v>25</v>
      </c>
      <c r="U108" s="1">
        <v>11</v>
      </c>
      <c r="V108" s="1">
        <v>7</v>
      </c>
      <c r="W108" s="1">
        <v>7</v>
      </c>
      <c r="X108" s="1">
        <v>6</v>
      </c>
      <c r="Y108" s="1">
        <v>13</v>
      </c>
    </row>
    <row r="109" spans="1:25" x14ac:dyDescent="0.3">
      <c r="A109" s="2">
        <v>42446</v>
      </c>
      <c r="B109" s="1">
        <v>8</v>
      </c>
      <c r="C109" s="1">
        <v>5</v>
      </c>
      <c r="D109" s="1">
        <v>6</v>
      </c>
      <c r="E109" s="1">
        <v>3</v>
      </c>
      <c r="F109" s="1">
        <v>3</v>
      </c>
      <c r="G109" s="1">
        <v>1</v>
      </c>
      <c r="H109" s="1">
        <v>15</v>
      </c>
      <c r="I109" s="1">
        <v>17</v>
      </c>
      <c r="J109" s="1">
        <v>20</v>
      </c>
      <c r="K109" s="1">
        <v>24</v>
      </c>
      <c r="L109" s="1">
        <v>24</v>
      </c>
      <c r="M109" s="1">
        <v>22</v>
      </c>
      <c r="N109" s="1">
        <v>25</v>
      </c>
      <c r="O109" s="1">
        <v>24</v>
      </c>
      <c r="P109" s="1">
        <v>26</v>
      </c>
      <c r="Q109" s="1">
        <v>33</v>
      </c>
      <c r="R109" s="1">
        <v>39</v>
      </c>
      <c r="S109" s="1">
        <v>28</v>
      </c>
      <c r="T109" s="1">
        <v>23</v>
      </c>
      <c r="U109" s="1">
        <v>17</v>
      </c>
      <c r="V109" s="1">
        <v>15</v>
      </c>
      <c r="W109" s="1">
        <v>9</v>
      </c>
      <c r="X109" s="1">
        <v>10</v>
      </c>
      <c r="Y109" s="1">
        <v>11</v>
      </c>
    </row>
    <row r="110" spans="1:25" x14ac:dyDescent="0.3">
      <c r="A110" s="2">
        <v>42447</v>
      </c>
      <c r="B110" s="1">
        <v>9</v>
      </c>
      <c r="C110" s="1">
        <v>5</v>
      </c>
      <c r="D110" s="1">
        <v>8</v>
      </c>
      <c r="E110" s="1">
        <v>3</v>
      </c>
      <c r="F110" s="1">
        <v>3</v>
      </c>
      <c r="G110" s="1">
        <v>6</v>
      </c>
      <c r="H110" s="1">
        <v>7</v>
      </c>
      <c r="I110" s="1">
        <v>18</v>
      </c>
      <c r="J110" s="1">
        <v>27</v>
      </c>
      <c r="K110" s="1">
        <v>27</v>
      </c>
      <c r="L110" s="1">
        <v>21</v>
      </c>
      <c r="M110" s="1">
        <v>27</v>
      </c>
      <c r="N110" s="1">
        <v>23</v>
      </c>
      <c r="O110" s="1">
        <v>32</v>
      </c>
      <c r="P110" s="1">
        <v>26</v>
      </c>
      <c r="Q110" s="1">
        <v>21</v>
      </c>
      <c r="R110" s="1">
        <v>30</v>
      </c>
      <c r="S110" s="1">
        <v>25</v>
      </c>
      <c r="T110" s="1">
        <v>24</v>
      </c>
      <c r="U110" s="1">
        <v>16</v>
      </c>
      <c r="V110" s="1">
        <v>16</v>
      </c>
      <c r="W110" s="1">
        <v>16</v>
      </c>
      <c r="X110" s="1">
        <v>13</v>
      </c>
      <c r="Y110" s="1">
        <v>16</v>
      </c>
    </row>
    <row r="111" spans="1:25" x14ac:dyDescent="0.3">
      <c r="A111" s="2">
        <v>42448</v>
      </c>
      <c r="B111" s="1">
        <v>11</v>
      </c>
      <c r="C111" s="1">
        <v>14</v>
      </c>
      <c r="D111" s="1">
        <v>5</v>
      </c>
      <c r="E111" s="1">
        <v>4</v>
      </c>
      <c r="F111" s="1">
        <v>8</v>
      </c>
      <c r="G111" s="1">
        <v>8</v>
      </c>
      <c r="H111" s="1">
        <v>6</v>
      </c>
      <c r="I111" s="1">
        <v>8</v>
      </c>
      <c r="J111" s="1">
        <v>6</v>
      </c>
      <c r="K111" s="1">
        <v>19</v>
      </c>
      <c r="L111" s="1">
        <v>21</v>
      </c>
      <c r="M111" s="1">
        <v>13</v>
      </c>
      <c r="N111" s="1">
        <v>14</v>
      </c>
      <c r="O111" s="1">
        <v>19</v>
      </c>
      <c r="P111" s="1">
        <v>13</v>
      </c>
      <c r="Q111" s="1">
        <v>23</v>
      </c>
      <c r="R111" s="1">
        <v>18</v>
      </c>
      <c r="S111" s="1">
        <v>11</v>
      </c>
      <c r="T111" s="1">
        <v>13</v>
      </c>
      <c r="U111" s="1">
        <v>18</v>
      </c>
      <c r="V111" s="1">
        <v>20</v>
      </c>
      <c r="W111" s="1">
        <v>11</v>
      </c>
      <c r="X111" s="1">
        <v>11</v>
      </c>
      <c r="Y111" s="1">
        <v>13</v>
      </c>
    </row>
    <row r="112" spans="1:25" x14ac:dyDescent="0.3">
      <c r="A112" s="2">
        <v>42449</v>
      </c>
      <c r="B112" s="1">
        <v>6</v>
      </c>
      <c r="C112" s="1">
        <v>5</v>
      </c>
      <c r="D112" s="1">
        <v>11</v>
      </c>
      <c r="E112" s="1">
        <v>7</v>
      </c>
      <c r="F112" s="1">
        <v>3</v>
      </c>
      <c r="G112" s="1">
        <v>6</v>
      </c>
      <c r="H112" s="1">
        <v>5</v>
      </c>
      <c r="I112" s="1">
        <v>8</v>
      </c>
      <c r="J112" s="1">
        <v>10</v>
      </c>
      <c r="K112" s="1">
        <v>9</v>
      </c>
      <c r="L112" s="1">
        <v>17</v>
      </c>
      <c r="M112" s="1">
        <v>8</v>
      </c>
      <c r="N112" s="1">
        <v>24</v>
      </c>
      <c r="O112" s="1">
        <v>9</v>
      </c>
      <c r="P112" s="1">
        <v>11</v>
      </c>
      <c r="Q112" s="1">
        <v>10</v>
      </c>
      <c r="R112" s="1">
        <v>14</v>
      </c>
      <c r="S112" s="1">
        <v>14</v>
      </c>
      <c r="T112" s="1">
        <v>6</v>
      </c>
      <c r="U112" s="1">
        <v>17</v>
      </c>
      <c r="V112" s="1">
        <v>14</v>
      </c>
      <c r="W112" s="1">
        <v>14</v>
      </c>
      <c r="X112" s="1">
        <v>3</v>
      </c>
      <c r="Y112" s="1">
        <v>10</v>
      </c>
    </row>
    <row r="113" spans="1:25" x14ac:dyDescent="0.3">
      <c r="A113" s="2">
        <v>42450</v>
      </c>
      <c r="B113" s="1">
        <v>6</v>
      </c>
      <c r="C113" s="1">
        <v>5</v>
      </c>
      <c r="D113" s="1">
        <v>5</v>
      </c>
      <c r="E113" s="1">
        <v>6</v>
      </c>
      <c r="F113" s="1">
        <v>5</v>
      </c>
      <c r="G113" s="1">
        <v>6</v>
      </c>
      <c r="H113" s="1">
        <v>12</v>
      </c>
      <c r="I113" s="1">
        <v>23</v>
      </c>
      <c r="J113" s="1">
        <v>21</v>
      </c>
      <c r="K113" s="1">
        <v>22</v>
      </c>
      <c r="L113" s="1">
        <v>17</v>
      </c>
      <c r="M113" s="1">
        <v>28</v>
      </c>
      <c r="N113" s="1">
        <v>25</v>
      </c>
      <c r="O113" s="1">
        <v>26</v>
      </c>
      <c r="P113" s="1">
        <v>24</v>
      </c>
      <c r="Q113" s="1">
        <v>15</v>
      </c>
      <c r="R113" s="1">
        <v>27</v>
      </c>
      <c r="S113" s="1">
        <v>24</v>
      </c>
      <c r="T113" s="1">
        <v>22</v>
      </c>
      <c r="U113" s="1">
        <v>13</v>
      </c>
      <c r="V113" s="1">
        <v>13</v>
      </c>
      <c r="W113" s="1">
        <v>13</v>
      </c>
      <c r="X113" s="1">
        <v>4</v>
      </c>
      <c r="Y113" s="1">
        <v>7</v>
      </c>
    </row>
    <row r="114" spans="1:25" x14ac:dyDescent="0.3">
      <c r="A114" s="2">
        <v>42451</v>
      </c>
      <c r="B114" s="1">
        <v>8</v>
      </c>
      <c r="C114" s="1">
        <v>4</v>
      </c>
      <c r="D114" s="1">
        <v>3</v>
      </c>
      <c r="E114" s="1">
        <v>1</v>
      </c>
      <c r="F114" s="1">
        <v>2</v>
      </c>
      <c r="G114" s="1">
        <v>6</v>
      </c>
      <c r="H114" s="1">
        <v>12</v>
      </c>
      <c r="I114" s="1">
        <v>15</v>
      </c>
      <c r="J114" s="1">
        <v>16</v>
      </c>
      <c r="K114" s="1">
        <v>15</v>
      </c>
      <c r="L114" s="1">
        <v>17</v>
      </c>
      <c r="M114" s="1">
        <v>15</v>
      </c>
      <c r="N114" s="1">
        <v>17</v>
      </c>
      <c r="O114" s="1">
        <v>16</v>
      </c>
      <c r="P114" s="1">
        <v>28</v>
      </c>
      <c r="Q114" s="1">
        <v>24</v>
      </c>
      <c r="R114" s="1">
        <v>23</v>
      </c>
      <c r="S114" s="1">
        <v>14</v>
      </c>
      <c r="T114" s="1">
        <v>19</v>
      </c>
      <c r="U114" s="1">
        <v>10</v>
      </c>
      <c r="V114" s="1">
        <v>17</v>
      </c>
      <c r="W114" s="1">
        <v>7</v>
      </c>
      <c r="X114" s="1">
        <v>7</v>
      </c>
      <c r="Y114" s="1">
        <v>5</v>
      </c>
    </row>
    <row r="115" spans="1:25" x14ac:dyDescent="0.3">
      <c r="A115" s="2">
        <v>42452</v>
      </c>
      <c r="B115" s="1">
        <v>7</v>
      </c>
      <c r="C115" s="1">
        <v>3</v>
      </c>
      <c r="D115" s="1">
        <v>10</v>
      </c>
      <c r="E115" s="1">
        <v>7</v>
      </c>
      <c r="F115" s="1">
        <v>0</v>
      </c>
      <c r="G115" s="1">
        <v>5</v>
      </c>
      <c r="H115" s="1">
        <v>10</v>
      </c>
      <c r="I115" s="1">
        <v>15</v>
      </c>
      <c r="J115" s="1">
        <v>26</v>
      </c>
      <c r="K115" s="1">
        <v>18</v>
      </c>
      <c r="L115" s="1">
        <v>18</v>
      </c>
      <c r="M115" s="1">
        <v>5</v>
      </c>
      <c r="N115" s="1">
        <v>22</v>
      </c>
      <c r="O115" s="1">
        <v>27</v>
      </c>
      <c r="P115" s="1">
        <v>26</v>
      </c>
      <c r="Q115" s="1">
        <v>22</v>
      </c>
      <c r="R115" s="1">
        <v>28</v>
      </c>
      <c r="S115" s="1">
        <v>30</v>
      </c>
      <c r="T115" s="1">
        <v>14</v>
      </c>
      <c r="U115" s="1">
        <v>19</v>
      </c>
      <c r="V115" s="1">
        <v>16</v>
      </c>
      <c r="W115" s="1">
        <v>13</v>
      </c>
      <c r="X115" s="1">
        <v>16</v>
      </c>
      <c r="Y115" s="1">
        <v>9</v>
      </c>
    </row>
    <row r="116" spans="1:25" x14ac:dyDescent="0.3">
      <c r="A116" s="2">
        <v>42453</v>
      </c>
      <c r="B116" s="1">
        <v>9</v>
      </c>
      <c r="C116" s="1">
        <v>2</v>
      </c>
      <c r="D116" s="1">
        <v>11</v>
      </c>
      <c r="E116" s="1">
        <v>4</v>
      </c>
      <c r="F116" s="1">
        <v>8</v>
      </c>
      <c r="G116" s="1">
        <v>12</v>
      </c>
      <c r="H116" s="1">
        <v>8</v>
      </c>
      <c r="I116" s="1">
        <v>8</v>
      </c>
      <c r="J116" s="1">
        <v>17</v>
      </c>
      <c r="K116" s="1">
        <v>16</v>
      </c>
      <c r="L116" s="1">
        <v>11</v>
      </c>
      <c r="M116" s="1">
        <v>23</v>
      </c>
      <c r="N116" s="1">
        <v>19</v>
      </c>
      <c r="O116" s="1">
        <v>21</v>
      </c>
      <c r="P116" s="1">
        <v>17</v>
      </c>
      <c r="Q116" s="1">
        <v>25</v>
      </c>
      <c r="R116" s="1">
        <v>31</v>
      </c>
      <c r="S116" s="1">
        <v>22</v>
      </c>
      <c r="T116" s="1">
        <v>18</v>
      </c>
      <c r="U116" s="1">
        <v>16</v>
      </c>
      <c r="V116" s="1">
        <v>19</v>
      </c>
      <c r="W116" s="1">
        <v>10</v>
      </c>
      <c r="X116" s="1">
        <v>12</v>
      </c>
      <c r="Y116" s="1">
        <v>9</v>
      </c>
    </row>
    <row r="117" spans="1:25" x14ac:dyDescent="0.3">
      <c r="A117" s="2">
        <v>42454</v>
      </c>
      <c r="B117" s="1">
        <v>3</v>
      </c>
      <c r="C117" s="1">
        <v>7</v>
      </c>
      <c r="D117" s="1">
        <v>2</v>
      </c>
      <c r="E117" s="1">
        <v>6</v>
      </c>
      <c r="F117" s="1">
        <v>2</v>
      </c>
      <c r="G117" s="1">
        <v>7</v>
      </c>
      <c r="H117" s="1">
        <v>5</v>
      </c>
      <c r="I117" s="1">
        <v>13</v>
      </c>
      <c r="J117" s="1">
        <v>16</v>
      </c>
      <c r="K117" s="1">
        <v>22</v>
      </c>
      <c r="L117" s="1">
        <v>22</v>
      </c>
      <c r="M117" s="1">
        <v>34</v>
      </c>
      <c r="N117" s="1">
        <v>14</v>
      </c>
      <c r="O117" s="1">
        <v>27</v>
      </c>
      <c r="P117" s="1">
        <v>27</v>
      </c>
      <c r="Q117" s="1">
        <v>21</v>
      </c>
      <c r="R117" s="1">
        <v>21</v>
      </c>
      <c r="S117" s="1">
        <v>19</v>
      </c>
      <c r="T117" s="1">
        <v>18</v>
      </c>
      <c r="U117" s="1">
        <v>13</v>
      </c>
      <c r="V117" s="1">
        <v>18</v>
      </c>
      <c r="W117" s="1">
        <v>14</v>
      </c>
      <c r="X117" s="1">
        <v>13</v>
      </c>
      <c r="Y117" s="1">
        <v>12</v>
      </c>
    </row>
    <row r="118" spans="1:25" x14ac:dyDescent="0.3">
      <c r="A118" s="2">
        <v>42455</v>
      </c>
      <c r="B118" s="1">
        <v>6</v>
      </c>
      <c r="C118" s="1">
        <v>5</v>
      </c>
      <c r="D118" s="1">
        <v>5</v>
      </c>
      <c r="E118" s="1">
        <v>9</v>
      </c>
      <c r="F118" s="1">
        <v>5</v>
      </c>
      <c r="G118" s="1">
        <v>6</v>
      </c>
      <c r="H118" s="1">
        <v>8</v>
      </c>
      <c r="I118" s="1">
        <v>9</v>
      </c>
      <c r="J118" s="1">
        <v>11</v>
      </c>
      <c r="K118" s="1">
        <v>11</v>
      </c>
      <c r="L118" s="1">
        <v>12</v>
      </c>
      <c r="M118" s="1">
        <v>21</v>
      </c>
      <c r="N118" s="1">
        <v>21</v>
      </c>
      <c r="O118" s="1">
        <v>20</v>
      </c>
      <c r="P118" s="1">
        <v>22</v>
      </c>
      <c r="Q118" s="1">
        <v>28</v>
      </c>
      <c r="R118" s="1">
        <v>20</v>
      </c>
      <c r="S118" s="1">
        <v>19</v>
      </c>
      <c r="T118" s="1">
        <v>13</v>
      </c>
      <c r="U118" s="1">
        <v>13</v>
      </c>
      <c r="V118" s="1">
        <v>13</v>
      </c>
      <c r="W118" s="1">
        <v>17</v>
      </c>
      <c r="X118" s="1">
        <v>11</v>
      </c>
      <c r="Y118" s="1">
        <v>5</v>
      </c>
    </row>
    <row r="119" spans="1:25" x14ac:dyDescent="0.3">
      <c r="A119" s="2">
        <v>42456</v>
      </c>
      <c r="B119" s="1">
        <v>4</v>
      </c>
      <c r="C119" s="1">
        <v>13</v>
      </c>
      <c r="D119" s="1">
        <v>6</v>
      </c>
      <c r="E119" s="1">
        <v>5</v>
      </c>
      <c r="F119" s="1">
        <v>3</v>
      </c>
      <c r="G119" s="1">
        <v>6</v>
      </c>
      <c r="H119" s="1">
        <v>3</v>
      </c>
      <c r="I119" s="1">
        <v>4</v>
      </c>
      <c r="J119" s="1">
        <v>11</v>
      </c>
      <c r="K119" s="1">
        <v>9</v>
      </c>
      <c r="L119" s="1">
        <v>16</v>
      </c>
      <c r="M119" s="1">
        <v>16</v>
      </c>
      <c r="N119" s="1">
        <v>15</v>
      </c>
      <c r="O119" s="1">
        <v>20</v>
      </c>
      <c r="P119" s="1">
        <v>22</v>
      </c>
      <c r="Q119" s="1">
        <v>11</v>
      </c>
      <c r="R119" s="1">
        <v>21</v>
      </c>
      <c r="S119" s="1">
        <v>8</v>
      </c>
      <c r="T119" s="1">
        <v>13</v>
      </c>
      <c r="U119" s="1">
        <v>13</v>
      </c>
      <c r="V119" s="1">
        <v>17</v>
      </c>
      <c r="W119" s="1">
        <v>14</v>
      </c>
      <c r="X119" s="1">
        <v>9</v>
      </c>
      <c r="Y119" s="1">
        <v>9</v>
      </c>
    </row>
    <row r="120" spans="1:25" x14ac:dyDescent="0.3">
      <c r="A120" s="2">
        <v>42457</v>
      </c>
      <c r="B120" s="1">
        <v>4</v>
      </c>
      <c r="C120" s="1">
        <v>7</v>
      </c>
      <c r="D120" s="1">
        <v>9</v>
      </c>
      <c r="E120" s="1">
        <v>5</v>
      </c>
      <c r="F120" s="1">
        <v>6</v>
      </c>
      <c r="G120" s="1">
        <v>10</v>
      </c>
      <c r="H120" s="1">
        <v>10</v>
      </c>
      <c r="I120" s="1">
        <v>20</v>
      </c>
      <c r="J120" s="1">
        <v>21</v>
      </c>
      <c r="K120" s="1">
        <v>15</v>
      </c>
      <c r="L120" s="1">
        <v>17</v>
      </c>
      <c r="M120" s="1">
        <v>20</v>
      </c>
      <c r="N120" s="1">
        <v>17</v>
      </c>
      <c r="O120" s="1">
        <v>16</v>
      </c>
      <c r="P120" s="1">
        <v>22</v>
      </c>
      <c r="Q120" s="1">
        <v>25</v>
      </c>
      <c r="R120" s="1">
        <v>27</v>
      </c>
      <c r="S120" s="1">
        <v>36</v>
      </c>
      <c r="T120" s="1">
        <v>25</v>
      </c>
      <c r="U120" s="1">
        <v>24</v>
      </c>
      <c r="V120" s="1">
        <v>22</v>
      </c>
      <c r="W120" s="1">
        <v>17</v>
      </c>
      <c r="X120" s="1">
        <v>19</v>
      </c>
      <c r="Y120" s="1">
        <v>10</v>
      </c>
    </row>
    <row r="121" spans="1:25" x14ac:dyDescent="0.3">
      <c r="A121" s="2">
        <v>42458</v>
      </c>
      <c r="B121" s="1">
        <v>3</v>
      </c>
      <c r="C121" s="1">
        <v>5</v>
      </c>
      <c r="D121" s="1">
        <v>7</v>
      </c>
      <c r="E121" s="1">
        <v>3</v>
      </c>
      <c r="F121" s="1">
        <v>8</v>
      </c>
      <c r="G121" s="1">
        <v>5</v>
      </c>
      <c r="H121" s="1">
        <v>9</v>
      </c>
      <c r="I121" s="1">
        <v>16</v>
      </c>
      <c r="J121" s="1">
        <v>18</v>
      </c>
      <c r="K121" s="1">
        <v>18</v>
      </c>
      <c r="L121" s="1">
        <v>30</v>
      </c>
      <c r="M121" s="1">
        <v>20</v>
      </c>
      <c r="N121" s="1">
        <v>22</v>
      </c>
      <c r="O121" s="1">
        <v>19</v>
      </c>
      <c r="P121" s="1">
        <v>30</v>
      </c>
      <c r="Q121" s="1">
        <v>28</v>
      </c>
      <c r="R121" s="1">
        <v>29</v>
      </c>
      <c r="S121" s="1">
        <v>29</v>
      </c>
      <c r="T121" s="1">
        <v>22</v>
      </c>
      <c r="U121" s="1">
        <v>16</v>
      </c>
      <c r="V121" s="1">
        <v>13</v>
      </c>
      <c r="W121" s="1">
        <v>9</v>
      </c>
      <c r="X121" s="1">
        <v>10</v>
      </c>
      <c r="Y121" s="1">
        <v>11</v>
      </c>
    </row>
    <row r="122" spans="1:25" x14ac:dyDescent="0.3">
      <c r="A122" s="2">
        <v>42459</v>
      </c>
      <c r="B122" s="1">
        <v>5</v>
      </c>
      <c r="C122" s="1">
        <v>3</v>
      </c>
      <c r="D122" s="1">
        <v>2</v>
      </c>
      <c r="E122" s="1">
        <v>3</v>
      </c>
      <c r="F122" s="1">
        <v>5</v>
      </c>
      <c r="G122" s="1">
        <v>6</v>
      </c>
      <c r="H122" s="1">
        <v>11</v>
      </c>
      <c r="I122" s="1">
        <v>20</v>
      </c>
      <c r="J122" s="1">
        <v>21</v>
      </c>
      <c r="K122" s="1">
        <v>23</v>
      </c>
      <c r="L122" s="1">
        <v>17</v>
      </c>
      <c r="M122" s="1">
        <v>25</v>
      </c>
      <c r="N122" s="1">
        <v>21</v>
      </c>
      <c r="O122" s="1">
        <v>31</v>
      </c>
      <c r="P122" s="1">
        <v>29</v>
      </c>
      <c r="Q122" s="1">
        <v>27</v>
      </c>
      <c r="R122" s="1">
        <v>26</v>
      </c>
      <c r="S122" s="1">
        <v>22</v>
      </c>
      <c r="T122" s="1">
        <v>19</v>
      </c>
      <c r="U122" s="1">
        <v>16</v>
      </c>
      <c r="V122" s="1">
        <v>14</v>
      </c>
      <c r="W122" s="1">
        <v>16</v>
      </c>
      <c r="X122" s="1">
        <v>3</v>
      </c>
      <c r="Y122" s="1">
        <v>6</v>
      </c>
    </row>
    <row r="123" spans="1:25" x14ac:dyDescent="0.3">
      <c r="A123" s="2">
        <v>42460</v>
      </c>
      <c r="B123" s="1">
        <v>2</v>
      </c>
      <c r="C123" s="1">
        <v>2</v>
      </c>
      <c r="D123" s="1">
        <v>4</v>
      </c>
      <c r="E123" s="1">
        <v>7</v>
      </c>
      <c r="F123" s="1">
        <v>5</v>
      </c>
      <c r="G123" s="1">
        <v>3</v>
      </c>
      <c r="H123" s="1">
        <v>9</v>
      </c>
      <c r="I123" s="1">
        <v>18</v>
      </c>
      <c r="J123" s="1">
        <v>21</v>
      </c>
      <c r="K123" s="1">
        <v>24</v>
      </c>
      <c r="L123" s="1">
        <v>23</v>
      </c>
      <c r="M123" s="1">
        <v>21</v>
      </c>
      <c r="N123" s="1">
        <v>17</v>
      </c>
      <c r="O123" s="1">
        <v>21</v>
      </c>
      <c r="P123" s="1">
        <v>18</v>
      </c>
      <c r="Q123" s="1">
        <v>17</v>
      </c>
      <c r="R123" s="1">
        <v>30</v>
      </c>
      <c r="S123" s="1">
        <v>26</v>
      </c>
      <c r="T123" s="1">
        <v>21</v>
      </c>
      <c r="U123" s="1">
        <v>13</v>
      </c>
      <c r="V123" s="1">
        <v>17</v>
      </c>
      <c r="W123" s="1">
        <v>22</v>
      </c>
      <c r="X123" s="1">
        <v>15</v>
      </c>
      <c r="Y123" s="1">
        <v>4</v>
      </c>
    </row>
    <row r="124" spans="1:25" x14ac:dyDescent="0.3">
      <c r="A124" s="2">
        <v>42461</v>
      </c>
      <c r="B124" s="1">
        <v>14</v>
      </c>
      <c r="C124" s="1">
        <v>6</v>
      </c>
      <c r="D124" s="1">
        <v>6</v>
      </c>
      <c r="E124" s="1">
        <v>6</v>
      </c>
      <c r="F124" s="1">
        <v>8</v>
      </c>
      <c r="G124" s="1">
        <v>9</v>
      </c>
      <c r="H124" s="1">
        <v>12</v>
      </c>
      <c r="I124" s="1">
        <v>25</v>
      </c>
      <c r="J124" s="1">
        <v>17</v>
      </c>
      <c r="K124" s="1">
        <v>11</v>
      </c>
      <c r="L124" s="1">
        <v>17</v>
      </c>
      <c r="M124" s="1">
        <v>22</v>
      </c>
      <c r="N124" s="1">
        <v>17</v>
      </c>
      <c r="O124" s="1">
        <v>24</v>
      </c>
      <c r="P124" s="1">
        <v>29</v>
      </c>
      <c r="Q124" s="1">
        <v>31</v>
      </c>
      <c r="R124" s="1">
        <v>42</v>
      </c>
      <c r="S124" s="1">
        <v>32</v>
      </c>
      <c r="T124" s="1">
        <v>25</v>
      </c>
      <c r="U124" s="1">
        <v>33</v>
      </c>
      <c r="V124" s="1">
        <v>28</v>
      </c>
      <c r="W124" s="1">
        <v>17</v>
      </c>
      <c r="X124" s="1">
        <v>9</v>
      </c>
      <c r="Y124" s="1">
        <v>12</v>
      </c>
    </row>
    <row r="125" spans="1:25" x14ac:dyDescent="0.3">
      <c r="A125" s="2">
        <v>42462</v>
      </c>
      <c r="B125" s="1">
        <v>22</v>
      </c>
      <c r="C125" s="1">
        <v>9</v>
      </c>
      <c r="D125" s="1">
        <v>6</v>
      </c>
      <c r="E125" s="1">
        <v>7</v>
      </c>
      <c r="F125" s="1">
        <v>5</v>
      </c>
      <c r="G125" s="1">
        <v>6</v>
      </c>
      <c r="H125" s="1">
        <v>7</v>
      </c>
      <c r="I125" s="1">
        <v>16</v>
      </c>
      <c r="J125" s="1">
        <v>13</v>
      </c>
      <c r="K125" s="1">
        <v>13</v>
      </c>
      <c r="L125" s="1">
        <v>9</v>
      </c>
      <c r="M125" s="1">
        <v>18</v>
      </c>
      <c r="N125" s="1">
        <v>26</v>
      </c>
      <c r="O125" s="1">
        <v>25</v>
      </c>
      <c r="P125" s="1">
        <v>22</v>
      </c>
      <c r="Q125" s="1">
        <v>14</v>
      </c>
      <c r="R125" s="1">
        <v>17</v>
      </c>
      <c r="S125" s="1">
        <v>26</v>
      </c>
      <c r="T125" s="1">
        <v>24</v>
      </c>
      <c r="U125" s="1">
        <v>11</v>
      </c>
      <c r="V125" s="1">
        <v>22</v>
      </c>
      <c r="W125" s="1">
        <v>16</v>
      </c>
      <c r="X125" s="1">
        <v>14</v>
      </c>
      <c r="Y125" s="1">
        <v>38</v>
      </c>
    </row>
    <row r="126" spans="1:25" x14ac:dyDescent="0.3">
      <c r="A126" s="2">
        <v>42463</v>
      </c>
      <c r="B126" s="1">
        <v>18</v>
      </c>
      <c r="C126" s="1">
        <v>9</v>
      </c>
      <c r="D126" s="1">
        <v>5</v>
      </c>
      <c r="E126" s="1">
        <v>14</v>
      </c>
      <c r="F126" s="1">
        <v>18</v>
      </c>
      <c r="G126" s="1">
        <v>33</v>
      </c>
      <c r="H126" s="1">
        <v>29</v>
      </c>
      <c r="I126" s="1">
        <v>54</v>
      </c>
      <c r="J126" s="1">
        <v>52</v>
      </c>
      <c r="K126" s="1">
        <v>53</v>
      </c>
      <c r="L126" s="1">
        <v>51</v>
      </c>
      <c r="M126" s="1">
        <v>35</v>
      </c>
      <c r="N126" s="1">
        <v>27</v>
      </c>
      <c r="O126" s="1">
        <v>22</v>
      </c>
      <c r="P126" s="1">
        <v>19</v>
      </c>
      <c r="Q126" s="1">
        <v>25</v>
      </c>
      <c r="R126" s="1">
        <v>23</v>
      </c>
      <c r="S126" s="1">
        <v>16</v>
      </c>
      <c r="T126" s="1">
        <v>17</v>
      </c>
      <c r="U126" s="1">
        <v>24</v>
      </c>
      <c r="V126" s="1">
        <v>16</v>
      </c>
      <c r="W126" s="1">
        <v>8</v>
      </c>
      <c r="X126" s="1">
        <v>7</v>
      </c>
      <c r="Y126" s="1">
        <v>9</v>
      </c>
    </row>
    <row r="127" spans="1:25" x14ac:dyDescent="0.3">
      <c r="A127" s="2">
        <v>42464</v>
      </c>
      <c r="B127" s="1">
        <v>8</v>
      </c>
      <c r="C127" s="1">
        <v>8</v>
      </c>
      <c r="D127" s="1">
        <v>5</v>
      </c>
      <c r="E127" s="1">
        <v>5</v>
      </c>
      <c r="F127" s="1">
        <v>6</v>
      </c>
      <c r="G127" s="1">
        <v>4</v>
      </c>
      <c r="H127" s="1">
        <v>15</v>
      </c>
      <c r="I127" s="1">
        <v>26</v>
      </c>
      <c r="J127" s="1">
        <v>26</v>
      </c>
      <c r="K127" s="1">
        <v>24</v>
      </c>
      <c r="L127" s="1">
        <v>20</v>
      </c>
      <c r="M127" s="1">
        <v>29</v>
      </c>
      <c r="N127" s="1">
        <v>39</v>
      </c>
      <c r="O127" s="1">
        <v>17</v>
      </c>
      <c r="P127" s="1">
        <v>19</v>
      </c>
      <c r="Q127" s="1">
        <v>14</v>
      </c>
      <c r="R127" s="1">
        <v>28</v>
      </c>
      <c r="S127" s="1">
        <v>28</v>
      </c>
      <c r="T127" s="1">
        <v>12</v>
      </c>
      <c r="U127" s="1">
        <v>24</v>
      </c>
      <c r="V127" s="1">
        <v>20</v>
      </c>
      <c r="W127" s="1">
        <v>9</v>
      </c>
      <c r="X127" s="1">
        <v>14</v>
      </c>
      <c r="Y127" s="1">
        <v>9</v>
      </c>
    </row>
    <row r="128" spans="1:25" x14ac:dyDescent="0.3">
      <c r="A128" s="2">
        <v>42465</v>
      </c>
      <c r="B128" s="1">
        <v>4</v>
      </c>
      <c r="C128" s="1">
        <v>6</v>
      </c>
      <c r="D128" s="1">
        <v>6</v>
      </c>
      <c r="E128" s="1">
        <v>4</v>
      </c>
      <c r="F128" s="1">
        <v>4</v>
      </c>
      <c r="G128" s="1">
        <v>5</v>
      </c>
      <c r="H128" s="1">
        <v>9</v>
      </c>
      <c r="I128" s="1">
        <v>14</v>
      </c>
      <c r="J128" s="1">
        <v>23</v>
      </c>
      <c r="K128" s="1">
        <v>17</v>
      </c>
      <c r="L128" s="1">
        <v>26</v>
      </c>
      <c r="M128" s="1">
        <v>17</v>
      </c>
      <c r="N128" s="1">
        <v>18</v>
      </c>
      <c r="O128" s="1">
        <v>12</v>
      </c>
      <c r="P128" s="1">
        <v>21</v>
      </c>
      <c r="Q128" s="1">
        <v>24</v>
      </c>
      <c r="R128" s="1">
        <v>24</v>
      </c>
      <c r="S128" s="1">
        <v>23</v>
      </c>
      <c r="T128" s="1">
        <v>23</v>
      </c>
      <c r="U128" s="1">
        <v>15</v>
      </c>
      <c r="V128" s="1">
        <v>10</v>
      </c>
      <c r="W128" s="1">
        <v>8</v>
      </c>
      <c r="X128" s="1">
        <v>11</v>
      </c>
      <c r="Y128" s="1">
        <v>5</v>
      </c>
    </row>
    <row r="129" spans="1:25" x14ac:dyDescent="0.3">
      <c r="A129" s="2">
        <v>42466</v>
      </c>
      <c r="B129" s="1">
        <v>7</v>
      </c>
      <c r="C129" s="1">
        <v>2</v>
      </c>
      <c r="D129" s="1">
        <v>5</v>
      </c>
      <c r="E129" s="1">
        <v>5</v>
      </c>
      <c r="F129" s="1">
        <v>4</v>
      </c>
      <c r="G129" s="1">
        <v>10</v>
      </c>
      <c r="H129" s="1">
        <v>13</v>
      </c>
      <c r="I129" s="1">
        <v>13</v>
      </c>
      <c r="J129" s="1">
        <v>26</v>
      </c>
      <c r="K129" s="1">
        <v>10</v>
      </c>
      <c r="L129" s="1">
        <v>22</v>
      </c>
      <c r="M129" s="1">
        <v>19</v>
      </c>
      <c r="N129" s="1">
        <v>23</v>
      </c>
      <c r="O129" s="1">
        <v>25</v>
      </c>
      <c r="P129" s="1">
        <v>37</v>
      </c>
      <c r="Q129" s="1">
        <v>22</v>
      </c>
      <c r="R129" s="1">
        <v>26</v>
      </c>
      <c r="S129" s="1">
        <v>36</v>
      </c>
      <c r="T129" s="1">
        <v>16</v>
      </c>
      <c r="U129" s="1">
        <v>20</v>
      </c>
      <c r="V129" s="1">
        <v>15</v>
      </c>
      <c r="W129" s="1">
        <v>9</v>
      </c>
      <c r="X129" s="1">
        <v>17</v>
      </c>
      <c r="Y129" s="1">
        <v>7</v>
      </c>
    </row>
    <row r="130" spans="1:25" x14ac:dyDescent="0.3">
      <c r="A130" s="2">
        <v>42467</v>
      </c>
      <c r="B130" s="1">
        <v>8</v>
      </c>
      <c r="C130" s="1">
        <v>7</v>
      </c>
      <c r="D130" s="1">
        <v>6</v>
      </c>
      <c r="E130" s="1">
        <v>3</v>
      </c>
      <c r="F130" s="1">
        <v>5</v>
      </c>
      <c r="G130" s="1">
        <v>6</v>
      </c>
      <c r="H130" s="1">
        <v>13</v>
      </c>
      <c r="I130" s="1">
        <v>17</v>
      </c>
      <c r="J130" s="1">
        <v>22</v>
      </c>
      <c r="K130" s="1">
        <v>27</v>
      </c>
      <c r="L130" s="1">
        <v>31</v>
      </c>
      <c r="M130" s="1">
        <v>21</v>
      </c>
      <c r="N130" s="1">
        <v>32</v>
      </c>
      <c r="O130" s="1">
        <v>30</v>
      </c>
      <c r="P130" s="1">
        <v>23</v>
      </c>
      <c r="Q130" s="1">
        <v>25</v>
      </c>
      <c r="R130" s="1">
        <v>21</v>
      </c>
      <c r="S130" s="1">
        <v>27</v>
      </c>
      <c r="T130" s="1">
        <v>10</v>
      </c>
      <c r="U130" s="1">
        <v>16</v>
      </c>
      <c r="V130" s="1">
        <v>18</v>
      </c>
      <c r="W130" s="1">
        <v>11</v>
      </c>
      <c r="X130" s="1">
        <v>9</v>
      </c>
      <c r="Y130" s="1">
        <v>7</v>
      </c>
    </row>
    <row r="131" spans="1:25" x14ac:dyDescent="0.3">
      <c r="A131" s="2">
        <v>42468</v>
      </c>
      <c r="B131" s="1">
        <v>6</v>
      </c>
      <c r="C131" s="1">
        <v>7</v>
      </c>
      <c r="D131" s="1">
        <v>9</v>
      </c>
      <c r="E131" s="1">
        <v>1</v>
      </c>
      <c r="F131" s="1">
        <v>7</v>
      </c>
      <c r="G131" s="1">
        <v>2</v>
      </c>
      <c r="H131" s="1">
        <v>5</v>
      </c>
      <c r="I131" s="1">
        <v>17</v>
      </c>
      <c r="J131" s="1">
        <v>20</v>
      </c>
      <c r="K131" s="1">
        <v>30</v>
      </c>
      <c r="L131" s="1">
        <v>19</v>
      </c>
      <c r="M131" s="1">
        <v>24</v>
      </c>
      <c r="N131" s="1">
        <v>22</v>
      </c>
      <c r="O131" s="1">
        <v>29</v>
      </c>
      <c r="P131" s="1">
        <v>22</v>
      </c>
      <c r="Q131" s="1">
        <v>23</v>
      </c>
      <c r="R131" s="1">
        <v>27</v>
      </c>
      <c r="S131" s="1">
        <v>16</v>
      </c>
      <c r="T131" s="1">
        <v>19</v>
      </c>
      <c r="U131" s="1">
        <v>10</v>
      </c>
      <c r="V131" s="1">
        <v>23</v>
      </c>
      <c r="W131" s="1">
        <v>14</v>
      </c>
      <c r="X131" s="1">
        <v>7</v>
      </c>
      <c r="Y131" s="1">
        <v>8</v>
      </c>
    </row>
    <row r="132" spans="1:25" x14ac:dyDescent="0.3">
      <c r="A132" s="2">
        <v>42469</v>
      </c>
      <c r="B132" s="1">
        <v>6</v>
      </c>
      <c r="C132" s="1">
        <v>5</v>
      </c>
      <c r="D132" s="1">
        <v>11</v>
      </c>
      <c r="E132" s="1">
        <v>7</v>
      </c>
      <c r="F132" s="1">
        <v>6</v>
      </c>
      <c r="G132" s="1">
        <v>5</v>
      </c>
      <c r="H132" s="1">
        <v>6</v>
      </c>
      <c r="I132" s="1">
        <v>6</v>
      </c>
      <c r="J132" s="1">
        <v>6</v>
      </c>
      <c r="K132" s="1">
        <v>13</v>
      </c>
      <c r="L132" s="1">
        <v>12</v>
      </c>
      <c r="M132" s="1">
        <v>18</v>
      </c>
      <c r="N132" s="1">
        <v>25</v>
      </c>
      <c r="O132" s="1">
        <v>35</v>
      </c>
      <c r="P132" s="1">
        <v>21</v>
      </c>
      <c r="Q132" s="1">
        <v>29</v>
      </c>
      <c r="R132" s="1">
        <v>18</v>
      </c>
      <c r="S132" s="1">
        <v>15</v>
      </c>
      <c r="T132" s="1">
        <v>18</v>
      </c>
      <c r="U132" s="1">
        <v>9</v>
      </c>
      <c r="V132" s="1">
        <v>13</v>
      </c>
      <c r="W132" s="1">
        <v>9</v>
      </c>
      <c r="X132" s="1">
        <v>7</v>
      </c>
      <c r="Y132" s="1">
        <v>3</v>
      </c>
    </row>
    <row r="133" spans="1:25" x14ac:dyDescent="0.3">
      <c r="A133" s="2">
        <v>42470</v>
      </c>
      <c r="B133" s="1">
        <v>5</v>
      </c>
      <c r="C133" s="1">
        <v>7</v>
      </c>
      <c r="D133" s="1">
        <v>5</v>
      </c>
      <c r="E133" s="1">
        <v>7</v>
      </c>
      <c r="F133" s="1">
        <v>7</v>
      </c>
      <c r="G133" s="1">
        <v>3</v>
      </c>
      <c r="H133" s="1">
        <v>4</v>
      </c>
      <c r="I133" s="1">
        <v>7</v>
      </c>
      <c r="J133" s="1">
        <v>10</v>
      </c>
      <c r="K133" s="1">
        <v>15</v>
      </c>
      <c r="L133" s="1">
        <v>13</v>
      </c>
      <c r="M133" s="1">
        <v>19</v>
      </c>
      <c r="N133" s="1">
        <v>20</v>
      </c>
      <c r="O133" s="1">
        <v>21</v>
      </c>
      <c r="P133" s="1">
        <v>17</v>
      </c>
      <c r="Q133" s="1">
        <v>26</v>
      </c>
      <c r="R133" s="1">
        <v>15</v>
      </c>
      <c r="S133" s="1">
        <v>16</v>
      </c>
      <c r="T133" s="1">
        <v>9</v>
      </c>
      <c r="U133" s="1">
        <v>20</v>
      </c>
      <c r="V133" s="1">
        <v>14</v>
      </c>
      <c r="W133" s="1">
        <v>2</v>
      </c>
      <c r="X133" s="1">
        <v>11</v>
      </c>
      <c r="Y133" s="1">
        <v>9</v>
      </c>
    </row>
    <row r="134" spans="1:25" x14ac:dyDescent="0.3">
      <c r="A134" s="2">
        <v>42471</v>
      </c>
      <c r="B134" s="1">
        <v>6</v>
      </c>
      <c r="C134" s="1">
        <v>9</v>
      </c>
      <c r="D134" s="1">
        <v>6</v>
      </c>
      <c r="E134" s="1">
        <v>4</v>
      </c>
      <c r="F134" s="1">
        <v>6</v>
      </c>
      <c r="G134" s="1">
        <v>3</v>
      </c>
      <c r="H134" s="1">
        <v>13</v>
      </c>
      <c r="I134" s="1">
        <v>25</v>
      </c>
      <c r="J134" s="1">
        <v>20</v>
      </c>
      <c r="K134" s="1">
        <v>18</v>
      </c>
      <c r="L134" s="1">
        <v>19</v>
      </c>
      <c r="M134" s="1">
        <v>25</v>
      </c>
      <c r="N134" s="1">
        <v>29</v>
      </c>
      <c r="O134" s="1">
        <v>28</v>
      </c>
      <c r="P134" s="1">
        <v>29</v>
      </c>
      <c r="Q134" s="1">
        <v>15</v>
      </c>
      <c r="R134" s="1">
        <v>38</v>
      </c>
      <c r="S134" s="1">
        <v>19</v>
      </c>
      <c r="T134" s="1">
        <v>22</v>
      </c>
      <c r="U134" s="1">
        <v>15</v>
      </c>
      <c r="V134" s="1">
        <v>9</v>
      </c>
      <c r="W134" s="1">
        <v>7</v>
      </c>
      <c r="X134" s="1">
        <v>11</v>
      </c>
      <c r="Y134" s="1">
        <v>4</v>
      </c>
    </row>
    <row r="135" spans="1:25" x14ac:dyDescent="0.3">
      <c r="A135" s="2">
        <v>42472</v>
      </c>
      <c r="B135" s="1">
        <v>4</v>
      </c>
      <c r="C135" s="1">
        <v>2</v>
      </c>
      <c r="D135" s="1">
        <v>5</v>
      </c>
      <c r="E135" s="1">
        <v>5</v>
      </c>
      <c r="F135" s="1">
        <v>3</v>
      </c>
      <c r="G135" s="1">
        <v>3</v>
      </c>
      <c r="H135" s="1">
        <v>13</v>
      </c>
      <c r="I135" s="1">
        <v>16</v>
      </c>
      <c r="J135" s="1">
        <v>23</v>
      </c>
      <c r="K135" s="1">
        <v>24</v>
      </c>
      <c r="L135" s="1">
        <v>8</v>
      </c>
      <c r="M135" s="1">
        <v>0</v>
      </c>
      <c r="N135" s="1">
        <v>12</v>
      </c>
      <c r="O135" s="1">
        <v>11</v>
      </c>
      <c r="P135" s="1">
        <v>18</v>
      </c>
      <c r="Q135" s="1">
        <v>21</v>
      </c>
      <c r="R135" s="1">
        <v>24</v>
      </c>
      <c r="S135" s="1">
        <v>27</v>
      </c>
      <c r="T135" s="1">
        <v>15</v>
      </c>
      <c r="U135" s="1">
        <v>0</v>
      </c>
      <c r="V135" s="1">
        <v>7</v>
      </c>
      <c r="W135" s="1">
        <v>5</v>
      </c>
      <c r="X135" s="1">
        <v>8</v>
      </c>
      <c r="Y135" s="1">
        <v>7</v>
      </c>
    </row>
    <row r="136" spans="1:25" x14ac:dyDescent="0.3">
      <c r="A136" s="2">
        <v>42473</v>
      </c>
      <c r="B136" s="1">
        <v>2</v>
      </c>
      <c r="C136" s="1">
        <v>7</v>
      </c>
      <c r="D136" s="1">
        <v>3</v>
      </c>
      <c r="E136" s="1">
        <v>7</v>
      </c>
      <c r="F136" s="1">
        <v>6</v>
      </c>
      <c r="G136" s="1">
        <v>7</v>
      </c>
      <c r="H136" s="1">
        <v>15</v>
      </c>
      <c r="I136" s="1">
        <v>24</v>
      </c>
      <c r="J136" s="1">
        <v>17</v>
      </c>
      <c r="K136" s="1">
        <v>11</v>
      </c>
      <c r="L136" s="1">
        <v>21</v>
      </c>
      <c r="M136" s="1">
        <v>29</v>
      </c>
      <c r="N136" s="1">
        <v>14</v>
      </c>
      <c r="O136" s="1">
        <v>26</v>
      </c>
      <c r="P136" s="1">
        <v>26</v>
      </c>
      <c r="Q136" s="1">
        <v>20</v>
      </c>
      <c r="R136" s="1">
        <v>24</v>
      </c>
      <c r="S136" s="1">
        <v>25</v>
      </c>
      <c r="T136" s="1">
        <v>18</v>
      </c>
      <c r="U136" s="1">
        <v>25</v>
      </c>
      <c r="V136" s="1">
        <v>25</v>
      </c>
      <c r="W136" s="1">
        <v>11</v>
      </c>
      <c r="X136" s="1">
        <v>12</v>
      </c>
      <c r="Y136" s="1">
        <v>9</v>
      </c>
    </row>
    <row r="137" spans="1:25" x14ac:dyDescent="0.3">
      <c r="A137" s="2">
        <v>42474</v>
      </c>
      <c r="B137" s="1">
        <v>6</v>
      </c>
      <c r="C137" s="1">
        <v>2</v>
      </c>
      <c r="D137" s="1">
        <v>7</v>
      </c>
      <c r="E137" s="1">
        <v>2</v>
      </c>
      <c r="F137" s="1">
        <v>2</v>
      </c>
      <c r="G137" s="1">
        <v>3</v>
      </c>
      <c r="H137" s="1">
        <v>10</v>
      </c>
      <c r="I137" s="1">
        <v>14</v>
      </c>
      <c r="J137" s="1">
        <v>8</v>
      </c>
      <c r="K137" s="1">
        <v>15</v>
      </c>
      <c r="L137" s="1">
        <v>28</v>
      </c>
      <c r="M137" s="1">
        <v>24</v>
      </c>
      <c r="N137" s="1">
        <v>14</v>
      </c>
      <c r="O137" s="1">
        <v>27</v>
      </c>
      <c r="P137" s="1">
        <v>25</v>
      </c>
      <c r="Q137" s="1">
        <v>32</v>
      </c>
      <c r="R137" s="1">
        <v>15</v>
      </c>
      <c r="S137" s="1">
        <v>18</v>
      </c>
      <c r="T137" s="1">
        <v>36</v>
      </c>
      <c r="U137" s="1">
        <v>9</v>
      </c>
      <c r="V137" s="1">
        <v>16</v>
      </c>
      <c r="W137" s="1">
        <v>27</v>
      </c>
      <c r="X137" s="1">
        <v>6</v>
      </c>
      <c r="Y137" s="1">
        <v>13</v>
      </c>
    </row>
    <row r="138" spans="1:25" x14ac:dyDescent="0.3">
      <c r="A138" s="2">
        <v>42475</v>
      </c>
      <c r="B138" s="1">
        <v>7</v>
      </c>
      <c r="C138" s="1">
        <v>9</v>
      </c>
      <c r="D138" s="1">
        <v>8</v>
      </c>
      <c r="E138" s="1">
        <v>4</v>
      </c>
      <c r="F138" s="1">
        <v>7</v>
      </c>
      <c r="G138" s="1">
        <v>3</v>
      </c>
      <c r="H138" s="1">
        <v>2</v>
      </c>
      <c r="I138" s="1">
        <v>9</v>
      </c>
      <c r="J138" s="1">
        <v>21</v>
      </c>
      <c r="K138" s="1">
        <v>19</v>
      </c>
      <c r="L138" s="1">
        <v>19</v>
      </c>
      <c r="M138" s="1">
        <v>23</v>
      </c>
      <c r="N138" s="1">
        <v>19</v>
      </c>
      <c r="O138" s="1">
        <v>34</v>
      </c>
      <c r="P138" s="1">
        <v>21</v>
      </c>
      <c r="Q138" s="1">
        <v>25</v>
      </c>
      <c r="R138" s="1">
        <v>30</v>
      </c>
      <c r="S138" s="1">
        <v>31</v>
      </c>
      <c r="T138" s="1">
        <v>19</v>
      </c>
      <c r="U138" s="1">
        <v>25</v>
      </c>
      <c r="V138" s="1">
        <v>19</v>
      </c>
      <c r="W138" s="1">
        <v>10</v>
      </c>
      <c r="X138" s="1">
        <v>17</v>
      </c>
      <c r="Y138" s="1">
        <v>13</v>
      </c>
    </row>
    <row r="139" spans="1:25" x14ac:dyDescent="0.3">
      <c r="A139" s="2">
        <v>42476</v>
      </c>
      <c r="B139" s="1">
        <v>8</v>
      </c>
      <c r="C139" s="1">
        <v>10</v>
      </c>
      <c r="D139" s="1">
        <v>10</v>
      </c>
      <c r="E139" s="1">
        <v>5</v>
      </c>
      <c r="F139" s="1">
        <v>9</v>
      </c>
      <c r="G139" s="1">
        <v>5</v>
      </c>
      <c r="H139" s="1">
        <v>9</v>
      </c>
      <c r="I139" s="1">
        <v>12</v>
      </c>
      <c r="J139" s="1">
        <v>16</v>
      </c>
      <c r="K139" s="1">
        <v>20</v>
      </c>
      <c r="L139" s="1">
        <v>16</v>
      </c>
      <c r="M139" s="1">
        <v>20</v>
      </c>
      <c r="N139" s="1">
        <v>26</v>
      </c>
      <c r="O139" s="1">
        <v>18</v>
      </c>
      <c r="P139" s="1">
        <v>30</v>
      </c>
      <c r="Q139" s="1">
        <v>21</v>
      </c>
      <c r="R139" s="1">
        <v>27</v>
      </c>
      <c r="S139" s="1">
        <v>16</v>
      </c>
      <c r="T139" s="1">
        <v>42</v>
      </c>
      <c r="U139" s="1">
        <v>16</v>
      </c>
      <c r="V139" s="1">
        <v>13</v>
      </c>
      <c r="W139" s="1">
        <v>11</v>
      </c>
      <c r="X139" s="1">
        <v>5</v>
      </c>
      <c r="Y139" s="1">
        <v>11</v>
      </c>
    </row>
    <row r="140" spans="1:25" x14ac:dyDescent="0.3">
      <c r="A140" s="2">
        <v>42477</v>
      </c>
      <c r="B140" s="1">
        <v>11</v>
      </c>
      <c r="C140" s="1">
        <v>6</v>
      </c>
      <c r="D140" s="1">
        <v>6</v>
      </c>
      <c r="E140" s="1">
        <v>4</v>
      </c>
      <c r="F140" s="1">
        <v>4</v>
      </c>
      <c r="G140" s="1">
        <v>5</v>
      </c>
      <c r="H140" s="1">
        <v>9</v>
      </c>
      <c r="I140" s="1">
        <v>6</v>
      </c>
      <c r="J140" s="1">
        <v>13</v>
      </c>
      <c r="K140" s="1">
        <v>11</v>
      </c>
      <c r="L140" s="1">
        <v>15</v>
      </c>
      <c r="M140" s="1">
        <v>14</v>
      </c>
      <c r="N140" s="1">
        <v>19</v>
      </c>
      <c r="O140" s="1">
        <v>13</v>
      </c>
      <c r="P140" s="1">
        <v>20</v>
      </c>
      <c r="Q140" s="1">
        <v>16</v>
      </c>
      <c r="R140" s="1">
        <v>18</v>
      </c>
      <c r="S140" s="1">
        <v>25</v>
      </c>
      <c r="T140" s="1">
        <v>23</v>
      </c>
      <c r="U140" s="1">
        <v>19</v>
      </c>
      <c r="V140" s="1">
        <v>15</v>
      </c>
      <c r="W140" s="1">
        <v>19</v>
      </c>
      <c r="X140" s="1">
        <v>7</v>
      </c>
      <c r="Y140" s="1">
        <v>9</v>
      </c>
    </row>
    <row r="141" spans="1:25" x14ac:dyDescent="0.3">
      <c r="A141" s="2">
        <v>42478</v>
      </c>
      <c r="B141" s="1">
        <v>4</v>
      </c>
      <c r="C141" s="1">
        <v>5</v>
      </c>
      <c r="D141" s="1">
        <v>1</v>
      </c>
      <c r="E141" s="1">
        <v>5</v>
      </c>
      <c r="F141" s="1">
        <v>7</v>
      </c>
      <c r="G141" s="1">
        <v>6</v>
      </c>
      <c r="H141" s="1">
        <v>11</v>
      </c>
      <c r="I141" s="1">
        <v>11</v>
      </c>
      <c r="J141" s="1">
        <v>22</v>
      </c>
      <c r="K141" s="1">
        <v>16</v>
      </c>
      <c r="L141" s="1">
        <v>21</v>
      </c>
      <c r="M141" s="1">
        <v>22</v>
      </c>
      <c r="N141" s="1">
        <v>30</v>
      </c>
      <c r="O141" s="1">
        <v>22</v>
      </c>
      <c r="P141" s="1">
        <v>18</v>
      </c>
      <c r="Q141" s="1">
        <v>38</v>
      </c>
      <c r="R141" s="1">
        <v>29</v>
      </c>
      <c r="S141" s="1">
        <v>40</v>
      </c>
      <c r="T141" s="1">
        <v>31</v>
      </c>
      <c r="U141" s="1">
        <v>15</v>
      </c>
      <c r="V141" s="1">
        <v>8</v>
      </c>
      <c r="W141" s="1">
        <v>8</v>
      </c>
      <c r="X141" s="1">
        <v>13</v>
      </c>
      <c r="Y141" s="1">
        <v>6</v>
      </c>
    </row>
    <row r="142" spans="1:25" x14ac:dyDescent="0.3">
      <c r="A142" s="2">
        <v>42479</v>
      </c>
      <c r="B142" s="1">
        <v>6</v>
      </c>
      <c r="C142" s="1">
        <v>6</v>
      </c>
      <c r="D142" s="1">
        <v>1</v>
      </c>
      <c r="E142" s="1">
        <v>6</v>
      </c>
      <c r="F142" s="1">
        <v>4</v>
      </c>
      <c r="G142" s="1">
        <v>4</v>
      </c>
      <c r="H142" s="1">
        <v>11</v>
      </c>
      <c r="I142" s="1">
        <v>20</v>
      </c>
      <c r="J142" s="1">
        <v>37</v>
      </c>
      <c r="K142" s="1">
        <v>28</v>
      </c>
      <c r="L142" s="1">
        <v>23</v>
      </c>
      <c r="M142" s="1">
        <v>20</v>
      </c>
      <c r="N142" s="1">
        <v>24</v>
      </c>
      <c r="O142" s="1">
        <v>25</v>
      </c>
      <c r="P142" s="1">
        <v>24</v>
      </c>
      <c r="Q142" s="1">
        <v>33</v>
      </c>
      <c r="R142" s="1">
        <v>45</v>
      </c>
      <c r="S142" s="1">
        <v>18</v>
      </c>
      <c r="T142" s="1">
        <v>16</v>
      </c>
      <c r="U142" s="1">
        <v>20</v>
      </c>
      <c r="V142" s="1">
        <v>23</v>
      </c>
      <c r="W142" s="1">
        <v>11</v>
      </c>
      <c r="X142" s="1">
        <v>7</v>
      </c>
      <c r="Y142" s="1">
        <v>4</v>
      </c>
    </row>
    <row r="143" spans="1:25" x14ac:dyDescent="0.3">
      <c r="A143" s="2">
        <v>42480</v>
      </c>
      <c r="B143" s="1">
        <v>8</v>
      </c>
      <c r="C143" s="1">
        <v>4</v>
      </c>
      <c r="D143" s="1">
        <v>0</v>
      </c>
      <c r="E143" s="1">
        <v>3</v>
      </c>
      <c r="F143" s="1">
        <v>5</v>
      </c>
      <c r="G143" s="1">
        <v>4</v>
      </c>
      <c r="H143" s="1">
        <v>14</v>
      </c>
      <c r="I143" s="1">
        <v>20</v>
      </c>
      <c r="J143" s="1">
        <v>43</v>
      </c>
      <c r="K143" s="1">
        <v>15</v>
      </c>
      <c r="L143" s="1">
        <v>22</v>
      </c>
      <c r="M143" s="1">
        <v>35</v>
      </c>
      <c r="N143" s="1">
        <v>28</v>
      </c>
      <c r="O143" s="1">
        <v>19</v>
      </c>
      <c r="P143" s="1">
        <v>24</v>
      </c>
      <c r="Q143" s="1">
        <v>25</v>
      </c>
      <c r="R143" s="1">
        <v>26</v>
      </c>
      <c r="S143" s="1">
        <v>25</v>
      </c>
      <c r="T143" s="1">
        <v>28</v>
      </c>
      <c r="U143" s="1">
        <v>20</v>
      </c>
      <c r="V143" s="1">
        <v>14</v>
      </c>
      <c r="W143" s="1">
        <v>6</v>
      </c>
      <c r="X143" s="1">
        <v>11</v>
      </c>
      <c r="Y143" s="1">
        <v>5</v>
      </c>
    </row>
    <row r="144" spans="1:25" x14ac:dyDescent="0.3">
      <c r="A144" s="2">
        <v>42481</v>
      </c>
      <c r="B144" s="1">
        <v>8</v>
      </c>
      <c r="C144" s="1">
        <v>5</v>
      </c>
      <c r="D144" s="1">
        <v>3</v>
      </c>
      <c r="E144" s="1">
        <v>3</v>
      </c>
      <c r="F144" s="1">
        <v>6</v>
      </c>
      <c r="G144" s="1">
        <v>5</v>
      </c>
      <c r="H144" s="1">
        <v>10</v>
      </c>
      <c r="I144" s="1">
        <v>21</v>
      </c>
      <c r="J144" s="1">
        <v>17</v>
      </c>
      <c r="K144" s="1">
        <v>38</v>
      </c>
      <c r="L144" s="1">
        <v>11</v>
      </c>
      <c r="M144" s="1">
        <v>27</v>
      </c>
      <c r="N144" s="1">
        <v>30</v>
      </c>
      <c r="O144" s="1">
        <v>29</v>
      </c>
      <c r="P144" s="1">
        <v>19</v>
      </c>
      <c r="Q144" s="1">
        <v>29</v>
      </c>
      <c r="R144" s="1">
        <v>27</v>
      </c>
      <c r="S144" s="1">
        <v>30</v>
      </c>
      <c r="T144" s="1">
        <v>20</v>
      </c>
      <c r="U144" s="1">
        <v>18</v>
      </c>
      <c r="V144" s="1">
        <v>13</v>
      </c>
      <c r="W144" s="1">
        <v>12</v>
      </c>
      <c r="X144" s="1">
        <v>12</v>
      </c>
      <c r="Y144" s="1">
        <v>8</v>
      </c>
    </row>
    <row r="145" spans="1:25" x14ac:dyDescent="0.3">
      <c r="A145" s="2">
        <v>42482</v>
      </c>
      <c r="B145" s="1">
        <v>8</v>
      </c>
      <c r="C145" s="1">
        <v>5</v>
      </c>
      <c r="D145" s="1">
        <v>6</v>
      </c>
      <c r="E145" s="1">
        <v>5</v>
      </c>
      <c r="F145" s="1">
        <v>9</v>
      </c>
      <c r="G145" s="1">
        <v>4</v>
      </c>
      <c r="H145" s="1">
        <v>14</v>
      </c>
      <c r="I145" s="1">
        <v>15</v>
      </c>
      <c r="J145" s="1">
        <v>18</v>
      </c>
      <c r="K145" s="1">
        <v>18</v>
      </c>
      <c r="L145" s="1">
        <v>27</v>
      </c>
      <c r="M145" s="1">
        <v>20</v>
      </c>
      <c r="N145" s="1">
        <v>28</v>
      </c>
      <c r="O145" s="1">
        <v>24</v>
      </c>
      <c r="P145" s="1">
        <v>25</v>
      </c>
      <c r="Q145" s="1">
        <v>17</v>
      </c>
      <c r="R145" s="1">
        <v>33</v>
      </c>
      <c r="S145" s="1">
        <v>16</v>
      </c>
      <c r="T145" s="1">
        <v>16</v>
      </c>
      <c r="U145" s="1">
        <v>19</v>
      </c>
      <c r="V145" s="1">
        <v>10</v>
      </c>
      <c r="W145" s="1">
        <v>20</v>
      </c>
      <c r="X145" s="1">
        <v>16</v>
      </c>
      <c r="Y145" s="1">
        <v>9</v>
      </c>
    </row>
    <row r="146" spans="1:25" x14ac:dyDescent="0.3">
      <c r="A146" s="2">
        <v>42483</v>
      </c>
      <c r="B146" s="1">
        <v>5</v>
      </c>
      <c r="C146" s="1">
        <v>9</v>
      </c>
      <c r="D146" s="1">
        <v>6</v>
      </c>
      <c r="E146" s="1">
        <v>7</v>
      </c>
      <c r="F146" s="1">
        <v>5</v>
      </c>
      <c r="G146" s="1">
        <v>8</v>
      </c>
      <c r="H146" s="1">
        <v>10</v>
      </c>
      <c r="I146" s="1">
        <v>13</v>
      </c>
      <c r="J146" s="1">
        <v>14</v>
      </c>
      <c r="K146" s="1">
        <v>14</v>
      </c>
      <c r="L146" s="1">
        <v>20</v>
      </c>
      <c r="M146" s="1">
        <v>11</v>
      </c>
      <c r="N146" s="1">
        <v>25</v>
      </c>
      <c r="O146" s="1">
        <v>30</v>
      </c>
      <c r="P146" s="1">
        <v>24</v>
      </c>
      <c r="Q146" s="1">
        <v>21</v>
      </c>
      <c r="R146" s="1">
        <v>24</v>
      </c>
      <c r="S146" s="1">
        <v>23</v>
      </c>
      <c r="T146" s="1">
        <v>12</v>
      </c>
      <c r="U146" s="1">
        <v>20</v>
      </c>
      <c r="V146" s="1">
        <v>18</v>
      </c>
      <c r="W146" s="1">
        <v>21</v>
      </c>
      <c r="X146" s="1">
        <v>8</v>
      </c>
      <c r="Y146" s="1">
        <v>14</v>
      </c>
    </row>
    <row r="147" spans="1:25" x14ac:dyDescent="0.3">
      <c r="A147" s="2">
        <v>42484</v>
      </c>
      <c r="B147" s="1">
        <v>6</v>
      </c>
      <c r="C147" s="1">
        <v>14</v>
      </c>
      <c r="D147" s="1">
        <v>7</v>
      </c>
      <c r="E147" s="1">
        <v>3</v>
      </c>
      <c r="F147" s="1">
        <v>3</v>
      </c>
      <c r="G147" s="1">
        <v>6</v>
      </c>
      <c r="H147" s="1">
        <v>7</v>
      </c>
      <c r="I147" s="1">
        <v>10</v>
      </c>
      <c r="J147" s="1">
        <v>12</v>
      </c>
      <c r="K147" s="1">
        <v>11</v>
      </c>
      <c r="L147" s="1">
        <v>15</v>
      </c>
      <c r="M147" s="1">
        <v>23</v>
      </c>
      <c r="N147" s="1">
        <v>25</v>
      </c>
      <c r="O147" s="1">
        <v>5</v>
      </c>
      <c r="P147" s="1">
        <v>23</v>
      </c>
      <c r="Q147" s="1">
        <v>13</v>
      </c>
      <c r="R147" s="1">
        <v>25</v>
      </c>
      <c r="S147" s="1">
        <v>20</v>
      </c>
      <c r="T147" s="1">
        <v>20</v>
      </c>
      <c r="U147" s="1">
        <v>17</v>
      </c>
      <c r="V147" s="1">
        <v>14</v>
      </c>
      <c r="W147" s="1">
        <v>12</v>
      </c>
      <c r="X147" s="1">
        <v>10</v>
      </c>
      <c r="Y147" s="1">
        <v>12</v>
      </c>
    </row>
    <row r="148" spans="1:25" x14ac:dyDescent="0.3">
      <c r="A148" s="2">
        <v>42485</v>
      </c>
      <c r="B148" s="1">
        <v>14</v>
      </c>
      <c r="C148" s="1">
        <v>6</v>
      </c>
      <c r="D148" s="1">
        <v>8</v>
      </c>
      <c r="E148" s="1">
        <v>6</v>
      </c>
      <c r="F148" s="1">
        <v>8</v>
      </c>
      <c r="G148" s="1">
        <v>1</v>
      </c>
      <c r="H148" s="1">
        <v>8</v>
      </c>
      <c r="I148" s="1">
        <v>27</v>
      </c>
      <c r="J148" s="1">
        <v>17</v>
      </c>
      <c r="K148" s="1">
        <v>18</v>
      </c>
      <c r="L148" s="1">
        <v>19</v>
      </c>
      <c r="M148" s="1">
        <v>27</v>
      </c>
      <c r="N148" s="1">
        <v>18</v>
      </c>
      <c r="O148" s="1">
        <v>25</v>
      </c>
      <c r="P148" s="1">
        <v>22</v>
      </c>
      <c r="Q148" s="1">
        <v>32</v>
      </c>
      <c r="R148" s="1">
        <v>26</v>
      </c>
      <c r="S148" s="1">
        <v>40</v>
      </c>
      <c r="T148" s="1">
        <v>24</v>
      </c>
      <c r="U148" s="1">
        <v>23</v>
      </c>
      <c r="V148" s="1">
        <v>24</v>
      </c>
      <c r="W148" s="1">
        <v>10</v>
      </c>
      <c r="X148" s="1">
        <v>7</v>
      </c>
      <c r="Y148" s="1">
        <v>6</v>
      </c>
    </row>
    <row r="149" spans="1:25" x14ac:dyDescent="0.3">
      <c r="A149" s="2">
        <v>42486</v>
      </c>
      <c r="B149" s="1">
        <v>6</v>
      </c>
      <c r="C149" s="1">
        <v>7</v>
      </c>
      <c r="D149" s="1">
        <v>6</v>
      </c>
      <c r="E149" s="1">
        <v>5</v>
      </c>
      <c r="F149" s="1">
        <v>6</v>
      </c>
      <c r="G149" s="1">
        <v>1</v>
      </c>
      <c r="H149" s="1">
        <v>10</v>
      </c>
      <c r="I149" s="1">
        <v>14</v>
      </c>
      <c r="J149" s="1">
        <v>23</v>
      </c>
      <c r="K149" s="1">
        <v>34</v>
      </c>
      <c r="L149" s="1">
        <v>21</v>
      </c>
      <c r="M149" s="1">
        <v>16</v>
      </c>
      <c r="N149" s="1">
        <v>33</v>
      </c>
      <c r="O149" s="1">
        <v>15</v>
      </c>
      <c r="P149" s="1">
        <v>29</v>
      </c>
      <c r="Q149" s="1">
        <v>35</v>
      </c>
      <c r="R149" s="1">
        <v>35</v>
      </c>
      <c r="S149" s="1">
        <v>30</v>
      </c>
      <c r="T149" s="1">
        <v>28</v>
      </c>
      <c r="U149" s="1">
        <v>26</v>
      </c>
      <c r="V149" s="1">
        <v>8</v>
      </c>
      <c r="W149" s="1">
        <v>13</v>
      </c>
      <c r="X149" s="1">
        <v>7</v>
      </c>
      <c r="Y149" s="1">
        <v>7</v>
      </c>
    </row>
    <row r="150" spans="1:25" x14ac:dyDescent="0.3">
      <c r="A150" s="2">
        <v>42487</v>
      </c>
      <c r="B150" s="1">
        <v>6</v>
      </c>
      <c r="C150" s="1">
        <v>8</v>
      </c>
      <c r="D150" s="1">
        <v>5</v>
      </c>
      <c r="E150" s="1">
        <v>3</v>
      </c>
      <c r="F150" s="1">
        <v>1</v>
      </c>
      <c r="G150" s="1">
        <v>13</v>
      </c>
      <c r="H150" s="1">
        <v>10</v>
      </c>
      <c r="I150" s="1">
        <v>10</v>
      </c>
      <c r="J150" s="1">
        <v>22</v>
      </c>
      <c r="K150" s="1">
        <v>22</v>
      </c>
      <c r="L150" s="1">
        <v>12</v>
      </c>
      <c r="M150" s="1">
        <v>20</v>
      </c>
      <c r="N150" s="1">
        <v>21</v>
      </c>
      <c r="O150" s="1">
        <v>20</v>
      </c>
      <c r="P150" s="1">
        <v>30</v>
      </c>
      <c r="Q150" s="1">
        <v>19</v>
      </c>
      <c r="R150" s="1">
        <v>17</v>
      </c>
      <c r="S150" s="1">
        <v>21</v>
      </c>
      <c r="T150" s="1">
        <v>21</v>
      </c>
      <c r="U150" s="1">
        <v>13</v>
      </c>
      <c r="V150" s="1">
        <v>15</v>
      </c>
      <c r="W150" s="1">
        <v>13</v>
      </c>
      <c r="X150" s="1">
        <v>7</v>
      </c>
      <c r="Y150" s="1">
        <v>3</v>
      </c>
    </row>
    <row r="151" spans="1:25" x14ac:dyDescent="0.3">
      <c r="A151" s="2">
        <v>42488</v>
      </c>
      <c r="B151" s="1">
        <v>9</v>
      </c>
      <c r="C151" s="1">
        <v>7</v>
      </c>
      <c r="D151" s="1">
        <v>5</v>
      </c>
      <c r="E151" s="1">
        <v>6</v>
      </c>
      <c r="F151" s="1">
        <v>6</v>
      </c>
      <c r="G151" s="1">
        <v>5</v>
      </c>
      <c r="H151" s="1">
        <v>10</v>
      </c>
      <c r="I151" s="1">
        <v>18</v>
      </c>
      <c r="J151" s="1">
        <v>10</v>
      </c>
      <c r="K151" s="1">
        <v>24</v>
      </c>
      <c r="L151" s="1">
        <v>24</v>
      </c>
      <c r="M151" s="1">
        <v>28</v>
      </c>
      <c r="N151" s="1">
        <v>28</v>
      </c>
      <c r="O151" s="1">
        <v>32</v>
      </c>
      <c r="P151" s="1">
        <v>29</v>
      </c>
      <c r="Q151" s="1">
        <v>35</v>
      </c>
      <c r="R151" s="1">
        <v>25</v>
      </c>
      <c r="S151" s="1">
        <v>33</v>
      </c>
      <c r="T151" s="1">
        <v>27</v>
      </c>
      <c r="U151" s="1">
        <v>20</v>
      </c>
      <c r="V151" s="1">
        <v>26</v>
      </c>
      <c r="W151" s="1">
        <v>14</v>
      </c>
      <c r="X151" s="1">
        <v>9</v>
      </c>
      <c r="Y151" s="1">
        <v>7</v>
      </c>
    </row>
    <row r="152" spans="1:25" x14ac:dyDescent="0.3">
      <c r="A152" s="2">
        <v>42489</v>
      </c>
      <c r="B152" s="1">
        <v>10</v>
      </c>
      <c r="C152" s="1">
        <v>9</v>
      </c>
      <c r="D152" s="1">
        <v>6</v>
      </c>
      <c r="E152" s="1">
        <v>10</v>
      </c>
      <c r="F152" s="1">
        <v>7</v>
      </c>
      <c r="G152" s="1">
        <v>9</v>
      </c>
      <c r="H152" s="1">
        <v>16</v>
      </c>
      <c r="I152" s="1">
        <v>13</v>
      </c>
      <c r="J152" s="1">
        <v>14</v>
      </c>
      <c r="K152" s="1">
        <v>16</v>
      </c>
      <c r="L152" s="1">
        <v>14</v>
      </c>
      <c r="M152" s="1">
        <v>18</v>
      </c>
      <c r="N152" s="1">
        <v>22</v>
      </c>
      <c r="O152" s="1">
        <v>21</v>
      </c>
      <c r="P152" s="1">
        <v>19</v>
      </c>
      <c r="Q152" s="1">
        <v>26</v>
      </c>
      <c r="R152" s="1">
        <v>24</v>
      </c>
      <c r="S152" s="1">
        <v>13</v>
      </c>
      <c r="T152" s="1">
        <v>19</v>
      </c>
      <c r="U152" s="1">
        <v>21</v>
      </c>
      <c r="V152" s="1">
        <v>12</v>
      </c>
      <c r="W152" s="1">
        <v>13</v>
      </c>
      <c r="X152" s="1">
        <v>15</v>
      </c>
      <c r="Y152" s="1">
        <v>7</v>
      </c>
    </row>
    <row r="153" spans="1:25" x14ac:dyDescent="0.3">
      <c r="A153" s="2">
        <v>42490</v>
      </c>
      <c r="B153" s="1">
        <v>9</v>
      </c>
      <c r="C153" s="1">
        <v>4</v>
      </c>
      <c r="D153" s="1">
        <v>6</v>
      </c>
      <c r="E153" s="1">
        <v>6</v>
      </c>
      <c r="F153" s="1">
        <v>10</v>
      </c>
      <c r="G153" s="1">
        <v>5</v>
      </c>
      <c r="H153" s="1">
        <v>9</v>
      </c>
      <c r="I153" s="1">
        <v>9</v>
      </c>
      <c r="J153" s="1">
        <v>15</v>
      </c>
      <c r="K153" s="1">
        <v>17</v>
      </c>
      <c r="L153" s="1">
        <v>18</v>
      </c>
      <c r="M153" s="1">
        <v>17</v>
      </c>
      <c r="N153" s="1">
        <v>18</v>
      </c>
      <c r="O153" s="1">
        <v>18</v>
      </c>
      <c r="P153" s="1">
        <v>19</v>
      </c>
      <c r="Q153" s="1">
        <v>20</v>
      </c>
      <c r="R153" s="1">
        <v>10</v>
      </c>
      <c r="S153" s="1">
        <v>22</v>
      </c>
      <c r="T153" s="1">
        <v>8</v>
      </c>
      <c r="U153" s="1">
        <v>14</v>
      </c>
      <c r="V153" s="1">
        <v>14</v>
      </c>
      <c r="W153" s="1">
        <v>12</v>
      </c>
      <c r="X153" s="1">
        <v>7</v>
      </c>
      <c r="Y153" s="1">
        <v>22</v>
      </c>
    </row>
    <row r="154" spans="1:25" x14ac:dyDescent="0.3">
      <c r="A154" s="2">
        <v>42491</v>
      </c>
      <c r="B154" s="1">
        <v>7</v>
      </c>
      <c r="C154" s="1">
        <v>6</v>
      </c>
      <c r="D154" s="1">
        <v>11</v>
      </c>
      <c r="E154" s="1">
        <v>6</v>
      </c>
      <c r="F154" s="1">
        <v>5</v>
      </c>
      <c r="G154" s="1">
        <v>7</v>
      </c>
      <c r="H154" s="1">
        <v>6</v>
      </c>
      <c r="I154" s="1">
        <v>7</v>
      </c>
      <c r="J154" s="1">
        <v>11</v>
      </c>
      <c r="K154" s="1">
        <v>16</v>
      </c>
      <c r="L154" s="1">
        <v>7</v>
      </c>
      <c r="M154" s="1">
        <v>27</v>
      </c>
      <c r="N154" s="1">
        <v>20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</row>
    <row r="155" spans="1:25" x14ac:dyDescent="0.3">
      <c r="A155" s="2">
        <v>42492</v>
      </c>
      <c r="B155" s="1">
        <v>0</v>
      </c>
      <c r="C155" s="1">
        <v>1</v>
      </c>
      <c r="D155" s="1">
        <v>10</v>
      </c>
      <c r="E155" s="1">
        <v>4</v>
      </c>
      <c r="F155" s="1">
        <v>2</v>
      </c>
      <c r="G155" s="1">
        <v>3</v>
      </c>
      <c r="H155" s="1">
        <v>18</v>
      </c>
      <c r="I155" s="1">
        <v>18</v>
      </c>
      <c r="J155" s="1">
        <v>31</v>
      </c>
      <c r="K155" s="1">
        <v>24</v>
      </c>
      <c r="L155" s="1">
        <v>24</v>
      </c>
      <c r="M155" s="1">
        <v>20</v>
      </c>
      <c r="N155" s="1">
        <v>20</v>
      </c>
      <c r="O155" s="1">
        <v>16</v>
      </c>
      <c r="P155" s="1">
        <v>21</v>
      </c>
      <c r="Q155" s="1">
        <v>20</v>
      </c>
      <c r="R155" s="1">
        <v>21</v>
      </c>
      <c r="S155" s="1">
        <v>19</v>
      </c>
      <c r="T155" s="1">
        <v>17</v>
      </c>
      <c r="U155" s="1">
        <v>12</v>
      </c>
      <c r="V155" s="1">
        <v>7</v>
      </c>
      <c r="W155" s="1">
        <v>13</v>
      </c>
      <c r="X155" s="1">
        <v>11</v>
      </c>
      <c r="Y155" s="1">
        <v>10</v>
      </c>
    </row>
    <row r="156" spans="1:25" x14ac:dyDescent="0.3">
      <c r="A156" s="2">
        <v>42493</v>
      </c>
      <c r="B156" s="1">
        <v>7</v>
      </c>
      <c r="C156" s="1">
        <v>4</v>
      </c>
      <c r="D156" s="1">
        <v>1</v>
      </c>
      <c r="E156" s="1">
        <v>10</v>
      </c>
      <c r="F156" s="1">
        <v>5</v>
      </c>
      <c r="G156" s="1">
        <v>4</v>
      </c>
      <c r="H156" s="1">
        <v>9</v>
      </c>
      <c r="I156" s="1">
        <v>19</v>
      </c>
      <c r="J156" s="1">
        <v>30</v>
      </c>
      <c r="K156" s="1">
        <v>27</v>
      </c>
      <c r="L156" s="1">
        <v>18</v>
      </c>
      <c r="M156" s="1">
        <v>29</v>
      </c>
      <c r="N156" s="1">
        <v>26</v>
      </c>
      <c r="O156" s="1">
        <v>25</v>
      </c>
      <c r="P156" s="1">
        <v>18</v>
      </c>
      <c r="Q156" s="1">
        <v>15</v>
      </c>
      <c r="R156" s="1">
        <v>21</v>
      </c>
      <c r="S156" s="1">
        <v>16</v>
      </c>
      <c r="T156" s="1">
        <v>21</v>
      </c>
      <c r="U156" s="1">
        <v>11</v>
      </c>
      <c r="V156" s="1">
        <v>11</v>
      </c>
      <c r="W156" s="1">
        <v>15</v>
      </c>
      <c r="X156" s="1">
        <v>11</v>
      </c>
      <c r="Y156" s="1">
        <v>6</v>
      </c>
    </row>
    <row r="157" spans="1:25" x14ac:dyDescent="0.3">
      <c r="A157" s="2">
        <v>42494</v>
      </c>
      <c r="B157" s="1">
        <v>11</v>
      </c>
      <c r="C157" s="1">
        <v>3</v>
      </c>
      <c r="D157" s="1">
        <v>4</v>
      </c>
      <c r="E157" s="1">
        <v>5</v>
      </c>
      <c r="F157" s="1">
        <v>2</v>
      </c>
      <c r="G157" s="1">
        <v>8</v>
      </c>
      <c r="H157" s="1">
        <v>7</v>
      </c>
      <c r="I157" s="1">
        <v>16</v>
      </c>
      <c r="J157" s="1">
        <v>10</v>
      </c>
      <c r="K157" s="1">
        <v>19</v>
      </c>
      <c r="L157" s="1">
        <v>29</v>
      </c>
      <c r="M157" s="1">
        <v>20</v>
      </c>
      <c r="N157" s="1">
        <v>20</v>
      </c>
      <c r="O157" s="1">
        <v>15</v>
      </c>
      <c r="P157" s="1">
        <v>18</v>
      </c>
      <c r="Q157" s="1">
        <v>21</v>
      </c>
      <c r="R157" s="1">
        <v>20</v>
      </c>
      <c r="S157" s="1">
        <v>31</v>
      </c>
      <c r="T157" s="1">
        <v>21</v>
      </c>
      <c r="U157" s="1">
        <v>13</v>
      </c>
      <c r="V157" s="1">
        <v>20</v>
      </c>
      <c r="W157" s="1">
        <v>12</v>
      </c>
      <c r="X157" s="1">
        <v>8</v>
      </c>
      <c r="Y157" s="1">
        <v>9</v>
      </c>
    </row>
    <row r="158" spans="1:25" x14ac:dyDescent="0.3">
      <c r="A158" s="2">
        <v>42495</v>
      </c>
      <c r="B158" s="1">
        <v>7</v>
      </c>
      <c r="C158" s="1">
        <v>4</v>
      </c>
      <c r="D158" s="1">
        <v>3</v>
      </c>
      <c r="E158" s="1">
        <v>6</v>
      </c>
      <c r="F158" s="1">
        <v>5</v>
      </c>
      <c r="G158" s="1">
        <v>8</v>
      </c>
      <c r="H158" s="1">
        <v>13</v>
      </c>
      <c r="I158" s="1">
        <v>15</v>
      </c>
      <c r="J158" s="1">
        <v>19</v>
      </c>
      <c r="K158" s="1">
        <v>28</v>
      </c>
      <c r="L158" s="1">
        <v>29</v>
      </c>
      <c r="M158" s="1">
        <v>20</v>
      </c>
      <c r="N158" s="1">
        <v>21</v>
      </c>
      <c r="O158" s="1">
        <v>30</v>
      </c>
      <c r="P158" s="1">
        <v>20</v>
      </c>
      <c r="Q158" s="1">
        <v>19</v>
      </c>
      <c r="R158" s="1">
        <v>17</v>
      </c>
      <c r="S158" s="1">
        <v>21</v>
      </c>
      <c r="T158" s="1">
        <v>16</v>
      </c>
      <c r="U158" s="1">
        <v>26</v>
      </c>
      <c r="V158" s="1">
        <v>11</v>
      </c>
      <c r="W158" s="1">
        <v>12</v>
      </c>
      <c r="X158" s="1">
        <v>9</v>
      </c>
      <c r="Y158" s="1">
        <v>3</v>
      </c>
    </row>
    <row r="159" spans="1:25" x14ac:dyDescent="0.3">
      <c r="A159" s="2">
        <v>42496</v>
      </c>
      <c r="B159" s="1">
        <v>6</v>
      </c>
      <c r="C159" s="1">
        <v>12</v>
      </c>
      <c r="D159" s="1">
        <v>3</v>
      </c>
      <c r="E159" s="1">
        <v>4</v>
      </c>
      <c r="F159" s="1">
        <v>4</v>
      </c>
      <c r="G159" s="1">
        <v>5</v>
      </c>
      <c r="H159" s="1">
        <v>8</v>
      </c>
      <c r="I159" s="1">
        <v>19</v>
      </c>
      <c r="J159" s="1">
        <v>17</v>
      </c>
      <c r="K159" s="1">
        <v>30</v>
      </c>
      <c r="L159" s="1">
        <v>24</v>
      </c>
      <c r="M159" s="1">
        <v>18</v>
      </c>
      <c r="N159" s="1">
        <v>24</v>
      </c>
      <c r="O159" s="1">
        <v>28</v>
      </c>
      <c r="P159" s="1">
        <v>23</v>
      </c>
      <c r="Q159" s="1">
        <v>31</v>
      </c>
      <c r="R159" s="1">
        <v>28</v>
      </c>
      <c r="S159" s="1">
        <v>22</v>
      </c>
      <c r="T159" s="1">
        <v>18</v>
      </c>
      <c r="U159" s="1">
        <v>21</v>
      </c>
      <c r="V159" s="1">
        <v>20</v>
      </c>
      <c r="W159" s="1">
        <v>16</v>
      </c>
      <c r="X159" s="1">
        <v>19</v>
      </c>
      <c r="Y159" s="1">
        <v>15</v>
      </c>
    </row>
    <row r="160" spans="1:25" x14ac:dyDescent="0.3">
      <c r="A160" s="2">
        <v>42497</v>
      </c>
      <c r="B160" s="1">
        <v>13</v>
      </c>
      <c r="C160" s="1">
        <v>5</v>
      </c>
      <c r="D160" s="1">
        <v>8</v>
      </c>
      <c r="E160" s="1">
        <v>3</v>
      </c>
      <c r="F160" s="1">
        <v>5</v>
      </c>
      <c r="G160" s="1">
        <v>11</v>
      </c>
      <c r="H160" s="1">
        <v>6</v>
      </c>
      <c r="I160" s="1">
        <v>15</v>
      </c>
      <c r="J160" s="1">
        <v>10</v>
      </c>
      <c r="K160" s="1">
        <v>20</v>
      </c>
      <c r="L160" s="1">
        <v>19</v>
      </c>
      <c r="M160" s="1">
        <v>24</v>
      </c>
      <c r="N160" s="1">
        <v>20</v>
      </c>
      <c r="O160" s="1">
        <v>28</v>
      </c>
      <c r="P160" s="1">
        <v>22</v>
      </c>
      <c r="Q160" s="1">
        <v>18</v>
      </c>
      <c r="R160" s="1">
        <v>26</v>
      </c>
      <c r="S160" s="1">
        <v>28</v>
      </c>
      <c r="T160" s="1">
        <v>17</v>
      </c>
      <c r="U160" s="1">
        <v>19</v>
      </c>
      <c r="V160" s="1">
        <v>10</v>
      </c>
      <c r="W160" s="1">
        <v>9</v>
      </c>
      <c r="X160" s="1">
        <v>12</v>
      </c>
      <c r="Y160" s="1">
        <v>18</v>
      </c>
    </row>
    <row r="161" spans="1:25" x14ac:dyDescent="0.3">
      <c r="A161" s="2">
        <v>42498</v>
      </c>
      <c r="B161" s="1">
        <v>14</v>
      </c>
      <c r="C161" s="1">
        <v>5</v>
      </c>
      <c r="D161" s="1">
        <v>7</v>
      </c>
      <c r="E161" s="1">
        <v>8</v>
      </c>
      <c r="F161" s="1">
        <v>5</v>
      </c>
      <c r="G161" s="1">
        <v>3</v>
      </c>
      <c r="H161" s="1">
        <v>8</v>
      </c>
      <c r="I161" s="1">
        <v>5</v>
      </c>
      <c r="J161" s="1">
        <v>22</v>
      </c>
      <c r="K161" s="1">
        <v>12</v>
      </c>
      <c r="L161" s="1">
        <v>16</v>
      </c>
      <c r="M161" s="1">
        <v>19</v>
      </c>
      <c r="N161" s="1">
        <v>18</v>
      </c>
      <c r="O161" s="1">
        <v>23</v>
      </c>
      <c r="P161" s="1">
        <v>26</v>
      </c>
      <c r="Q161" s="1">
        <v>18</v>
      </c>
      <c r="R161" s="1">
        <v>14</v>
      </c>
      <c r="S161" s="1">
        <v>36</v>
      </c>
      <c r="T161" s="1">
        <v>12</v>
      </c>
      <c r="U161" s="1">
        <v>13</v>
      </c>
      <c r="V161" s="1">
        <v>13</v>
      </c>
      <c r="W161" s="1">
        <v>12</v>
      </c>
      <c r="X161" s="1">
        <v>13</v>
      </c>
      <c r="Y161" s="1">
        <v>8</v>
      </c>
    </row>
    <row r="162" spans="1:25" x14ac:dyDescent="0.3">
      <c r="A162" s="2">
        <v>42499</v>
      </c>
      <c r="B162" s="1">
        <v>4</v>
      </c>
      <c r="C162" s="1">
        <v>9</v>
      </c>
      <c r="D162" s="1">
        <v>5</v>
      </c>
      <c r="E162" s="1">
        <v>3</v>
      </c>
      <c r="F162" s="1">
        <v>5</v>
      </c>
      <c r="G162" s="1">
        <v>6</v>
      </c>
      <c r="H162" s="1">
        <v>7</v>
      </c>
      <c r="I162" s="1">
        <v>25</v>
      </c>
      <c r="J162" s="1">
        <v>17</v>
      </c>
      <c r="K162" s="1">
        <v>25</v>
      </c>
      <c r="L162" s="1">
        <v>15</v>
      </c>
      <c r="M162" s="1">
        <v>18</v>
      </c>
      <c r="N162" s="1">
        <v>26</v>
      </c>
      <c r="O162" s="1">
        <v>26</v>
      </c>
      <c r="P162" s="1">
        <v>17</v>
      </c>
      <c r="Q162" s="1">
        <v>18</v>
      </c>
      <c r="R162" s="1">
        <v>27</v>
      </c>
      <c r="S162" s="1">
        <v>22</v>
      </c>
      <c r="T162" s="1">
        <v>20</v>
      </c>
      <c r="U162" s="1">
        <v>16</v>
      </c>
      <c r="V162" s="1">
        <v>15</v>
      </c>
      <c r="W162" s="1">
        <v>13</v>
      </c>
      <c r="X162" s="1">
        <v>7</v>
      </c>
      <c r="Y162" s="1">
        <v>11</v>
      </c>
    </row>
    <row r="163" spans="1:25" x14ac:dyDescent="0.3">
      <c r="A163" s="2">
        <v>42500</v>
      </c>
      <c r="B163" s="1">
        <v>12</v>
      </c>
      <c r="C163" s="1">
        <v>6</v>
      </c>
      <c r="D163" s="1">
        <v>2</v>
      </c>
      <c r="E163" s="1">
        <v>3</v>
      </c>
      <c r="F163" s="1">
        <v>5</v>
      </c>
      <c r="G163" s="1">
        <v>5</v>
      </c>
      <c r="H163" s="1">
        <v>7</v>
      </c>
      <c r="I163" s="1">
        <v>27</v>
      </c>
      <c r="J163" s="1">
        <v>29</v>
      </c>
      <c r="K163" s="1">
        <v>20</v>
      </c>
      <c r="L163" s="1">
        <v>24</v>
      </c>
      <c r="M163" s="1">
        <v>26</v>
      </c>
      <c r="N163" s="1">
        <v>31</v>
      </c>
      <c r="O163" s="1">
        <v>19</v>
      </c>
      <c r="P163" s="1">
        <v>18</v>
      </c>
      <c r="Q163" s="1">
        <v>18</v>
      </c>
      <c r="R163" s="1">
        <v>17</v>
      </c>
      <c r="S163" s="1">
        <v>37</v>
      </c>
      <c r="T163" s="1">
        <v>16</v>
      </c>
      <c r="U163" s="1">
        <v>10</v>
      </c>
      <c r="V163" s="1">
        <v>19</v>
      </c>
      <c r="W163" s="1">
        <v>10</v>
      </c>
      <c r="X163" s="1">
        <v>8</v>
      </c>
      <c r="Y163" s="1">
        <v>5</v>
      </c>
    </row>
    <row r="164" spans="1:25" x14ac:dyDescent="0.3">
      <c r="A164" s="2">
        <v>42501</v>
      </c>
      <c r="B164" s="1">
        <v>5</v>
      </c>
      <c r="C164" s="1">
        <v>7</v>
      </c>
      <c r="D164" s="1">
        <v>1</v>
      </c>
      <c r="E164" s="1">
        <v>1</v>
      </c>
      <c r="F164" s="1">
        <v>7</v>
      </c>
      <c r="G164" s="1">
        <v>11</v>
      </c>
      <c r="H164" s="1">
        <v>14</v>
      </c>
      <c r="I164" s="1">
        <v>25</v>
      </c>
      <c r="J164" s="1">
        <v>34</v>
      </c>
      <c r="K164" s="1">
        <v>22</v>
      </c>
      <c r="L164" s="1">
        <v>15</v>
      </c>
      <c r="M164" s="1">
        <v>26</v>
      </c>
      <c r="N164" s="1">
        <v>19</v>
      </c>
      <c r="O164" s="1">
        <v>24</v>
      </c>
      <c r="P164" s="1">
        <v>20</v>
      </c>
      <c r="Q164" s="1">
        <v>27</v>
      </c>
      <c r="R164" s="1">
        <v>23</v>
      </c>
      <c r="S164" s="1">
        <v>29</v>
      </c>
      <c r="T164" s="1">
        <v>21</v>
      </c>
      <c r="U164" s="1">
        <v>14</v>
      </c>
      <c r="V164" s="1">
        <v>22</v>
      </c>
      <c r="W164" s="1">
        <v>15</v>
      </c>
      <c r="X164" s="1">
        <v>18</v>
      </c>
      <c r="Y164" s="1">
        <v>2</v>
      </c>
    </row>
    <row r="165" spans="1:25" x14ac:dyDescent="0.3">
      <c r="A165" s="2">
        <v>42502</v>
      </c>
      <c r="B165" s="1">
        <v>8</v>
      </c>
      <c r="C165" s="1">
        <v>7</v>
      </c>
      <c r="D165" s="1">
        <v>6</v>
      </c>
      <c r="E165" s="1">
        <v>3</v>
      </c>
      <c r="F165" s="1">
        <v>5</v>
      </c>
      <c r="G165" s="1">
        <v>5</v>
      </c>
      <c r="H165" s="1">
        <v>8</v>
      </c>
      <c r="I165" s="1">
        <v>12</v>
      </c>
      <c r="J165" s="1">
        <v>22</v>
      </c>
      <c r="K165" s="1">
        <v>16</v>
      </c>
      <c r="L165" s="1">
        <v>20</v>
      </c>
      <c r="M165" s="1">
        <v>26</v>
      </c>
      <c r="N165" s="1">
        <v>27</v>
      </c>
      <c r="O165" s="1">
        <v>33</v>
      </c>
      <c r="P165" s="1">
        <v>23</v>
      </c>
      <c r="Q165" s="1">
        <v>30</v>
      </c>
      <c r="R165" s="1">
        <v>15</v>
      </c>
      <c r="S165" s="1">
        <v>28</v>
      </c>
      <c r="T165" s="1">
        <v>25</v>
      </c>
      <c r="U165" s="1">
        <v>26</v>
      </c>
      <c r="V165" s="1">
        <v>15</v>
      </c>
      <c r="W165" s="1">
        <v>8</v>
      </c>
      <c r="X165" s="1">
        <v>15</v>
      </c>
      <c r="Y165" s="1">
        <v>9</v>
      </c>
    </row>
    <row r="166" spans="1:25" x14ac:dyDescent="0.3">
      <c r="A166" s="2">
        <v>42503</v>
      </c>
      <c r="B166" s="1">
        <v>8</v>
      </c>
      <c r="C166" s="1">
        <v>16</v>
      </c>
      <c r="D166" s="1">
        <v>9</v>
      </c>
      <c r="E166" s="1">
        <v>5</v>
      </c>
      <c r="F166" s="1">
        <v>3</v>
      </c>
      <c r="G166" s="1">
        <v>5</v>
      </c>
      <c r="H166" s="1">
        <v>10</v>
      </c>
      <c r="I166" s="1">
        <v>18</v>
      </c>
      <c r="J166" s="1">
        <v>20</v>
      </c>
      <c r="K166" s="1">
        <v>30</v>
      </c>
      <c r="L166" s="1">
        <v>27</v>
      </c>
      <c r="M166" s="1">
        <v>31</v>
      </c>
      <c r="N166" s="1">
        <v>23</v>
      </c>
      <c r="O166" s="1">
        <v>21</v>
      </c>
      <c r="P166" s="1">
        <v>34</v>
      </c>
      <c r="Q166" s="1">
        <v>38</v>
      </c>
      <c r="R166" s="1">
        <v>28</v>
      </c>
      <c r="S166" s="1">
        <v>36</v>
      </c>
      <c r="T166" s="1">
        <v>13</v>
      </c>
      <c r="U166" s="1">
        <v>19</v>
      </c>
      <c r="V166" s="1">
        <v>17</v>
      </c>
      <c r="W166" s="1">
        <v>21</v>
      </c>
      <c r="X166" s="1">
        <v>17</v>
      </c>
      <c r="Y166" s="1">
        <v>12</v>
      </c>
    </row>
    <row r="167" spans="1:25" x14ac:dyDescent="0.3">
      <c r="A167" s="2">
        <v>42504</v>
      </c>
      <c r="B167" s="1">
        <v>15</v>
      </c>
      <c r="C167" s="1">
        <v>4</v>
      </c>
      <c r="D167" s="1">
        <v>5</v>
      </c>
      <c r="E167" s="1">
        <v>7</v>
      </c>
      <c r="F167" s="1">
        <v>9</v>
      </c>
      <c r="G167" s="1">
        <v>8</v>
      </c>
      <c r="H167" s="1">
        <v>6</v>
      </c>
      <c r="I167" s="1">
        <v>8</v>
      </c>
      <c r="J167" s="1">
        <v>13</v>
      </c>
      <c r="K167" s="1">
        <v>15</v>
      </c>
      <c r="L167" s="1">
        <v>14</v>
      </c>
      <c r="M167" s="1">
        <v>31</v>
      </c>
      <c r="N167" s="1">
        <v>16</v>
      </c>
      <c r="O167" s="1">
        <v>13</v>
      </c>
      <c r="P167" s="1">
        <v>24</v>
      </c>
      <c r="Q167" s="1">
        <v>16</v>
      </c>
      <c r="R167" s="1">
        <v>37</v>
      </c>
      <c r="S167" s="1">
        <v>28</v>
      </c>
      <c r="T167" s="1">
        <v>20</v>
      </c>
      <c r="U167" s="1">
        <v>9</v>
      </c>
      <c r="V167" s="1">
        <v>21</v>
      </c>
      <c r="W167" s="1">
        <v>8</v>
      </c>
      <c r="X167" s="1">
        <v>21</v>
      </c>
      <c r="Y167" s="1">
        <v>12</v>
      </c>
    </row>
    <row r="168" spans="1:25" x14ac:dyDescent="0.3">
      <c r="A168" s="2">
        <v>42505</v>
      </c>
      <c r="B168" s="1">
        <v>5</v>
      </c>
      <c r="C168" s="1">
        <v>3</v>
      </c>
      <c r="D168" s="1">
        <v>7</v>
      </c>
      <c r="E168" s="1">
        <v>10</v>
      </c>
      <c r="F168" s="1">
        <v>5</v>
      </c>
      <c r="G168" s="1">
        <v>7</v>
      </c>
      <c r="H168" s="1">
        <v>5</v>
      </c>
      <c r="I168" s="1">
        <v>6</v>
      </c>
      <c r="J168" s="1">
        <v>4</v>
      </c>
      <c r="K168" s="1">
        <v>12</v>
      </c>
      <c r="L168" s="1">
        <v>12</v>
      </c>
      <c r="M168" s="1">
        <v>14</v>
      </c>
      <c r="N168" s="1">
        <v>10</v>
      </c>
      <c r="O168" s="1">
        <v>15</v>
      </c>
      <c r="P168" s="1">
        <v>16</v>
      </c>
      <c r="Q168" s="1">
        <v>19</v>
      </c>
      <c r="R168" s="1">
        <v>21</v>
      </c>
      <c r="S168" s="1">
        <v>11</v>
      </c>
      <c r="T168" s="1">
        <v>25</v>
      </c>
      <c r="U168" s="1">
        <v>7</v>
      </c>
      <c r="V168" s="1">
        <v>16</v>
      </c>
      <c r="W168" s="1">
        <v>10</v>
      </c>
      <c r="X168" s="1">
        <v>8</v>
      </c>
      <c r="Y168" s="1">
        <v>12</v>
      </c>
    </row>
    <row r="169" spans="1:25" x14ac:dyDescent="0.3">
      <c r="A169" s="2">
        <v>42506</v>
      </c>
      <c r="B169" s="1">
        <v>7</v>
      </c>
      <c r="C169" s="1">
        <v>7</v>
      </c>
      <c r="D169" s="1">
        <v>2</v>
      </c>
      <c r="E169" s="1">
        <v>5</v>
      </c>
      <c r="F169" s="1">
        <v>9</v>
      </c>
      <c r="G169" s="1">
        <v>4</v>
      </c>
      <c r="H169" s="1">
        <v>15</v>
      </c>
      <c r="I169" s="1">
        <v>15</v>
      </c>
      <c r="J169" s="1">
        <v>22</v>
      </c>
      <c r="K169" s="1">
        <v>17</v>
      </c>
      <c r="L169" s="1">
        <v>19</v>
      </c>
      <c r="M169" s="1">
        <v>21</v>
      </c>
      <c r="N169" s="1">
        <v>28</v>
      </c>
      <c r="O169" s="1">
        <v>20</v>
      </c>
      <c r="P169" s="1">
        <v>27</v>
      </c>
      <c r="Q169" s="1">
        <v>37</v>
      </c>
      <c r="R169" s="1">
        <v>18</v>
      </c>
      <c r="S169" s="1">
        <v>37</v>
      </c>
      <c r="T169" s="1">
        <v>19</v>
      </c>
      <c r="U169" s="1">
        <v>10</v>
      </c>
      <c r="V169" s="1">
        <v>12</v>
      </c>
      <c r="W169" s="1">
        <v>19</v>
      </c>
      <c r="X169" s="1">
        <v>12</v>
      </c>
      <c r="Y169" s="1">
        <v>4</v>
      </c>
    </row>
    <row r="170" spans="1:25" x14ac:dyDescent="0.3">
      <c r="A170" s="2">
        <v>42507</v>
      </c>
      <c r="B170" s="1">
        <v>8</v>
      </c>
      <c r="C170" s="1">
        <v>5</v>
      </c>
      <c r="D170" s="1">
        <v>4</v>
      </c>
      <c r="E170" s="1">
        <v>1</v>
      </c>
      <c r="F170" s="1">
        <v>4</v>
      </c>
      <c r="G170" s="1">
        <v>13</v>
      </c>
      <c r="H170" s="1">
        <v>9</v>
      </c>
      <c r="I170" s="1">
        <v>7</v>
      </c>
      <c r="J170" s="1">
        <v>15</v>
      </c>
      <c r="K170" s="1">
        <v>20</v>
      </c>
      <c r="L170" s="1">
        <v>8</v>
      </c>
      <c r="M170" s="1">
        <v>31</v>
      </c>
      <c r="N170" s="1">
        <v>22</v>
      </c>
      <c r="O170" s="1">
        <v>17</v>
      </c>
      <c r="P170" s="1">
        <v>37</v>
      </c>
      <c r="Q170" s="1">
        <v>28</v>
      </c>
      <c r="R170" s="1">
        <v>35</v>
      </c>
      <c r="S170" s="1">
        <v>33</v>
      </c>
      <c r="T170" s="1">
        <v>21</v>
      </c>
      <c r="U170" s="1">
        <v>20</v>
      </c>
      <c r="V170" s="1">
        <v>19</v>
      </c>
      <c r="W170" s="1">
        <v>26</v>
      </c>
      <c r="X170" s="1">
        <v>4</v>
      </c>
      <c r="Y170" s="1">
        <v>5</v>
      </c>
    </row>
    <row r="171" spans="1:25" x14ac:dyDescent="0.3">
      <c r="A171" s="2">
        <v>42508</v>
      </c>
      <c r="B171" s="1">
        <v>8</v>
      </c>
      <c r="C171" s="1">
        <v>2</v>
      </c>
      <c r="D171" s="1">
        <v>4</v>
      </c>
      <c r="E171" s="1">
        <v>6</v>
      </c>
      <c r="F171" s="1">
        <v>1</v>
      </c>
      <c r="G171" s="1">
        <v>7</v>
      </c>
      <c r="H171" s="1">
        <v>8</v>
      </c>
      <c r="I171" s="1">
        <v>22</v>
      </c>
      <c r="J171" s="1">
        <v>23</v>
      </c>
      <c r="K171" s="1">
        <v>20</v>
      </c>
      <c r="L171" s="1">
        <v>18</v>
      </c>
      <c r="M171" s="1">
        <v>13</v>
      </c>
      <c r="N171" s="1">
        <v>26</v>
      </c>
      <c r="O171" s="1">
        <v>21</v>
      </c>
      <c r="P171" s="1">
        <v>10</v>
      </c>
      <c r="Q171" s="1">
        <v>31</v>
      </c>
      <c r="R171" s="1">
        <v>21</v>
      </c>
      <c r="S171" s="1">
        <v>29</v>
      </c>
      <c r="T171" s="1">
        <v>21</v>
      </c>
      <c r="U171" s="1">
        <v>14</v>
      </c>
      <c r="V171" s="1">
        <v>9</v>
      </c>
      <c r="W171" s="1">
        <v>20</v>
      </c>
      <c r="X171" s="1">
        <v>8</v>
      </c>
      <c r="Y171" s="1">
        <v>5</v>
      </c>
    </row>
    <row r="172" spans="1:25" x14ac:dyDescent="0.3">
      <c r="A172" s="2">
        <v>42509</v>
      </c>
      <c r="B172" s="1">
        <v>10</v>
      </c>
      <c r="C172" s="1">
        <v>5</v>
      </c>
      <c r="D172" s="1">
        <v>7</v>
      </c>
      <c r="E172" s="1">
        <v>5</v>
      </c>
      <c r="F172" s="1">
        <v>5</v>
      </c>
      <c r="G172" s="1">
        <v>6</v>
      </c>
      <c r="H172" s="1">
        <v>11</v>
      </c>
      <c r="I172" s="1">
        <v>12</v>
      </c>
      <c r="J172" s="1">
        <v>18</v>
      </c>
      <c r="K172" s="1">
        <v>25</v>
      </c>
      <c r="L172" s="1">
        <v>17</v>
      </c>
      <c r="M172" s="1">
        <v>19</v>
      </c>
      <c r="N172" s="1">
        <v>28</v>
      </c>
      <c r="O172" s="1">
        <v>18</v>
      </c>
      <c r="P172" s="1">
        <v>26</v>
      </c>
      <c r="Q172" s="1">
        <v>25</v>
      </c>
      <c r="R172" s="1">
        <v>25</v>
      </c>
      <c r="S172" s="1">
        <v>29</v>
      </c>
      <c r="T172" s="1">
        <v>15</v>
      </c>
      <c r="U172" s="1">
        <v>20</v>
      </c>
      <c r="V172" s="1">
        <v>14</v>
      </c>
      <c r="W172" s="1">
        <v>23</v>
      </c>
      <c r="X172" s="1">
        <v>10</v>
      </c>
      <c r="Y172" s="1">
        <v>3</v>
      </c>
    </row>
    <row r="173" spans="1:25" x14ac:dyDescent="0.3">
      <c r="A173" s="2">
        <v>42510</v>
      </c>
      <c r="B173" s="1">
        <v>3</v>
      </c>
      <c r="C173" s="1">
        <v>0</v>
      </c>
      <c r="D173" s="1">
        <v>3</v>
      </c>
      <c r="E173" s="1">
        <v>4</v>
      </c>
      <c r="F173" s="1">
        <v>2</v>
      </c>
      <c r="G173" s="1">
        <v>7</v>
      </c>
      <c r="H173" s="1">
        <v>14</v>
      </c>
      <c r="I173" s="1">
        <v>16</v>
      </c>
      <c r="J173" s="1">
        <v>23</v>
      </c>
      <c r="K173" s="1">
        <v>20</v>
      </c>
      <c r="L173" s="1">
        <v>18</v>
      </c>
      <c r="M173" s="1">
        <v>28</v>
      </c>
      <c r="N173" s="1">
        <v>27</v>
      </c>
      <c r="O173" s="1">
        <v>28</v>
      </c>
      <c r="P173" s="1">
        <v>21</v>
      </c>
      <c r="Q173" s="1">
        <v>35</v>
      </c>
      <c r="R173" s="1">
        <v>33</v>
      </c>
      <c r="S173" s="1">
        <v>31</v>
      </c>
      <c r="T173" s="1">
        <v>26</v>
      </c>
      <c r="U173" s="1">
        <v>20</v>
      </c>
      <c r="V173" s="1">
        <v>19</v>
      </c>
      <c r="W173" s="1">
        <v>14</v>
      </c>
      <c r="X173" s="1">
        <v>12</v>
      </c>
      <c r="Y173" s="1">
        <v>19</v>
      </c>
    </row>
    <row r="174" spans="1:25" x14ac:dyDescent="0.3">
      <c r="A174" s="2">
        <v>42511</v>
      </c>
      <c r="B174" s="1">
        <v>14</v>
      </c>
      <c r="C174" s="1">
        <v>4</v>
      </c>
      <c r="D174" s="1">
        <v>8</v>
      </c>
      <c r="E174" s="1">
        <v>6</v>
      </c>
      <c r="F174" s="1">
        <v>6</v>
      </c>
      <c r="G174" s="1">
        <v>4</v>
      </c>
      <c r="H174" s="1">
        <v>6</v>
      </c>
      <c r="I174" s="1">
        <v>8</v>
      </c>
      <c r="J174" s="1">
        <v>15</v>
      </c>
      <c r="K174" s="1">
        <v>15</v>
      </c>
      <c r="L174" s="1">
        <v>22</v>
      </c>
      <c r="M174" s="1">
        <v>21</v>
      </c>
      <c r="N174" s="1">
        <v>23</v>
      </c>
      <c r="O174" s="1">
        <v>14</v>
      </c>
      <c r="P174" s="1">
        <v>19</v>
      </c>
      <c r="Q174" s="1">
        <v>8</v>
      </c>
      <c r="R174" s="1">
        <v>19</v>
      </c>
      <c r="S174" s="1">
        <v>18</v>
      </c>
      <c r="T174" s="1">
        <v>11</v>
      </c>
      <c r="U174" s="1">
        <v>19</v>
      </c>
      <c r="V174" s="1">
        <v>21</v>
      </c>
      <c r="W174" s="1">
        <v>20</v>
      </c>
      <c r="X174" s="1">
        <v>18</v>
      </c>
      <c r="Y174" s="1">
        <v>12</v>
      </c>
    </row>
    <row r="175" spans="1:25" x14ac:dyDescent="0.3">
      <c r="A175" s="2">
        <v>42512</v>
      </c>
      <c r="B175" s="1">
        <v>15</v>
      </c>
      <c r="C175" s="1">
        <v>5</v>
      </c>
      <c r="D175" s="1">
        <v>6</v>
      </c>
      <c r="E175" s="1">
        <v>5</v>
      </c>
      <c r="F175" s="1">
        <v>8</v>
      </c>
      <c r="G175" s="1">
        <v>7</v>
      </c>
      <c r="H175" s="1">
        <v>12</v>
      </c>
      <c r="I175" s="1">
        <v>7</v>
      </c>
      <c r="J175" s="1">
        <v>4</v>
      </c>
      <c r="K175" s="1">
        <v>15</v>
      </c>
      <c r="L175" s="1">
        <v>14</v>
      </c>
      <c r="M175" s="1">
        <v>19</v>
      </c>
      <c r="N175" s="1">
        <v>19</v>
      </c>
      <c r="O175" s="1">
        <v>21</v>
      </c>
      <c r="P175" s="1">
        <v>18</v>
      </c>
      <c r="Q175" s="1">
        <v>24</v>
      </c>
      <c r="R175" s="1">
        <v>21</v>
      </c>
      <c r="S175" s="1">
        <v>12</v>
      </c>
      <c r="T175" s="1">
        <v>14</v>
      </c>
      <c r="U175" s="1">
        <v>12</v>
      </c>
      <c r="V175" s="1">
        <v>20</v>
      </c>
      <c r="W175" s="1">
        <v>18</v>
      </c>
      <c r="X175" s="1">
        <v>14</v>
      </c>
      <c r="Y175" s="1">
        <v>5</v>
      </c>
    </row>
    <row r="176" spans="1:25" x14ac:dyDescent="0.3">
      <c r="A176" s="2">
        <v>42513</v>
      </c>
      <c r="B176" s="1">
        <v>6</v>
      </c>
      <c r="C176" s="1">
        <v>4</v>
      </c>
      <c r="D176" s="1">
        <v>2</v>
      </c>
      <c r="E176" s="1">
        <v>8</v>
      </c>
      <c r="F176" s="1">
        <v>8</v>
      </c>
      <c r="G176" s="1">
        <v>10</v>
      </c>
      <c r="H176" s="1">
        <v>6</v>
      </c>
      <c r="I176" s="1">
        <v>25</v>
      </c>
      <c r="J176" s="1">
        <v>19</v>
      </c>
      <c r="K176" s="1">
        <v>19</v>
      </c>
      <c r="L176" s="1">
        <v>22</v>
      </c>
      <c r="M176" s="1">
        <v>24</v>
      </c>
      <c r="N176" s="1">
        <v>19</v>
      </c>
      <c r="O176" s="1">
        <v>18</v>
      </c>
      <c r="P176" s="1">
        <v>20</v>
      </c>
      <c r="Q176" s="1">
        <v>36</v>
      </c>
      <c r="R176" s="1">
        <v>35</v>
      </c>
      <c r="S176" s="1">
        <v>33</v>
      </c>
      <c r="T176" s="1">
        <v>24</v>
      </c>
      <c r="U176" s="1">
        <v>12</v>
      </c>
      <c r="V176" s="1">
        <v>13</v>
      </c>
      <c r="W176" s="1">
        <v>14</v>
      </c>
      <c r="X176" s="1">
        <v>11</v>
      </c>
      <c r="Y176" s="1">
        <v>8</v>
      </c>
    </row>
    <row r="177" spans="1:25" x14ac:dyDescent="0.3">
      <c r="A177" s="2">
        <v>42514</v>
      </c>
      <c r="B177" s="1">
        <v>4</v>
      </c>
      <c r="C177" s="1">
        <v>5</v>
      </c>
      <c r="D177" s="1">
        <v>4</v>
      </c>
      <c r="E177" s="1">
        <v>1</v>
      </c>
      <c r="F177" s="1">
        <v>8</v>
      </c>
      <c r="G177" s="1">
        <v>2</v>
      </c>
      <c r="H177" s="1">
        <v>7</v>
      </c>
      <c r="I177" s="1">
        <v>17</v>
      </c>
      <c r="J177" s="1">
        <v>25</v>
      </c>
      <c r="K177" s="1">
        <v>25</v>
      </c>
      <c r="L177" s="1">
        <v>15</v>
      </c>
      <c r="M177" s="1">
        <v>21</v>
      </c>
      <c r="N177" s="1">
        <v>21</v>
      </c>
      <c r="O177" s="1">
        <v>23</v>
      </c>
      <c r="P177" s="1">
        <v>31</v>
      </c>
      <c r="Q177" s="1">
        <v>31</v>
      </c>
      <c r="R177" s="1">
        <v>14</v>
      </c>
      <c r="S177" s="1">
        <v>13</v>
      </c>
      <c r="T177" s="1">
        <v>31</v>
      </c>
      <c r="U177" s="1">
        <v>15</v>
      </c>
      <c r="V177" s="1">
        <v>15</v>
      </c>
      <c r="W177" s="1">
        <v>14</v>
      </c>
      <c r="X177" s="1">
        <v>13</v>
      </c>
      <c r="Y177" s="1">
        <v>7</v>
      </c>
    </row>
    <row r="178" spans="1:25" x14ac:dyDescent="0.3">
      <c r="A178" s="2">
        <v>42515</v>
      </c>
      <c r="B178" s="1">
        <v>8</v>
      </c>
      <c r="C178" s="1">
        <v>6</v>
      </c>
      <c r="D178" s="1">
        <v>8</v>
      </c>
      <c r="E178" s="1">
        <v>4</v>
      </c>
      <c r="F178" s="1">
        <v>4</v>
      </c>
      <c r="G178" s="1">
        <v>9</v>
      </c>
      <c r="H178" s="1">
        <v>2</v>
      </c>
      <c r="I178" s="1">
        <v>19</v>
      </c>
      <c r="J178" s="1">
        <v>23</v>
      </c>
      <c r="K178" s="1">
        <v>31</v>
      </c>
      <c r="L178" s="1">
        <v>26</v>
      </c>
      <c r="M178" s="1">
        <v>24</v>
      </c>
      <c r="N178" s="1">
        <v>28</v>
      </c>
      <c r="O178" s="1">
        <v>24</v>
      </c>
      <c r="P178" s="1">
        <v>25</v>
      </c>
      <c r="Q178" s="1">
        <v>28</v>
      </c>
      <c r="R178" s="1">
        <v>34</v>
      </c>
      <c r="S178" s="1">
        <v>33</v>
      </c>
      <c r="T178" s="1">
        <v>22</v>
      </c>
      <c r="U178" s="1">
        <v>18</v>
      </c>
      <c r="V178" s="1">
        <v>20</v>
      </c>
      <c r="W178" s="1">
        <v>19</v>
      </c>
      <c r="X178" s="1">
        <v>16</v>
      </c>
      <c r="Y178" s="1">
        <v>11</v>
      </c>
    </row>
    <row r="179" spans="1:25" x14ac:dyDescent="0.3">
      <c r="A179" s="2">
        <v>42516</v>
      </c>
      <c r="B179" s="1">
        <v>6</v>
      </c>
      <c r="C179" s="1">
        <v>5</v>
      </c>
      <c r="D179" s="1">
        <v>7</v>
      </c>
      <c r="E179" s="1">
        <v>5</v>
      </c>
      <c r="F179" s="1">
        <v>4</v>
      </c>
      <c r="G179" s="1">
        <v>8</v>
      </c>
      <c r="H179" s="1">
        <v>7</v>
      </c>
      <c r="I179" s="1">
        <v>14</v>
      </c>
      <c r="J179" s="1">
        <v>23</v>
      </c>
      <c r="K179" s="1">
        <v>26</v>
      </c>
      <c r="L179" s="1">
        <v>30</v>
      </c>
      <c r="M179" s="1">
        <v>27</v>
      </c>
      <c r="N179" s="1">
        <v>30</v>
      </c>
      <c r="O179" s="1">
        <v>23</v>
      </c>
      <c r="P179" s="1">
        <v>23</v>
      </c>
      <c r="Q179" s="1">
        <v>40</v>
      </c>
      <c r="R179" s="1">
        <v>32</v>
      </c>
      <c r="S179" s="1">
        <v>34</v>
      </c>
      <c r="T179" s="1">
        <v>23</v>
      </c>
      <c r="U179" s="1">
        <v>26</v>
      </c>
      <c r="V179" s="1">
        <v>20</v>
      </c>
      <c r="W179" s="1">
        <v>18</v>
      </c>
      <c r="X179" s="1">
        <v>15</v>
      </c>
      <c r="Y179" s="1">
        <v>9</v>
      </c>
    </row>
    <row r="180" spans="1:25" x14ac:dyDescent="0.3">
      <c r="A180" s="2">
        <v>42517</v>
      </c>
      <c r="B180" s="1">
        <v>3</v>
      </c>
      <c r="C180" s="1">
        <v>7</v>
      </c>
      <c r="D180" s="1">
        <v>7</v>
      </c>
      <c r="E180" s="1">
        <v>7</v>
      </c>
      <c r="F180" s="1">
        <v>10</v>
      </c>
      <c r="G180" s="1">
        <v>4</v>
      </c>
      <c r="H180" s="1">
        <v>11</v>
      </c>
      <c r="I180" s="1">
        <v>15</v>
      </c>
      <c r="J180" s="1">
        <v>21</v>
      </c>
      <c r="K180" s="1">
        <v>18</v>
      </c>
      <c r="L180" s="1">
        <v>15</v>
      </c>
      <c r="M180" s="1">
        <v>29</v>
      </c>
      <c r="N180" s="1">
        <v>31</v>
      </c>
      <c r="O180" s="1">
        <v>38</v>
      </c>
      <c r="P180" s="1">
        <v>25</v>
      </c>
      <c r="Q180" s="1">
        <v>21</v>
      </c>
      <c r="R180" s="1">
        <v>17</v>
      </c>
      <c r="S180" s="1">
        <v>38</v>
      </c>
      <c r="T180" s="1">
        <v>22</v>
      </c>
      <c r="U180" s="1">
        <v>15</v>
      </c>
      <c r="V180" s="1">
        <v>21</v>
      </c>
      <c r="W180" s="1">
        <v>15</v>
      </c>
      <c r="X180" s="1">
        <v>25</v>
      </c>
      <c r="Y180" s="1">
        <v>11</v>
      </c>
    </row>
    <row r="181" spans="1:25" x14ac:dyDescent="0.3">
      <c r="A181" s="2">
        <v>42518</v>
      </c>
      <c r="B181" s="1">
        <v>11</v>
      </c>
      <c r="C181" s="1">
        <v>20</v>
      </c>
      <c r="D181" s="1">
        <v>3</v>
      </c>
      <c r="E181" s="1">
        <v>10</v>
      </c>
      <c r="F181" s="1">
        <v>5</v>
      </c>
      <c r="G181" s="1">
        <v>3</v>
      </c>
      <c r="H181" s="1">
        <v>7</v>
      </c>
      <c r="I181" s="1">
        <v>2</v>
      </c>
      <c r="J181" s="1">
        <v>14</v>
      </c>
      <c r="K181" s="1">
        <v>20</v>
      </c>
      <c r="L181" s="1">
        <v>17</v>
      </c>
      <c r="M181" s="1">
        <v>40</v>
      </c>
      <c r="N181" s="1">
        <v>16</v>
      </c>
      <c r="O181" s="1">
        <v>36</v>
      </c>
      <c r="P181" s="1">
        <v>25</v>
      </c>
      <c r="Q181" s="1">
        <v>8</v>
      </c>
      <c r="R181" s="1">
        <v>22</v>
      </c>
      <c r="S181" s="1">
        <v>26</v>
      </c>
      <c r="T181" s="1">
        <v>22</v>
      </c>
      <c r="U181" s="1">
        <v>22</v>
      </c>
      <c r="V181" s="1">
        <v>12</v>
      </c>
      <c r="W181" s="1">
        <v>17</v>
      </c>
      <c r="X181" s="1">
        <v>12</v>
      </c>
      <c r="Y181" s="1">
        <v>11</v>
      </c>
    </row>
    <row r="182" spans="1:25" x14ac:dyDescent="0.3">
      <c r="A182" s="2">
        <v>42519</v>
      </c>
      <c r="B182" s="1">
        <v>10</v>
      </c>
      <c r="C182" s="1">
        <v>4</v>
      </c>
      <c r="D182" s="1">
        <v>6</v>
      </c>
      <c r="E182" s="1">
        <v>3</v>
      </c>
      <c r="F182" s="1">
        <v>8</v>
      </c>
      <c r="G182" s="1">
        <v>5</v>
      </c>
      <c r="H182" s="1">
        <v>5</v>
      </c>
      <c r="I182" s="1">
        <v>12</v>
      </c>
      <c r="J182" s="1">
        <v>24</v>
      </c>
      <c r="K182" s="1">
        <v>23</v>
      </c>
      <c r="L182" s="1">
        <v>12</v>
      </c>
      <c r="M182" s="1">
        <v>17</v>
      </c>
      <c r="N182" s="1">
        <v>21</v>
      </c>
      <c r="O182" s="1">
        <v>13</v>
      </c>
      <c r="P182" s="1">
        <v>18</v>
      </c>
      <c r="Q182" s="1">
        <v>23</v>
      </c>
      <c r="R182" s="1">
        <v>20</v>
      </c>
      <c r="S182" s="1">
        <v>28</v>
      </c>
      <c r="T182" s="1">
        <v>23</v>
      </c>
      <c r="U182" s="1">
        <v>15</v>
      </c>
      <c r="V182" s="1">
        <v>21</v>
      </c>
      <c r="W182" s="1">
        <v>21</v>
      </c>
      <c r="X182" s="1">
        <v>17</v>
      </c>
      <c r="Y182" s="1">
        <v>23</v>
      </c>
    </row>
    <row r="183" spans="1:25" x14ac:dyDescent="0.3">
      <c r="A183" s="2">
        <v>42520</v>
      </c>
      <c r="B183" s="1">
        <v>12</v>
      </c>
      <c r="C183" s="1">
        <v>8</v>
      </c>
      <c r="D183" s="1">
        <v>4</v>
      </c>
      <c r="E183" s="1">
        <v>4</v>
      </c>
      <c r="F183" s="1">
        <v>6</v>
      </c>
      <c r="G183" s="1">
        <v>6</v>
      </c>
      <c r="H183" s="1">
        <v>9</v>
      </c>
      <c r="I183" s="1">
        <v>14</v>
      </c>
      <c r="J183" s="1">
        <v>13</v>
      </c>
      <c r="K183" s="1">
        <v>11</v>
      </c>
      <c r="L183" s="1">
        <v>12</v>
      </c>
      <c r="M183" s="1">
        <v>15</v>
      </c>
      <c r="N183" s="1">
        <v>13</v>
      </c>
      <c r="O183" s="1">
        <v>13</v>
      </c>
      <c r="P183" s="1">
        <v>19</v>
      </c>
      <c r="Q183" s="1">
        <v>23</v>
      </c>
      <c r="R183" s="1">
        <v>30</v>
      </c>
      <c r="S183" s="1">
        <v>11</v>
      </c>
      <c r="T183" s="1">
        <v>13</v>
      </c>
      <c r="U183" s="1">
        <v>12</v>
      </c>
      <c r="V183" s="1">
        <v>18</v>
      </c>
      <c r="W183" s="1">
        <v>13</v>
      </c>
      <c r="X183" s="1">
        <v>12</v>
      </c>
      <c r="Y183" s="1">
        <v>4</v>
      </c>
    </row>
    <row r="184" spans="1:25" x14ac:dyDescent="0.3">
      <c r="A184" s="2">
        <v>42521</v>
      </c>
      <c r="B184" s="1">
        <v>8</v>
      </c>
      <c r="C184" s="1">
        <v>6</v>
      </c>
      <c r="D184" s="1">
        <v>7</v>
      </c>
      <c r="E184" s="1">
        <v>7</v>
      </c>
      <c r="F184" s="1">
        <v>6</v>
      </c>
      <c r="G184" s="1">
        <v>3</v>
      </c>
      <c r="H184" s="1">
        <v>10</v>
      </c>
      <c r="I184" s="1">
        <v>19</v>
      </c>
      <c r="J184" s="1">
        <v>21</v>
      </c>
      <c r="K184" s="1">
        <v>18</v>
      </c>
      <c r="L184" s="1">
        <v>22</v>
      </c>
      <c r="M184" s="1">
        <v>17</v>
      </c>
      <c r="N184" s="1">
        <v>28</v>
      </c>
      <c r="O184" s="1">
        <v>25</v>
      </c>
      <c r="P184" s="1">
        <v>25</v>
      </c>
      <c r="Q184" s="1">
        <v>23</v>
      </c>
      <c r="R184" s="1">
        <v>32</v>
      </c>
      <c r="S184" s="1">
        <v>39</v>
      </c>
      <c r="T184" s="1">
        <v>18</v>
      </c>
      <c r="U184" s="1">
        <v>24</v>
      </c>
      <c r="V184" s="1">
        <v>20</v>
      </c>
      <c r="W184" s="1">
        <v>10</v>
      </c>
      <c r="X184" s="1">
        <v>22</v>
      </c>
      <c r="Y184" s="1">
        <v>7</v>
      </c>
    </row>
    <row r="185" spans="1:25" x14ac:dyDescent="0.3">
      <c r="A185" s="2">
        <v>42522</v>
      </c>
      <c r="B185" s="1">
        <v>5</v>
      </c>
      <c r="C185" s="1">
        <v>2</v>
      </c>
      <c r="D185" s="1">
        <v>3</v>
      </c>
      <c r="E185" s="1">
        <v>1</v>
      </c>
      <c r="F185" s="1">
        <v>9</v>
      </c>
      <c r="G185" s="1">
        <v>4</v>
      </c>
      <c r="H185" s="1">
        <v>9</v>
      </c>
      <c r="I185" s="1">
        <v>21</v>
      </c>
      <c r="J185" s="1">
        <v>33</v>
      </c>
      <c r="K185" s="1">
        <v>20</v>
      </c>
      <c r="L185" s="1">
        <v>29</v>
      </c>
      <c r="M185" s="1">
        <v>28</v>
      </c>
      <c r="N185" s="1">
        <v>26</v>
      </c>
      <c r="O185" s="1">
        <v>31</v>
      </c>
      <c r="P185" s="1">
        <v>29</v>
      </c>
      <c r="Q185" s="1">
        <v>31</v>
      </c>
      <c r="R185" s="1">
        <v>40</v>
      </c>
      <c r="S185" s="1">
        <v>25</v>
      </c>
      <c r="T185" s="1">
        <v>28</v>
      </c>
      <c r="U185" s="1">
        <v>16</v>
      </c>
      <c r="V185" s="1">
        <v>18</v>
      </c>
      <c r="W185" s="1">
        <v>10</v>
      </c>
      <c r="X185" s="1">
        <v>6</v>
      </c>
      <c r="Y185" s="1">
        <v>8</v>
      </c>
    </row>
    <row r="186" spans="1:25" x14ac:dyDescent="0.3">
      <c r="A186" s="2">
        <v>42523</v>
      </c>
      <c r="B186" s="1">
        <v>8</v>
      </c>
      <c r="C186" s="1">
        <v>10</v>
      </c>
      <c r="D186" s="1">
        <v>3</v>
      </c>
      <c r="E186" s="1">
        <v>2</v>
      </c>
      <c r="F186" s="1">
        <v>3</v>
      </c>
      <c r="G186" s="1">
        <v>4</v>
      </c>
      <c r="H186" s="1">
        <v>12</v>
      </c>
      <c r="I186" s="1">
        <v>11</v>
      </c>
      <c r="J186" s="1">
        <v>15</v>
      </c>
      <c r="K186" s="1">
        <v>24</v>
      </c>
      <c r="L186" s="1">
        <v>20</v>
      </c>
      <c r="M186" s="1">
        <v>17</v>
      </c>
      <c r="N186" s="1">
        <v>28</v>
      </c>
      <c r="O186" s="1">
        <v>34</v>
      </c>
      <c r="P186" s="1">
        <v>24</v>
      </c>
      <c r="Q186" s="1">
        <v>13</v>
      </c>
      <c r="R186" s="1">
        <v>31</v>
      </c>
      <c r="S186" s="1">
        <v>40</v>
      </c>
      <c r="T186" s="1">
        <v>18</v>
      </c>
      <c r="U186" s="1">
        <v>28</v>
      </c>
      <c r="V186" s="1">
        <v>18</v>
      </c>
      <c r="W186" s="1">
        <v>15</v>
      </c>
      <c r="X186" s="1">
        <v>16</v>
      </c>
      <c r="Y186" s="1">
        <v>12</v>
      </c>
    </row>
    <row r="187" spans="1:25" x14ac:dyDescent="0.3">
      <c r="A187" s="2">
        <v>42524</v>
      </c>
      <c r="B187" s="1">
        <v>8</v>
      </c>
      <c r="C187" s="1">
        <v>3</v>
      </c>
      <c r="D187" s="1">
        <v>4</v>
      </c>
      <c r="E187" s="1">
        <v>8</v>
      </c>
      <c r="F187" s="1">
        <v>9</v>
      </c>
      <c r="G187" s="1">
        <v>6</v>
      </c>
      <c r="H187" s="1">
        <v>10</v>
      </c>
      <c r="I187" s="1">
        <v>27</v>
      </c>
      <c r="J187" s="1">
        <v>32</v>
      </c>
      <c r="K187" s="1">
        <v>23</v>
      </c>
      <c r="L187" s="1">
        <v>26</v>
      </c>
      <c r="M187" s="1">
        <v>30</v>
      </c>
      <c r="N187" s="1">
        <v>35</v>
      </c>
      <c r="O187" s="1">
        <v>12</v>
      </c>
      <c r="P187" s="1">
        <v>25</v>
      </c>
      <c r="Q187" s="1">
        <v>29</v>
      </c>
      <c r="R187" s="1">
        <v>28</v>
      </c>
      <c r="S187" s="1">
        <v>26</v>
      </c>
      <c r="T187" s="1">
        <v>20</v>
      </c>
      <c r="U187" s="1">
        <v>17</v>
      </c>
      <c r="V187" s="1">
        <v>12</v>
      </c>
      <c r="W187" s="1">
        <v>18</v>
      </c>
      <c r="X187" s="1">
        <v>11</v>
      </c>
      <c r="Y187" s="1">
        <v>10</v>
      </c>
    </row>
    <row r="188" spans="1:25" x14ac:dyDescent="0.3">
      <c r="A188" s="2">
        <v>42525</v>
      </c>
      <c r="B188" s="1">
        <v>14</v>
      </c>
      <c r="C188" s="1">
        <v>8</v>
      </c>
      <c r="D188" s="1">
        <v>6</v>
      </c>
      <c r="E188" s="1">
        <v>8</v>
      </c>
      <c r="F188" s="1">
        <v>5</v>
      </c>
      <c r="G188" s="1">
        <v>3</v>
      </c>
      <c r="H188" s="1">
        <v>9</v>
      </c>
      <c r="I188" s="1">
        <v>6</v>
      </c>
      <c r="J188" s="1">
        <v>15</v>
      </c>
      <c r="K188" s="1">
        <v>17</v>
      </c>
      <c r="L188" s="1">
        <v>22</v>
      </c>
      <c r="M188" s="1">
        <v>24</v>
      </c>
      <c r="N188" s="1">
        <v>22</v>
      </c>
      <c r="O188" s="1">
        <v>28</v>
      </c>
      <c r="P188" s="1">
        <v>18</v>
      </c>
      <c r="Q188" s="1">
        <v>19</v>
      </c>
      <c r="R188" s="1">
        <v>21</v>
      </c>
      <c r="S188" s="1">
        <v>10</v>
      </c>
      <c r="T188" s="1">
        <v>19</v>
      </c>
      <c r="U188" s="1">
        <v>17</v>
      </c>
      <c r="V188" s="1">
        <v>17</v>
      </c>
      <c r="W188" s="1">
        <v>17</v>
      </c>
      <c r="X188" s="1">
        <v>19</v>
      </c>
      <c r="Y188" s="1">
        <v>10</v>
      </c>
    </row>
    <row r="189" spans="1:25" x14ac:dyDescent="0.3">
      <c r="A189" s="2">
        <v>42526</v>
      </c>
      <c r="B189" s="1">
        <v>6</v>
      </c>
      <c r="C189" s="1">
        <v>9</v>
      </c>
      <c r="D189" s="1">
        <v>11</v>
      </c>
      <c r="E189" s="1">
        <v>5</v>
      </c>
      <c r="F189" s="1">
        <v>5</v>
      </c>
      <c r="G189" s="1">
        <v>4</v>
      </c>
      <c r="H189" s="1">
        <v>4</v>
      </c>
      <c r="I189" s="1">
        <v>7</v>
      </c>
      <c r="J189" s="1">
        <v>14</v>
      </c>
      <c r="K189" s="1">
        <v>8</v>
      </c>
      <c r="L189" s="1">
        <v>11</v>
      </c>
      <c r="M189" s="1">
        <v>13</v>
      </c>
      <c r="N189" s="1">
        <v>13</v>
      </c>
      <c r="O189" s="1">
        <v>25</v>
      </c>
      <c r="P189" s="1">
        <v>14</v>
      </c>
      <c r="Q189" s="1">
        <v>10</v>
      </c>
      <c r="R189" s="1">
        <v>16</v>
      </c>
      <c r="S189" s="1">
        <v>37</v>
      </c>
      <c r="T189" s="1">
        <v>36</v>
      </c>
      <c r="U189" s="1">
        <v>18</v>
      </c>
      <c r="V189" s="1">
        <v>13</v>
      </c>
      <c r="W189" s="1">
        <v>5</v>
      </c>
      <c r="X189" s="1">
        <v>11</v>
      </c>
      <c r="Y189" s="1">
        <v>9</v>
      </c>
    </row>
    <row r="190" spans="1:25" x14ac:dyDescent="0.3">
      <c r="A190" s="2">
        <v>42527</v>
      </c>
      <c r="B190" s="1">
        <v>7</v>
      </c>
      <c r="C190" s="1">
        <v>7</v>
      </c>
      <c r="D190" s="1">
        <v>3</v>
      </c>
      <c r="E190" s="1">
        <v>5</v>
      </c>
      <c r="F190" s="1">
        <v>3</v>
      </c>
      <c r="G190" s="1">
        <v>4</v>
      </c>
      <c r="H190" s="1">
        <v>18</v>
      </c>
      <c r="I190" s="1">
        <v>25</v>
      </c>
      <c r="J190" s="1">
        <v>24</v>
      </c>
      <c r="K190" s="1">
        <v>27</v>
      </c>
      <c r="L190" s="1">
        <v>24</v>
      </c>
      <c r="M190" s="1">
        <v>25</v>
      </c>
      <c r="N190" s="1">
        <v>21</v>
      </c>
      <c r="O190" s="1">
        <v>17</v>
      </c>
      <c r="P190" s="1">
        <v>34</v>
      </c>
      <c r="Q190" s="1">
        <v>25</v>
      </c>
      <c r="R190" s="1">
        <v>34</v>
      </c>
      <c r="S190" s="1">
        <v>41</v>
      </c>
      <c r="T190" s="1">
        <v>22</v>
      </c>
      <c r="U190" s="1">
        <v>17</v>
      </c>
      <c r="V190" s="1">
        <v>14</v>
      </c>
      <c r="W190" s="1">
        <v>13</v>
      </c>
      <c r="X190" s="1">
        <v>10</v>
      </c>
      <c r="Y190" s="1">
        <v>14</v>
      </c>
    </row>
    <row r="191" spans="1:25" x14ac:dyDescent="0.3">
      <c r="A191" s="2">
        <v>42528</v>
      </c>
      <c r="B191" s="1">
        <v>7</v>
      </c>
      <c r="C191" s="1">
        <v>7</v>
      </c>
      <c r="D191" s="1">
        <v>5</v>
      </c>
      <c r="E191" s="1">
        <v>7</v>
      </c>
      <c r="F191" s="1">
        <v>1</v>
      </c>
      <c r="G191" s="1">
        <v>9</v>
      </c>
      <c r="H191" s="1">
        <v>11</v>
      </c>
      <c r="I191" s="1">
        <v>13</v>
      </c>
      <c r="J191" s="1">
        <v>24</v>
      </c>
      <c r="K191" s="1">
        <v>28</v>
      </c>
      <c r="L191" s="1">
        <v>18</v>
      </c>
      <c r="M191" s="1">
        <v>23</v>
      </c>
      <c r="N191" s="1">
        <v>15</v>
      </c>
      <c r="O191" s="1">
        <v>31</v>
      </c>
      <c r="P191" s="1">
        <v>27</v>
      </c>
      <c r="Q191" s="1">
        <v>34</v>
      </c>
      <c r="R191" s="1">
        <v>30</v>
      </c>
      <c r="S191" s="1">
        <v>36</v>
      </c>
      <c r="T191" s="1">
        <v>39</v>
      </c>
      <c r="U191" s="1">
        <v>21</v>
      </c>
      <c r="V191" s="1">
        <v>9</v>
      </c>
      <c r="W191" s="1">
        <v>14</v>
      </c>
      <c r="X191" s="1">
        <v>14</v>
      </c>
      <c r="Y191" s="1">
        <v>11</v>
      </c>
    </row>
    <row r="192" spans="1:25" x14ac:dyDescent="0.3">
      <c r="A192" s="2">
        <v>42529</v>
      </c>
      <c r="B192" s="1">
        <v>4</v>
      </c>
      <c r="C192" s="1">
        <v>3</v>
      </c>
      <c r="D192" s="1">
        <v>4</v>
      </c>
      <c r="E192" s="1">
        <v>6</v>
      </c>
      <c r="F192" s="1">
        <v>3</v>
      </c>
      <c r="G192" s="1">
        <v>6</v>
      </c>
      <c r="H192" s="1">
        <v>13</v>
      </c>
      <c r="I192" s="1">
        <v>18</v>
      </c>
      <c r="J192" s="1">
        <v>20</v>
      </c>
      <c r="K192" s="1">
        <v>20</v>
      </c>
      <c r="L192" s="1">
        <v>17</v>
      </c>
      <c r="M192" s="1">
        <v>33</v>
      </c>
      <c r="N192" s="1">
        <v>68</v>
      </c>
      <c r="O192" s="1">
        <v>36</v>
      </c>
      <c r="P192" s="1">
        <v>29</v>
      </c>
      <c r="Q192" s="1">
        <v>29</v>
      </c>
      <c r="R192" s="1">
        <v>30</v>
      </c>
      <c r="S192" s="1">
        <v>32</v>
      </c>
      <c r="T192" s="1">
        <v>23</v>
      </c>
      <c r="U192" s="1">
        <v>19</v>
      </c>
      <c r="V192" s="1">
        <v>18</v>
      </c>
      <c r="W192" s="1">
        <v>11</v>
      </c>
      <c r="X192" s="1">
        <v>15</v>
      </c>
      <c r="Y192" s="1">
        <v>9</v>
      </c>
    </row>
    <row r="193" spans="1:25" x14ac:dyDescent="0.3">
      <c r="A193" s="2">
        <v>42530</v>
      </c>
      <c r="B193" s="1">
        <v>4</v>
      </c>
      <c r="C193" s="1">
        <v>7</v>
      </c>
      <c r="D193" s="1">
        <v>4</v>
      </c>
      <c r="E193" s="1">
        <v>4</v>
      </c>
      <c r="F193" s="1">
        <v>4</v>
      </c>
      <c r="G193" s="1">
        <v>7</v>
      </c>
      <c r="H193" s="1">
        <v>13</v>
      </c>
      <c r="I193" s="1">
        <v>28</v>
      </c>
      <c r="J193" s="1">
        <v>21</v>
      </c>
      <c r="K193" s="1">
        <v>14</v>
      </c>
      <c r="L193" s="1">
        <v>15</v>
      </c>
      <c r="M193" s="1">
        <v>30</v>
      </c>
      <c r="N193" s="1">
        <v>35</v>
      </c>
      <c r="O193" s="1">
        <v>36</v>
      </c>
      <c r="P193" s="1">
        <v>38</v>
      </c>
      <c r="Q193" s="1">
        <v>20</v>
      </c>
      <c r="R193" s="1">
        <v>37</v>
      </c>
      <c r="S193" s="1">
        <v>39</v>
      </c>
      <c r="T193" s="1">
        <v>27</v>
      </c>
      <c r="U193" s="1">
        <v>15</v>
      </c>
      <c r="V193" s="1">
        <v>7</v>
      </c>
      <c r="W193" s="1">
        <v>16</v>
      </c>
      <c r="X193" s="1">
        <v>6</v>
      </c>
      <c r="Y193" s="1">
        <v>9</v>
      </c>
    </row>
    <row r="194" spans="1:25" x14ac:dyDescent="0.3">
      <c r="A194" s="2">
        <v>42531</v>
      </c>
      <c r="B194" s="1">
        <v>7</v>
      </c>
      <c r="C194" s="1">
        <v>5</v>
      </c>
      <c r="D194" s="1">
        <v>1</v>
      </c>
      <c r="E194" s="1">
        <v>3</v>
      </c>
      <c r="F194" s="1">
        <v>5</v>
      </c>
      <c r="G194" s="1">
        <v>9</v>
      </c>
      <c r="H194" s="1">
        <v>6</v>
      </c>
      <c r="I194" s="1">
        <v>18</v>
      </c>
      <c r="J194" s="1">
        <v>13</v>
      </c>
      <c r="K194" s="1">
        <v>25</v>
      </c>
      <c r="L194" s="1">
        <v>24</v>
      </c>
      <c r="M194" s="1">
        <v>20</v>
      </c>
      <c r="N194" s="1">
        <v>30</v>
      </c>
      <c r="O194" s="1">
        <v>19</v>
      </c>
      <c r="P194" s="1">
        <v>25</v>
      </c>
      <c r="Q194" s="1">
        <v>25</v>
      </c>
      <c r="R194" s="1">
        <v>25</v>
      </c>
      <c r="S194" s="1">
        <v>23</v>
      </c>
      <c r="T194" s="1">
        <v>24</v>
      </c>
      <c r="U194" s="1">
        <v>24</v>
      </c>
      <c r="V194" s="1">
        <v>22</v>
      </c>
      <c r="W194" s="1">
        <v>22</v>
      </c>
      <c r="X194" s="1">
        <v>17</v>
      </c>
      <c r="Y194" s="1">
        <v>12</v>
      </c>
    </row>
    <row r="195" spans="1:25" x14ac:dyDescent="0.3">
      <c r="A195" s="2">
        <v>42532</v>
      </c>
      <c r="B195" s="1">
        <v>8</v>
      </c>
      <c r="C195" s="1">
        <v>7</v>
      </c>
      <c r="D195" s="1">
        <v>12</v>
      </c>
      <c r="E195" s="1">
        <v>5</v>
      </c>
      <c r="F195" s="1">
        <v>1</v>
      </c>
      <c r="G195" s="1">
        <v>6</v>
      </c>
      <c r="H195" s="1">
        <v>4</v>
      </c>
      <c r="I195" s="1">
        <v>13</v>
      </c>
      <c r="J195" s="1">
        <v>10</v>
      </c>
      <c r="K195" s="1">
        <v>22</v>
      </c>
      <c r="L195" s="1">
        <v>22</v>
      </c>
      <c r="M195" s="1">
        <v>24</v>
      </c>
      <c r="N195" s="1">
        <v>16</v>
      </c>
      <c r="O195" s="1">
        <v>18</v>
      </c>
      <c r="P195" s="1">
        <v>24</v>
      </c>
      <c r="Q195" s="1">
        <v>26</v>
      </c>
      <c r="R195" s="1">
        <v>21</v>
      </c>
      <c r="S195" s="1">
        <v>20</v>
      </c>
      <c r="T195" s="1">
        <v>20</v>
      </c>
      <c r="U195" s="1">
        <v>17</v>
      </c>
      <c r="V195" s="1">
        <v>14</v>
      </c>
      <c r="W195" s="1">
        <v>25</v>
      </c>
      <c r="X195" s="1">
        <v>14</v>
      </c>
      <c r="Y195" s="1">
        <v>11</v>
      </c>
    </row>
    <row r="196" spans="1:25" x14ac:dyDescent="0.3">
      <c r="A196" s="2">
        <v>42533</v>
      </c>
      <c r="B196" s="1">
        <v>10</v>
      </c>
      <c r="C196" s="1">
        <v>13</v>
      </c>
      <c r="D196" s="1">
        <v>10</v>
      </c>
      <c r="E196" s="1">
        <v>11</v>
      </c>
      <c r="F196" s="1">
        <v>5</v>
      </c>
      <c r="G196" s="1">
        <v>4</v>
      </c>
      <c r="H196" s="1">
        <v>2</v>
      </c>
      <c r="I196" s="1">
        <v>10</v>
      </c>
      <c r="J196" s="1">
        <v>17</v>
      </c>
      <c r="K196" s="1">
        <v>14</v>
      </c>
      <c r="L196" s="1">
        <v>38</v>
      </c>
      <c r="M196" s="1">
        <v>33</v>
      </c>
      <c r="N196" s="1">
        <v>28</v>
      </c>
      <c r="O196" s="1">
        <v>34</v>
      </c>
      <c r="P196" s="1">
        <v>34</v>
      </c>
      <c r="Q196" s="1">
        <v>32</v>
      </c>
      <c r="R196" s="1">
        <v>24</v>
      </c>
      <c r="S196" s="1">
        <v>17</v>
      </c>
      <c r="T196" s="1">
        <v>14</v>
      </c>
      <c r="U196" s="1">
        <v>23</v>
      </c>
      <c r="V196" s="1">
        <v>13</v>
      </c>
      <c r="W196" s="1">
        <v>14</v>
      </c>
      <c r="X196" s="1">
        <v>8</v>
      </c>
      <c r="Y196" s="1">
        <v>6</v>
      </c>
    </row>
    <row r="197" spans="1:25" x14ac:dyDescent="0.3">
      <c r="A197" s="2">
        <v>42534</v>
      </c>
      <c r="B197" s="1">
        <v>2</v>
      </c>
      <c r="C197" s="1">
        <v>5</v>
      </c>
      <c r="D197" s="1">
        <v>7</v>
      </c>
      <c r="E197" s="1">
        <v>5</v>
      </c>
      <c r="F197" s="1">
        <v>5</v>
      </c>
      <c r="G197" s="1">
        <v>5</v>
      </c>
      <c r="H197" s="1">
        <v>10</v>
      </c>
      <c r="I197" s="1">
        <v>27</v>
      </c>
      <c r="J197" s="1">
        <v>32</v>
      </c>
      <c r="K197" s="1">
        <v>33</v>
      </c>
      <c r="L197" s="1">
        <v>20</v>
      </c>
      <c r="M197" s="1">
        <v>24</v>
      </c>
      <c r="N197" s="1">
        <v>22</v>
      </c>
      <c r="O197" s="1">
        <v>23</v>
      </c>
      <c r="P197" s="1">
        <v>32</v>
      </c>
      <c r="Q197" s="1">
        <v>27</v>
      </c>
      <c r="R197" s="1">
        <v>33</v>
      </c>
      <c r="S197" s="1">
        <v>25</v>
      </c>
      <c r="T197" s="1">
        <v>18</v>
      </c>
      <c r="U197" s="1">
        <v>25</v>
      </c>
      <c r="V197" s="1">
        <v>11</v>
      </c>
      <c r="W197" s="1">
        <v>9</v>
      </c>
      <c r="X197" s="1">
        <v>9</v>
      </c>
      <c r="Y197" s="1">
        <v>7</v>
      </c>
    </row>
    <row r="198" spans="1:25" x14ac:dyDescent="0.3">
      <c r="A198" s="2">
        <v>42535</v>
      </c>
      <c r="B198" s="1">
        <v>11</v>
      </c>
      <c r="C198" s="1">
        <v>6</v>
      </c>
      <c r="D198" s="1">
        <v>2</v>
      </c>
      <c r="E198" s="1">
        <v>4</v>
      </c>
      <c r="F198" s="1">
        <v>3</v>
      </c>
      <c r="G198" s="1">
        <v>16</v>
      </c>
      <c r="H198" s="1">
        <v>12</v>
      </c>
      <c r="I198" s="1">
        <v>16</v>
      </c>
      <c r="J198" s="1">
        <v>24</v>
      </c>
      <c r="K198" s="1">
        <v>15</v>
      </c>
      <c r="L198" s="1">
        <v>16</v>
      </c>
      <c r="M198" s="1">
        <v>19</v>
      </c>
      <c r="N198" s="1">
        <v>26</v>
      </c>
      <c r="O198" s="1">
        <v>22</v>
      </c>
      <c r="P198" s="1">
        <v>28</v>
      </c>
      <c r="Q198" s="1">
        <v>25</v>
      </c>
      <c r="R198" s="1">
        <v>18</v>
      </c>
      <c r="S198" s="1">
        <v>36</v>
      </c>
      <c r="T198" s="1">
        <v>27</v>
      </c>
      <c r="U198" s="1">
        <v>29</v>
      </c>
      <c r="V198" s="1">
        <v>12</v>
      </c>
      <c r="W198" s="1">
        <v>19</v>
      </c>
      <c r="X198" s="1">
        <v>10</v>
      </c>
      <c r="Y198" s="1">
        <v>12</v>
      </c>
    </row>
    <row r="199" spans="1:25" x14ac:dyDescent="0.3">
      <c r="A199" s="2">
        <v>42536</v>
      </c>
      <c r="B199" s="1">
        <v>4</v>
      </c>
      <c r="C199" s="1">
        <v>4</v>
      </c>
      <c r="D199" s="1">
        <v>7</v>
      </c>
      <c r="E199" s="1">
        <v>3</v>
      </c>
      <c r="F199" s="1">
        <v>5</v>
      </c>
      <c r="G199" s="1">
        <v>8</v>
      </c>
      <c r="H199" s="1">
        <v>19</v>
      </c>
      <c r="I199" s="1">
        <v>17</v>
      </c>
      <c r="J199" s="1">
        <v>18</v>
      </c>
      <c r="K199" s="1">
        <v>22</v>
      </c>
      <c r="L199" s="1">
        <v>19</v>
      </c>
      <c r="M199" s="1">
        <v>21</v>
      </c>
      <c r="N199" s="1">
        <v>26</v>
      </c>
      <c r="O199" s="1">
        <v>19</v>
      </c>
      <c r="P199" s="1">
        <v>26</v>
      </c>
      <c r="Q199" s="1">
        <v>29</v>
      </c>
      <c r="R199" s="1">
        <v>24</v>
      </c>
      <c r="S199" s="1">
        <v>23</v>
      </c>
      <c r="T199" s="1">
        <v>23</v>
      </c>
      <c r="U199" s="1">
        <v>11</v>
      </c>
      <c r="V199" s="1">
        <v>17</v>
      </c>
      <c r="W199" s="1">
        <v>14</v>
      </c>
      <c r="X199" s="1">
        <v>22</v>
      </c>
      <c r="Y199" s="1">
        <v>10</v>
      </c>
    </row>
    <row r="200" spans="1:25" x14ac:dyDescent="0.3">
      <c r="A200" s="2">
        <v>42537</v>
      </c>
      <c r="B200" s="1">
        <v>6</v>
      </c>
      <c r="C200" s="1">
        <v>3</v>
      </c>
      <c r="D200" s="1">
        <v>4</v>
      </c>
      <c r="E200" s="1">
        <v>7</v>
      </c>
      <c r="F200" s="1">
        <v>5</v>
      </c>
      <c r="G200" s="1">
        <v>5</v>
      </c>
      <c r="H200" s="1">
        <v>10</v>
      </c>
      <c r="I200" s="1">
        <v>28</v>
      </c>
      <c r="J200" s="1">
        <v>29</v>
      </c>
      <c r="K200" s="1">
        <v>22</v>
      </c>
      <c r="L200" s="1">
        <v>20</v>
      </c>
      <c r="M200" s="1">
        <v>16</v>
      </c>
      <c r="N200" s="1">
        <v>16</v>
      </c>
      <c r="O200" s="1">
        <v>27</v>
      </c>
      <c r="P200" s="1">
        <v>24</v>
      </c>
      <c r="Q200" s="1">
        <v>25</v>
      </c>
      <c r="R200" s="1">
        <v>28</v>
      </c>
      <c r="S200" s="1">
        <v>27</v>
      </c>
      <c r="T200" s="1">
        <v>27</v>
      </c>
      <c r="U200" s="1">
        <v>10</v>
      </c>
      <c r="V200" s="1">
        <v>17</v>
      </c>
      <c r="W200" s="1">
        <v>11</v>
      </c>
      <c r="X200" s="1">
        <v>13</v>
      </c>
      <c r="Y200" s="1">
        <v>9</v>
      </c>
    </row>
    <row r="201" spans="1:25" x14ac:dyDescent="0.3">
      <c r="A201" s="2">
        <v>42538</v>
      </c>
      <c r="B201" s="1">
        <v>12</v>
      </c>
      <c r="C201" s="1">
        <v>6</v>
      </c>
      <c r="D201" s="1">
        <v>5</v>
      </c>
      <c r="E201" s="1">
        <v>4</v>
      </c>
      <c r="F201" s="1">
        <v>7</v>
      </c>
      <c r="G201" s="1">
        <v>11</v>
      </c>
      <c r="H201" s="1">
        <v>6</v>
      </c>
      <c r="I201" s="1">
        <v>12</v>
      </c>
      <c r="J201" s="1">
        <v>21</v>
      </c>
      <c r="K201" s="1">
        <v>18</v>
      </c>
      <c r="L201" s="1">
        <v>16</v>
      </c>
      <c r="M201" s="1">
        <v>25</v>
      </c>
      <c r="N201" s="1">
        <v>38</v>
      </c>
      <c r="O201" s="1">
        <v>26</v>
      </c>
      <c r="P201" s="1">
        <v>22</v>
      </c>
      <c r="Q201" s="1">
        <v>38</v>
      </c>
      <c r="R201" s="1">
        <v>42</v>
      </c>
      <c r="S201" s="1">
        <v>30</v>
      </c>
      <c r="T201" s="1">
        <v>22</v>
      </c>
      <c r="U201" s="1">
        <v>14</v>
      </c>
      <c r="V201" s="1">
        <v>18</v>
      </c>
      <c r="W201" s="1">
        <v>17</v>
      </c>
      <c r="X201" s="1">
        <v>4</v>
      </c>
      <c r="Y201" s="1">
        <v>12</v>
      </c>
    </row>
    <row r="202" spans="1:25" x14ac:dyDescent="0.3">
      <c r="A202" s="2">
        <v>42539</v>
      </c>
      <c r="B202" s="1">
        <v>13</v>
      </c>
      <c r="C202" s="1">
        <v>6</v>
      </c>
      <c r="D202" s="1">
        <v>4</v>
      </c>
      <c r="E202" s="1">
        <v>10</v>
      </c>
      <c r="F202" s="1">
        <v>4</v>
      </c>
      <c r="G202" s="1">
        <v>6</v>
      </c>
      <c r="H202" s="1">
        <v>10</v>
      </c>
      <c r="I202" s="1">
        <v>10</v>
      </c>
      <c r="J202" s="1">
        <v>13</v>
      </c>
      <c r="K202" s="1">
        <v>14</v>
      </c>
      <c r="L202" s="1">
        <v>18</v>
      </c>
      <c r="M202" s="1">
        <v>19</v>
      </c>
      <c r="N202" s="1">
        <v>16</v>
      </c>
      <c r="O202" s="1">
        <v>23</v>
      </c>
      <c r="P202" s="1">
        <v>16</v>
      </c>
      <c r="Q202" s="1">
        <v>26</v>
      </c>
      <c r="R202" s="1">
        <v>23</v>
      </c>
      <c r="S202" s="1">
        <v>19</v>
      </c>
      <c r="T202" s="1">
        <v>17</v>
      </c>
      <c r="U202" s="1">
        <v>21</v>
      </c>
      <c r="V202" s="1">
        <v>10</v>
      </c>
      <c r="W202" s="1">
        <v>17</v>
      </c>
      <c r="X202" s="1">
        <v>13</v>
      </c>
      <c r="Y202" s="1">
        <v>11</v>
      </c>
    </row>
    <row r="203" spans="1:25" x14ac:dyDescent="0.3">
      <c r="A203" s="2">
        <v>42540</v>
      </c>
      <c r="B203" s="1">
        <v>7</v>
      </c>
      <c r="C203" s="1">
        <v>14</v>
      </c>
      <c r="D203" s="1">
        <v>4</v>
      </c>
      <c r="E203" s="1">
        <v>7</v>
      </c>
      <c r="F203" s="1">
        <v>5</v>
      </c>
      <c r="G203" s="1">
        <v>2</v>
      </c>
      <c r="H203" s="1">
        <v>11</v>
      </c>
      <c r="I203" s="1">
        <v>10</v>
      </c>
      <c r="J203" s="1">
        <v>8</v>
      </c>
      <c r="K203" s="1">
        <v>21</v>
      </c>
      <c r="L203" s="1">
        <v>14</v>
      </c>
      <c r="M203" s="1">
        <v>17</v>
      </c>
      <c r="N203" s="1">
        <v>17</v>
      </c>
      <c r="O203" s="1">
        <v>22</v>
      </c>
      <c r="P203" s="1">
        <v>17</v>
      </c>
      <c r="Q203" s="1">
        <v>20</v>
      </c>
      <c r="R203" s="1">
        <v>19</v>
      </c>
      <c r="S203" s="1">
        <v>15</v>
      </c>
      <c r="T203" s="1">
        <v>14</v>
      </c>
      <c r="U203" s="1">
        <v>20</v>
      </c>
      <c r="V203" s="1">
        <v>18</v>
      </c>
      <c r="W203" s="1">
        <v>22</v>
      </c>
      <c r="X203" s="1">
        <v>8</v>
      </c>
      <c r="Y203" s="1">
        <v>13</v>
      </c>
    </row>
    <row r="204" spans="1:25" x14ac:dyDescent="0.3">
      <c r="A204" s="2">
        <v>42541</v>
      </c>
      <c r="B204" s="1">
        <v>7</v>
      </c>
      <c r="C204" s="1">
        <v>4</v>
      </c>
      <c r="D204" s="1">
        <v>9</v>
      </c>
      <c r="E204" s="1">
        <v>5</v>
      </c>
      <c r="F204" s="1">
        <v>4</v>
      </c>
      <c r="G204" s="1">
        <v>5</v>
      </c>
      <c r="H204" s="1">
        <v>9</v>
      </c>
      <c r="I204" s="1">
        <v>16</v>
      </c>
      <c r="J204" s="1">
        <v>18</v>
      </c>
      <c r="K204" s="1">
        <v>18</v>
      </c>
      <c r="L204" s="1">
        <v>17</v>
      </c>
      <c r="M204" s="1">
        <v>27</v>
      </c>
      <c r="N204" s="1">
        <v>30</v>
      </c>
      <c r="O204" s="1">
        <v>28</v>
      </c>
      <c r="P204" s="1">
        <v>17</v>
      </c>
      <c r="Q204" s="1">
        <v>24</v>
      </c>
      <c r="R204" s="1">
        <v>19</v>
      </c>
      <c r="S204" s="1">
        <v>23</v>
      </c>
      <c r="T204" s="1">
        <v>11</v>
      </c>
      <c r="U204" s="1">
        <v>22</v>
      </c>
      <c r="V204" s="1">
        <v>10</v>
      </c>
      <c r="W204" s="1">
        <v>13</v>
      </c>
      <c r="X204" s="1">
        <v>13</v>
      </c>
      <c r="Y204" s="1">
        <v>4</v>
      </c>
    </row>
    <row r="205" spans="1:25" x14ac:dyDescent="0.3">
      <c r="A205" s="2">
        <v>42542</v>
      </c>
      <c r="B205" s="1">
        <v>8</v>
      </c>
      <c r="C205" s="1">
        <v>4</v>
      </c>
      <c r="D205" s="1">
        <v>6</v>
      </c>
      <c r="E205" s="1">
        <v>6</v>
      </c>
      <c r="F205" s="1">
        <v>7</v>
      </c>
      <c r="G205" s="1">
        <v>8</v>
      </c>
      <c r="H205" s="1">
        <v>9</v>
      </c>
      <c r="I205" s="1">
        <v>10</v>
      </c>
      <c r="J205" s="1">
        <v>27</v>
      </c>
      <c r="K205" s="1">
        <v>21</v>
      </c>
      <c r="L205" s="1">
        <v>23</v>
      </c>
      <c r="M205" s="1">
        <v>29</v>
      </c>
      <c r="N205" s="1">
        <v>24</v>
      </c>
      <c r="O205" s="1">
        <v>25</v>
      </c>
      <c r="P205" s="1">
        <v>22</v>
      </c>
      <c r="Q205" s="1">
        <v>22</v>
      </c>
      <c r="R205" s="1">
        <v>17</v>
      </c>
      <c r="S205" s="1">
        <v>29</v>
      </c>
      <c r="T205" s="1">
        <v>42</v>
      </c>
      <c r="U205" s="1">
        <v>17</v>
      </c>
      <c r="V205" s="1">
        <v>19</v>
      </c>
      <c r="W205" s="1">
        <v>15</v>
      </c>
      <c r="X205" s="1">
        <v>16</v>
      </c>
      <c r="Y205" s="1">
        <v>10</v>
      </c>
    </row>
    <row r="206" spans="1:25" x14ac:dyDescent="0.3">
      <c r="A206" s="2">
        <v>42543</v>
      </c>
      <c r="B206" s="1">
        <v>5</v>
      </c>
      <c r="C206" s="1">
        <v>4</v>
      </c>
      <c r="D206" s="1">
        <v>8</v>
      </c>
      <c r="E206" s="1">
        <v>7</v>
      </c>
      <c r="F206" s="1">
        <v>1</v>
      </c>
      <c r="G206" s="1">
        <v>6</v>
      </c>
      <c r="H206" s="1">
        <v>8</v>
      </c>
      <c r="I206" s="1">
        <v>11</v>
      </c>
      <c r="J206" s="1">
        <v>15</v>
      </c>
      <c r="K206" s="1">
        <v>34</v>
      </c>
      <c r="L206" s="1">
        <v>23</v>
      </c>
      <c r="M206" s="1">
        <v>25</v>
      </c>
      <c r="N206" s="1">
        <v>20</v>
      </c>
      <c r="O206" s="1">
        <v>16</v>
      </c>
      <c r="P206" s="1">
        <v>32</v>
      </c>
      <c r="Q206" s="1">
        <v>19</v>
      </c>
      <c r="R206" s="1">
        <v>30</v>
      </c>
      <c r="S206" s="1">
        <v>25</v>
      </c>
      <c r="T206" s="1">
        <v>19</v>
      </c>
      <c r="U206" s="1">
        <v>10</v>
      </c>
      <c r="V206" s="1">
        <v>16</v>
      </c>
      <c r="W206" s="1">
        <v>13</v>
      </c>
      <c r="X206" s="1">
        <v>15</v>
      </c>
      <c r="Y206" s="1">
        <v>8</v>
      </c>
    </row>
    <row r="207" spans="1:25" x14ac:dyDescent="0.3">
      <c r="A207" s="2">
        <v>42544</v>
      </c>
      <c r="B207" s="1">
        <v>10</v>
      </c>
      <c r="C207" s="1">
        <v>4</v>
      </c>
      <c r="D207" s="1">
        <v>7</v>
      </c>
      <c r="E207" s="1">
        <v>2</v>
      </c>
      <c r="F207" s="1">
        <v>4</v>
      </c>
      <c r="G207" s="1">
        <v>9</v>
      </c>
      <c r="H207" s="1">
        <v>9</v>
      </c>
      <c r="I207" s="1">
        <v>14</v>
      </c>
      <c r="J207" s="1">
        <v>16</v>
      </c>
      <c r="K207" s="1">
        <v>22</v>
      </c>
      <c r="L207" s="1">
        <v>21</v>
      </c>
      <c r="M207" s="1">
        <v>27</v>
      </c>
      <c r="N207" s="1">
        <v>26</v>
      </c>
      <c r="O207" s="1">
        <v>19</v>
      </c>
      <c r="P207" s="1">
        <v>22</v>
      </c>
      <c r="Q207" s="1">
        <v>30</v>
      </c>
      <c r="R207" s="1">
        <v>29</v>
      </c>
      <c r="S207" s="1">
        <v>36</v>
      </c>
      <c r="T207" s="1">
        <v>11</v>
      </c>
      <c r="U207" s="1">
        <v>19</v>
      </c>
      <c r="V207" s="1">
        <v>23</v>
      </c>
      <c r="W207" s="1">
        <v>24</v>
      </c>
      <c r="X207" s="1">
        <v>20</v>
      </c>
      <c r="Y207" s="1">
        <v>15</v>
      </c>
    </row>
    <row r="208" spans="1:25" x14ac:dyDescent="0.3">
      <c r="A208" s="2">
        <v>42545</v>
      </c>
      <c r="B208" s="1">
        <v>2</v>
      </c>
      <c r="C208" s="1">
        <v>5</v>
      </c>
      <c r="D208" s="1">
        <v>2</v>
      </c>
      <c r="E208" s="1">
        <v>3</v>
      </c>
      <c r="F208" s="1">
        <v>2</v>
      </c>
      <c r="G208" s="1">
        <v>7</v>
      </c>
      <c r="H208" s="1">
        <v>11</v>
      </c>
      <c r="I208" s="1">
        <v>20</v>
      </c>
      <c r="J208" s="1">
        <v>18</v>
      </c>
      <c r="K208" s="1">
        <v>17</v>
      </c>
      <c r="L208" s="1">
        <v>25</v>
      </c>
      <c r="M208" s="1">
        <v>23</v>
      </c>
      <c r="N208" s="1">
        <v>33</v>
      </c>
      <c r="O208" s="1">
        <v>21</v>
      </c>
      <c r="P208" s="1">
        <v>15</v>
      </c>
      <c r="Q208" s="1">
        <v>28</v>
      </c>
      <c r="R208" s="1">
        <v>38</v>
      </c>
      <c r="S208" s="1">
        <v>17</v>
      </c>
      <c r="T208" s="1">
        <v>13</v>
      </c>
      <c r="U208" s="1">
        <v>18</v>
      </c>
      <c r="V208" s="1">
        <v>18</v>
      </c>
      <c r="W208" s="1">
        <v>18</v>
      </c>
      <c r="X208" s="1">
        <v>17</v>
      </c>
      <c r="Y208" s="1">
        <v>17</v>
      </c>
    </row>
    <row r="209" spans="1:25" x14ac:dyDescent="0.3">
      <c r="A209" s="2">
        <v>42546</v>
      </c>
      <c r="B209" s="1">
        <v>3</v>
      </c>
      <c r="C209" s="1">
        <v>5</v>
      </c>
      <c r="D209" s="1">
        <v>6</v>
      </c>
      <c r="E209" s="1">
        <v>2</v>
      </c>
      <c r="F209" s="1">
        <v>4</v>
      </c>
      <c r="G209" s="1">
        <v>9</v>
      </c>
      <c r="H209" s="1">
        <v>6</v>
      </c>
      <c r="I209" s="1">
        <v>6</v>
      </c>
      <c r="J209" s="1">
        <v>9</v>
      </c>
      <c r="K209" s="1">
        <v>22</v>
      </c>
      <c r="L209" s="1">
        <v>23</v>
      </c>
      <c r="M209" s="1">
        <v>15</v>
      </c>
      <c r="N209" s="1">
        <v>27</v>
      </c>
      <c r="O209" s="1">
        <v>12</v>
      </c>
      <c r="P209" s="1">
        <v>16</v>
      </c>
      <c r="Q209" s="1">
        <v>22</v>
      </c>
      <c r="R209" s="1">
        <v>17</v>
      </c>
      <c r="S209" s="1">
        <v>17</v>
      </c>
      <c r="T209" s="1">
        <v>33</v>
      </c>
      <c r="U209" s="1">
        <v>19</v>
      </c>
      <c r="V209" s="1">
        <v>25</v>
      </c>
      <c r="W209" s="1">
        <v>7</v>
      </c>
      <c r="X209" s="1">
        <v>9</v>
      </c>
      <c r="Y209" s="1">
        <v>9</v>
      </c>
    </row>
    <row r="210" spans="1:25" x14ac:dyDescent="0.3">
      <c r="A210" s="2">
        <v>42547</v>
      </c>
      <c r="B210" s="1">
        <v>15</v>
      </c>
      <c r="C210" s="1">
        <v>13</v>
      </c>
      <c r="D210" s="1">
        <v>5</v>
      </c>
      <c r="E210" s="1">
        <v>5</v>
      </c>
      <c r="F210" s="1">
        <v>5</v>
      </c>
      <c r="G210" s="1">
        <v>5</v>
      </c>
      <c r="H210" s="1">
        <v>7</v>
      </c>
      <c r="I210" s="1">
        <v>4</v>
      </c>
      <c r="J210" s="1">
        <v>9</v>
      </c>
      <c r="K210" s="1">
        <v>13</v>
      </c>
      <c r="L210" s="1">
        <v>12</v>
      </c>
      <c r="M210" s="1">
        <v>11</v>
      </c>
      <c r="N210" s="1">
        <v>12</v>
      </c>
      <c r="O210" s="1">
        <v>15</v>
      </c>
      <c r="P210" s="1">
        <v>18</v>
      </c>
      <c r="Q210" s="1">
        <v>22</v>
      </c>
      <c r="R210" s="1">
        <v>25</v>
      </c>
      <c r="S210" s="1">
        <v>18</v>
      </c>
      <c r="T210" s="1">
        <v>11</v>
      </c>
      <c r="U210" s="1">
        <v>12</v>
      </c>
      <c r="V210" s="1">
        <v>15</v>
      </c>
      <c r="W210" s="1">
        <v>12</v>
      </c>
      <c r="X210" s="1">
        <v>14</v>
      </c>
      <c r="Y210" s="1">
        <v>8</v>
      </c>
    </row>
    <row r="211" spans="1:25" x14ac:dyDescent="0.3">
      <c r="A211" s="2">
        <v>42548</v>
      </c>
      <c r="B211" s="1">
        <v>10</v>
      </c>
      <c r="C211" s="1">
        <v>4</v>
      </c>
      <c r="D211" s="1">
        <v>6</v>
      </c>
      <c r="E211" s="1">
        <v>5</v>
      </c>
      <c r="F211" s="1">
        <v>14</v>
      </c>
      <c r="G211" s="1">
        <v>4</v>
      </c>
      <c r="H211" s="1">
        <v>10</v>
      </c>
      <c r="I211" s="1">
        <v>11</v>
      </c>
      <c r="J211" s="1">
        <v>21</v>
      </c>
      <c r="K211" s="1">
        <v>19</v>
      </c>
      <c r="L211" s="1">
        <v>20</v>
      </c>
      <c r="M211" s="1">
        <v>16</v>
      </c>
      <c r="N211" s="1">
        <v>19</v>
      </c>
      <c r="O211" s="1">
        <v>24</v>
      </c>
      <c r="P211" s="1">
        <v>28</v>
      </c>
      <c r="Q211" s="1">
        <v>21</v>
      </c>
      <c r="R211" s="1">
        <v>32</v>
      </c>
      <c r="S211" s="1">
        <v>15</v>
      </c>
      <c r="T211" s="1">
        <v>37</v>
      </c>
      <c r="U211" s="1">
        <v>28</v>
      </c>
      <c r="V211" s="1">
        <v>27</v>
      </c>
      <c r="W211" s="1">
        <v>16</v>
      </c>
      <c r="X211" s="1">
        <v>13</v>
      </c>
      <c r="Y211" s="1">
        <v>6</v>
      </c>
    </row>
    <row r="212" spans="1:25" x14ac:dyDescent="0.3">
      <c r="A212" s="2">
        <v>42549</v>
      </c>
      <c r="B212" s="1">
        <v>10</v>
      </c>
      <c r="C212" s="1">
        <v>13</v>
      </c>
      <c r="D212" s="1">
        <v>5</v>
      </c>
      <c r="E212" s="1">
        <v>3</v>
      </c>
      <c r="F212" s="1">
        <v>6</v>
      </c>
      <c r="G212" s="1">
        <v>6</v>
      </c>
      <c r="H212" s="1">
        <v>9</v>
      </c>
      <c r="I212" s="1">
        <v>10</v>
      </c>
      <c r="J212" s="1">
        <v>21</v>
      </c>
      <c r="K212" s="1">
        <v>30</v>
      </c>
      <c r="L212" s="1">
        <v>19</v>
      </c>
      <c r="M212" s="1">
        <v>18</v>
      </c>
      <c r="N212" s="1">
        <v>29</v>
      </c>
      <c r="O212" s="1">
        <v>27</v>
      </c>
      <c r="P212" s="1">
        <v>32</v>
      </c>
      <c r="Q212" s="1">
        <v>28</v>
      </c>
      <c r="R212" s="1">
        <v>30</v>
      </c>
      <c r="S212" s="1">
        <v>16</v>
      </c>
      <c r="T212" s="1">
        <v>22</v>
      </c>
      <c r="U212" s="1">
        <v>19</v>
      </c>
      <c r="V212" s="1">
        <v>20</v>
      </c>
      <c r="W212" s="1">
        <v>12</v>
      </c>
      <c r="X212" s="1">
        <v>18</v>
      </c>
      <c r="Y212" s="1">
        <v>10</v>
      </c>
    </row>
    <row r="213" spans="1:25" x14ac:dyDescent="0.3">
      <c r="A213" s="2">
        <v>42550</v>
      </c>
      <c r="B213" s="1">
        <v>5</v>
      </c>
      <c r="C213" s="1">
        <v>3</v>
      </c>
      <c r="D213" s="1">
        <v>9</v>
      </c>
      <c r="E213" s="1">
        <v>7</v>
      </c>
      <c r="F213" s="1">
        <v>6</v>
      </c>
      <c r="G213" s="1">
        <v>4</v>
      </c>
      <c r="H213" s="1">
        <v>9</v>
      </c>
      <c r="I213" s="1">
        <v>12</v>
      </c>
      <c r="J213" s="1">
        <v>23</v>
      </c>
      <c r="K213" s="1">
        <v>22</v>
      </c>
      <c r="L213" s="1">
        <v>27</v>
      </c>
      <c r="M213" s="1">
        <v>17</v>
      </c>
      <c r="N213" s="1">
        <v>20</v>
      </c>
      <c r="O213" s="1">
        <v>33</v>
      </c>
      <c r="P213" s="1">
        <v>20</v>
      </c>
      <c r="Q213" s="1">
        <v>28</v>
      </c>
      <c r="R213" s="1">
        <v>23</v>
      </c>
      <c r="S213" s="1">
        <v>31</v>
      </c>
      <c r="T213" s="1">
        <v>22</v>
      </c>
      <c r="U213" s="1">
        <v>19</v>
      </c>
      <c r="V213" s="1">
        <v>14</v>
      </c>
      <c r="W213" s="1">
        <v>12</v>
      </c>
      <c r="X213" s="1">
        <v>11</v>
      </c>
      <c r="Y213" s="1">
        <v>9</v>
      </c>
    </row>
    <row r="214" spans="1:25" x14ac:dyDescent="0.3">
      <c r="A214" s="2">
        <v>42551</v>
      </c>
      <c r="B214" s="1">
        <v>8</v>
      </c>
      <c r="C214" s="1">
        <v>4</v>
      </c>
      <c r="D214" s="1">
        <v>6</v>
      </c>
      <c r="E214" s="1">
        <v>5</v>
      </c>
      <c r="F214" s="1">
        <v>1</v>
      </c>
      <c r="G214" s="1">
        <v>10</v>
      </c>
      <c r="H214" s="1">
        <v>10</v>
      </c>
      <c r="I214" s="1">
        <v>14</v>
      </c>
      <c r="J214" s="1">
        <v>23</v>
      </c>
      <c r="K214" s="1">
        <v>21</v>
      </c>
      <c r="L214" s="1">
        <v>21</v>
      </c>
      <c r="M214" s="1">
        <v>29</v>
      </c>
      <c r="N214" s="1">
        <v>27</v>
      </c>
      <c r="O214" s="1">
        <v>25</v>
      </c>
      <c r="P214" s="1">
        <v>23</v>
      </c>
      <c r="Q214" s="1">
        <v>30</v>
      </c>
      <c r="R214" s="1">
        <v>20</v>
      </c>
      <c r="S214" s="1">
        <v>32</v>
      </c>
      <c r="T214" s="1">
        <v>18</v>
      </c>
      <c r="U214" s="1">
        <v>25</v>
      </c>
      <c r="V214" s="1">
        <v>14</v>
      </c>
      <c r="W214" s="1">
        <v>15</v>
      </c>
      <c r="X214" s="1">
        <v>12</v>
      </c>
      <c r="Y214" s="1">
        <v>12</v>
      </c>
    </row>
    <row r="215" spans="1:25" x14ac:dyDescent="0.3">
      <c r="A215" s="2">
        <v>42552</v>
      </c>
      <c r="B215" s="1">
        <v>11</v>
      </c>
      <c r="C215" s="1">
        <v>10</v>
      </c>
      <c r="D215" s="1">
        <v>6</v>
      </c>
      <c r="E215" s="1">
        <v>12</v>
      </c>
      <c r="F215" s="1">
        <v>5</v>
      </c>
      <c r="G215" s="1">
        <v>7</v>
      </c>
      <c r="H215" s="1">
        <v>5</v>
      </c>
      <c r="I215" s="1">
        <v>12</v>
      </c>
      <c r="J215" s="1">
        <v>22</v>
      </c>
      <c r="K215" s="1">
        <v>18</v>
      </c>
      <c r="L215" s="1">
        <v>23</v>
      </c>
      <c r="M215" s="1">
        <v>21</v>
      </c>
      <c r="N215" s="1">
        <v>28</v>
      </c>
      <c r="O215" s="1">
        <v>35</v>
      </c>
      <c r="P215" s="1">
        <v>29</v>
      </c>
      <c r="Q215" s="1">
        <v>27</v>
      </c>
      <c r="R215" s="1">
        <v>25</v>
      </c>
      <c r="S215" s="1">
        <v>25</v>
      </c>
      <c r="T215" s="1">
        <v>21</v>
      </c>
      <c r="U215" s="1">
        <v>21</v>
      </c>
      <c r="V215" s="1">
        <v>18</v>
      </c>
      <c r="W215" s="1">
        <v>10</v>
      </c>
      <c r="X215" s="1">
        <v>15</v>
      </c>
      <c r="Y215" s="1">
        <v>5</v>
      </c>
    </row>
    <row r="216" spans="1:25" x14ac:dyDescent="0.3">
      <c r="A216" s="2">
        <v>42553</v>
      </c>
      <c r="B216" s="1">
        <v>4</v>
      </c>
      <c r="C216" s="1">
        <v>8</v>
      </c>
      <c r="D216" s="1">
        <v>3</v>
      </c>
      <c r="E216" s="1">
        <v>8</v>
      </c>
      <c r="F216" s="1">
        <v>5</v>
      </c>
      <c r="G216" s="1">
        <v>2</v>
      </c>
      <c r="H216" s="1">
        <v>4</v>
      </c>
      <c r="I216" s="1">
        <v>6</v>
      </c>
      <c r="J216" s="1">
        <v>10</v>
      </c>
      <c r="K216" s="1">
        <v>21</v>
      </c>
      <c r="L216" s="1">
        <v>11</v>
      </c>
      <c r="M216" s="1">
        <v>18</v>
      </c>
      <c r="N216" s="1">
        <v>23</v>
      </c>
      <c r="O216" s="1">
        <v>19</v>
      </c>
      <c r="P216" s="1">
        <v>20</v>
      </c>
      <c r="Q216" s="1">
        <v>24</v>
      </c>
      <c r="R216" s="1">
        <v>16</v>
      </c>
      <c r="S216" s="1">
        <v>20</v>
      </c>
      <c r="T216" s="1">
        <v>10</v>
      </c>
      <c r="U216" s="1">
        <v>19</v>
      </c>
      <c r="V216" s="1">
        <v>13</v>
      </c>
      <c r="W216" s="1">
        <v>18</v>
      </c>
      <c r="X216" s="1">
        <v>10</v>
      </c>
      <c r="Y216" s="1">
        <v>6</v>
      </c>
    </row>
    <row r="217" spans="1:25" x14ac:dyDescent="0.3">
      <c r="A217" s="2">
        <v>42554</v>
      </c>
      <c r="B217" s="1">
        <v>4</v>
      </c>
      <c r="C217" s="1">
        <v>3</v>
      </c>
      <c r="D217" s="1">
        <v>4</v>
      </c>
      <c r="E217" s="1">
        <v>6</v>
      </c>
      <c r="F217" s="1">
        <v>12</v>
      </c>
      <c r="G217" s="1">
        <v>3</v>
      </c>
      <c r="H217" s="1">
        <v>4</v>
      </c>
      <c r="I217" s="1">
        <v>16</v>
      </c>
      <c r="J217" s="1">
        <v>8</v>
      </c>
      <c r="K217" s="1">
        <v>21</v>
      </c>
      <c r="L217" s="1">
        <v>26</v>
      </c>
      <c r="M217" s="1">
        <v>9</v>
      </c>
      <c r="N217" s="1">
        <v>18</v>
      </c>
      <c r="O217" s="1">
        <v>16</v>
      </c>
      <c r="P217" s="1">
        <v>19</v>
      </c>
      <c r="Q217" s="1">
        <v>22</v>
      </c>
      <c r="R217" s="1">
        <v>13</v>
      </c>
      <c r="S217" s="1">
        <v>16</v>
      </c>
      <c r="T217" s="1">
        <v>13</v>
      </c>
      <c r="U217" s="1">
        <v>25</v>
      </c>
      <c r="V217" s="1">
        <v>13</v>
      </c>
      <c r="W217" s="1">
        <v>16</v>
      </c>
      <c r="X217" s="1">
        <v>13</v>
      </c>
      <c r="Y217" s="1">
        <v>10</v>
      </c>
    </row>
    <row r="218" spans="1:25" x14ac:dyDescent="0.3">
      <c r="A218" s="2">
        <v>42555</v>
      </c>
      <c r="B218" s="1">
        <v>6</v>
      </c>
      <c r="C218" s="1">
        <v>8</v>
      </c>
      <c r="D218" s="1">
        <v>6</v>
      </c>
      <c r="E218" s="1">
        <v>5</v>
      </c>
      <c r="F218" s="1">
        <v>1</v>
      </c>
      <c r="G218" s="1">
        <v>4</v>
      </c>
      <c r="H218" s="1">
        <v>5</v>
      </c>
      <c r="I218" s="1">
        <v>6</v>
      </c>
      <c r="J218" s="1">
        <v>14</v>
      </c>
      <c r="K218" s="1">
        <v>11</v>
      </c>
      <c r="L218" s="1">
        <v>10</v>
      </c>
      <c r="M218" s="1">
        <v>24</v>
      </c>
      <c r="N218" s="1">
        <v>17</v>
      </c>
      <c r="O218" s="1">
        <v>13</v>
      </c>
      <c r="P218" s="1">
        <v>20</v>
      </c>
      <c r="Q218" s="1">
        <v>15</v>
      </c>
      <c r="R218" s="1">
        <v>10</v>
      </c>
      <c r="S218" s="1">
        <v>19</v>
      </c>
      <c r="T218" s="1">
        <v>14</v>
      </c>
      <c r="U218" s="1">
        <v>12</v>
      </c>
      <c r="V218" s="1">
        <v>17</v>
      </c>
      <c r="W218" s="1">
        <v>20</v>
      </c>
      <c r="X218" s="1">
        <v>19</v>
      </c>
      <c r="Y218" s="1">
        <v>13</v>
      </c>
    </row>
    <row r="219" spans="1:25" x14ac:dyDescent="0.3">
      <c r="A219" s="2">
        <v>42556</v>
      </c>
      <c r="B219" s="1">
        <v>14</v>
      </c>
      <c r="C219" s="1">
        <v>11</v>
      </c>
      <c r="D219" s="1">
        <v>7</v>
      </c>
      <c r="E219" s="1">
        <v>0</v>
      </c>
      <c r="F219" s="1">
        <v>9</v>
      </c>
      <c r="G219" s="1">
        <v>6</v>
      </c>
      <c r="H219" s="1">
        <v>12</v>
      </c>
      <c r="I219" s="1">
        <v>20</v>
      </c>
      <c r="J219" s="1">
        <v>19</v>
      </c>
      <c r="K219" s="1">
        <v>9</v>
      </c>
      <c r="L219" s="1">
        <v>15</v>
      </c>
      <c r="M219" s="1">
        <v>24</v>
      </c>
      <c r="N219" s="1">
        <v>21</v>
      </c>
      <c r="O219" s="1">
        <v>12</v>
      </c>
      <c r="P219" s="1">
        <v>29</v>
      </c>
      <c r="Q219" s="1">
        <v>32</v>
      </c>
      <c r="R219" s="1">
        <v>22</v>
      </c>
      <c r="S219" s="1">
        <v>30</v>
      </c>
      <c r="T219" s="1">
        <v>18</v>
      </c>
      <c r="U219" s="1">
        <v>12</v>
      </c>
      <c r="V219" s="1">
        <v>10</v>
      </c>
      <c r="W219" s="1">
        <v>27</v>
      </c>
      <c r="X219" s="1">
        <v>13</v>
      </c>
      <c r="Y219" s="1">
        <v>11</v>
      </c>
    </row>
    <row r="220" spans="1:25" x14ac:dyDescent="0.3">
      <c r="A220" s="2">
        <v>42557</v>
      </c>
      <c r="B220" s="1">
        <v>4</v>
      </c>
      <c r="C220" s="1">
        <v>7</v>
      </c>
      <c r="D220" s="1">
        <v>3</v>
      </c>
      <c r="E220" s="1">
        <v>5</v>
      </c>
      <c r="F220" s="1">
        <v>4</v>
      </c>
      <c r="G220" s="1">
        <v>6</v>
      </c>
      <c r="H220" s="1">
        <v>23</v>
      </c>
      <c r="I220" s="1">
        <v>24</v>
      </c>
      <c r="J220" s="1">
        <v>13</v>
      </c>
      <c r="K220" s="1">
        <v>23</v>
      </c>
      <c r="L220" s="1">
        <v>23</v>
      </c>
      <c r="M220" s="1">
        <v>22</v>
      </c>
      <c r="N220" s="1">
        <v>27</v>
      </c>
      <c r="O220" s="1">
        <v>30</v>
      </c>
      <c r="P220" s="1">
        <v>25</v>
      </c>
      <c r="Q220" s="1">
        <v>21</v>
      </c>
      <c r="R220" s="1">
        <v>31</v>
      </c>
      <c r="S220" s="1">
        <v>31</v>
      </c>
      <c r="T220" s="1">
        <v>16</v>
      </c>
      <c r="U220" s="1">
        <v>21</v>
      </c>
      <c r="V220" s="1">
        <v>14</v>
      </c>
      <c r="W220" s="1">
        <v>6</v>
      </c>
      <c r="X220" s="1">
        <v>17</v>
      </c>
      <c r="Y220" s="1">
        <v>9</v>
      </c>
    </row>
    <row r="221" spans="1:25" x14ac:dyDescent="0.3">
      <c r="A221" s="2">
        <v>42558</v>
      </c>
      <c r="B221" s="1">
        <v>6</v>
      </c>
      <c r="C221" s="1">
        <v>6</v>
      </c>
      <c r="D221" s="1">
        <v>7</v>
      </c>
      <c r="E221" s="1">
        <v>6</v>
      </c>
      <c r="F221" s="1">
        <v>5</v>
      </c>
      <c r="G221" s="1">
        <v>8</v>
      </c>
      <c r="H221" s="1">
        <v>4</v>
      </c>
      <c r="I221" s="1">
        <v>13</v>
      </c>
      <c r="J221" s="1">
        <v>20</v>
      </c>
      <c r="K221" s="1">
        <v>26</v>
      </c>
      <c r="L221" s="1">
        <v>24</v>
      </c>
      <c r="M221" s="1">
        <v>10</v>
      </c>
      <c r="N221" s="1">
        <v>30</v>
      </c>
      <c r="O221" s="1">
        <v>24</v>
      </c>
      <c r="P221" s="1">
        <v>21</v>
      </c>
      <c r="Q221" s="1">
        <v>21</v>
      </c>
      <c r="R221" s="1">
        <v>33</v>
      </c>
      <c r="S221" s="1">
        <v>24</v>
      </c>
      <c r="T221" s="1">
        <v>15</v>
      </c>
      <c r="U221" s="1">
        <v>21</v>
      </c>
      <c r="V221" s="1">
        <v>8</v>
      </c>
      <c r="W221" s="1">
        <v>14</v>
      </c>
      <c r="X221" s="1">
        <v>14</v>
      </c>
      <c r="Y221" s="1">
        <v>12</v>
      </c>
    </row>
    <row r="222" spans="1:25" x14ac:dyDescent="0.3">
      <c r="A222" s="2">
        <v>42559</v>
      </c>
      <c r="B222" s="1">
        <v>6</v>
      </c>
      <c r="C222" s="1">
        <v>6</v>
      </c>
      <c r="D222" s="1">
        <v>4</v>
      </c>
      <c r="E222" s="1">
        <v>5</v>
      </c>
      <c r="F222" s="1">
        <v>4</v>
      </c>
      <c r="G222" s="1">
        <v>5</v>
      </c>
      <c r="H222" s="1">
        <v>19</v>
      </c>
      <c r="I222" s="1">
        <v>20</v>
      </c>
      <c r="J222" s="1">
        <v>17</v>
      </c>
      <c r="K222" s="1">
        <v>27</v>
      </c>
      <c r="L222" s="1">
        <v>24</v>
      </c>
      <c r="M222" s="1">
        <v>26</v>
      </c>
      <c r="N222" s="1">
        <v>38</v>
      </c>
      <c r="O222" s="1">
        <v>33</v>
      </c>
      <c r="P222" s="1">
        <v>31</v>
      </c>
      <c r="Q222" s="1">
        <v>29</v>
      </c>
      <c r="R222" s="1">
        <v>26</v>
      </c>
      <c r="S222" s="1">
        <v>24</v>
      </c>
      <c r="T222" s="1">
        <v>28</v>
      </c>
      <c r="U222" s="1">
        <v>18</v>
      </c>
      <c r="V222" s="1">
        <v>11</v>
      </c>
      <c r="W222" s="1">
        <v>11</v>
      </c>
      <c r="X222" s="1">
        <v>21</v>
      </c>
      <c r="Y222" s="1">
        <v>10</v>
      </c>
    </row>
    <row r="223" spans="1:25" x14ac:dyDescent="0.3">
      <c r="A223" s="2">
        <v>42560</v>
      </c>
      <c r="B223" s="1">
        <v>9</v>
      </c>
      <c r="C223" s="1">
        <v>5</v>
      </c>
      <c r="D223" s="1">
        <v>6</v>
      </c>
      <c r="E223" s="1">
        <v>3</v>
      </c>
      <c r="F223" s="1">
        <v>7</v>
      </c>
      <c r="G223" s="1">
        <v>3</v>
      </c>
      <c r="H223" s="1">
        <v>6</v>
      </c>
      <c r="I223" s="1">
        <v>8</v>
      </c>
      <c r="J223" s="1">
        <v>11</v>
      </c>
      <c r="K223" s="1">
        <v>14</v>
      </c>
      <c r="L223" s="1">
        <v>13</v>
      </c>
      <c r="M223" s="1">
        <v>16</v>
      </c>
      <c r="N223" s="1">
        <v>8</v>
      </c>
      <c r="O223" s="1">
        <v>13</v>
      </c>
      <c r="P223" s="1">
        <v>12</v>
      </c>
      <c r="Q223" s="1">
        <v>22</v>
      </c>
      <c r="R223" s="1">
        <v>17</v>
      </c>
      <c r="S223" s="1">
        <v>14</v>
      </c>
      <c r="T223" s="1">
        <v>9</v>
      </c>
      <c r="U223" s="1">
        <v>15</v>
      </c>
      <c r="V223" s="1">
        <v>22</v>
      </c>
      <c r="W223" s="1">
        <v>7</v>
      </c>
      <c r="X223" s="1">
        <v>23</v>
      </c>
      <c r="Y223" s="1">
        <v>15</v>
      </c>
    </row>
    <row r="224" spans="1:25" x14ac:dyDescent="0.3">
      <c r="A224" s="2">
        <v>42561</v>
      </c>
      <c r="B224" s="1">
        <v>8</v>
      </c>
      <c r="C224" s="1">
        <v>5</v>
      </c>
      <c r="D224" s="1">
        <v>7</v>
      </c>
      <c r="E224" s="1">
        <v>1</v>
      </c>
      <c r="F224" s="1">
        <v>2</v>
      </c>
      <c r="G224" s="1">
        <v>5</v>
      </c>
      <c r="H224" s="1">
        <v>5</v>
      </c>
      <c r="I224" s="1">
        <v>13</v>
      </c>
      <c r="J224" s="1">
        <v>12</v>
      </c>
      <c r="K224" s="1">
        <v>13</v>
      </c>
      <c r="L224" s="1">
        <v>11</v>
      </c>
      <c r="M224" s="1">
        <v>18</v>
      </c>
      <c r="N224" s="1">
        <v>21</v>
      </c>
      <c r="O224" s="1">
        <v>25</v>
      </c>
      <c r="P224" s="1">
        <v>15</v>
      </c>
      <c r="Q224" s="1">
        <v>23</v>
      </c>
      <c r="R224" s="1">
        <v>13</v>
      </c>
      <c r="S224" s="1">
        <v>19</v>
      </c>
      <c r="T224" s="1">
        <v>21</v>
      </c>
      <c r="U224" s="1">
        <v>31</v>
      </c>
      <c r="V224" s="1">
        <v>16</v>
      </c>
      <c r="W224" s="1">
        <v>16</v>
      </c>
      <c r="X224" s="1">
        <v>11</v>
      </c>
      <c r="Y224" s="1">
        <v>12</v>
      </c>
    </row>
    <row r="225" spans="1:25" x14ac:dyDescent="0.3">
      <c r="A225" s="2">
        <v>42562</v>
      </c>
      <c r="B225" s="1">
        <v>9</v>
      </c>
      <c r="C225" s="1">
        <v>7</v>
      </c>
      <c r="D225" s="1">
        <v>7</v>
      </c>
      <c r="E225" s="1">
        <v>8</v>
      </c>
      <c r="F225" s="1">
        <v>5</v>
      </c>
      <c r="G225" s="1">
        <v>4</v>
      </c>
      <c r="H225" s="1">
        <v>7</v>
      </c>
      <c r="I225" s="1">
        <v>19</v>
      </c>
      <c r="J225" s="1">
        <v>20</v>
      </c>
      <c r="K225" s="1">
        <v>16</v>
      </c>
      <c r="L225" s="1">
        <v>19</v>
      </c>
      <c r="M225" s="1">
        <v>24</v>
      </c>
      <c r="N225" s="1">
        <v>39</v>
      </c>
      <c r="O225" s="1">
        <v>28</v>
      </c>
      <c r="P225" s="1">
        <v>26</v>
      </c>
      <c r="Q225" s="1">
        <v>30</v>
      </c>
      <c r="R225" s="1">
        <v>23</v>
      </c>
      <c r="S225" s="1">
        <v>37</v>
      </c>
      <c r="T225" s="1">
        <v>17</v>
      </c>
      <c r="U225" s="1">
        <v>20</v>
      </c>
      <c r="V225" s="1">
        <v>19</v>
      </c>
      <c r="W225" s="1">
        <v>13</v>
      </c>
      <c r="X225" s="1">
        <v>16</v>
      </c>
      <c r="Y225" s="1">
        <v>4</v>
      </c>
    </row>
    <row r="226" spans="1:25" x14ac:dyDescent="0.3">
      <c r="A226" s="2">
        <v>42563</v>
      </c>
      <c r="B226" s="1">
        <v>5</v>
      </c>
      <c r="C226" s="1">
        <v>6</v>
      </c>
      <c r="D226" s="1">
        <v>8</v>
      </c>
      <c r="E226" s="1">
        <v>3</v>
      </c>
      <c r="F226" s="1">
        <v>10</v>
      </c>
      <c r="G226" s="1">
        <v>5</v>
      </c>
      <c r="H226" s="1">
        <v>9</v>
      </c>
      <c r="I226" s="1">
        <v>9</v>
      </c>
      <c r="J226" s="1">
        <v>20</v>
      </c>
      <c r="K226" s="1">
        <v>13</v>
      </c>
      <c r="L226" s="1">
        <v>27</v>
      </c>
      <c r="M226" s="1">
        <v>17</v>
      </c>
      <c r="N226" s="1">
        <v>27</v>
      </c>
      <c r="O226" s="1">
        <v>28</v>
      </c>
      <c r="P226" s="1">
        <v>26</v>
      </c>
      <c r="Q226" s="1">
        <v>27</v>
      </c>
      <c r="R226" s="1">
        <v>35</v>
      </c>
      <c r="S226" s="1">
        <v>30</v>
      </c>
      <c r="T226" s="1">
        <v>17</v>
      </c>
      <c r="U226" s="1">
        <v>21</v>
      </c>
      <c r="V226" s="1">
        <v>18</v>
      </c>
      <c r="W226" s="1">
        <v>15</v>
      </c>
      <c r="X226" s="1">
        <v>9</v>
      </c>
      <c r="Y226" s="1">
        <v>2</v>
      </c>
    </row>
    <row r="227" spans="1:25" x14ac:dyDescent="0.3">
      <c r="A227" s="2">
        <v>42564</v>
      </c>
      <c r="B227" s="1">
        <v>7</v>
      </c>
      <c r="C227" s="1">
        <v>11</v>
      </c>
      <c r="D227" s="1">
        <v>3</v>
      </c>
      <c r="E227" s="1">
        <v>6</v>
      </c>
      <c r="F227" s="1">
        <v>6</v>
      </c>
      <c r="G227" s="1">
        <v>7</v>
      </c>
      <c r="H227" s="1">
        <v>10</v>
      </c>
      <c r="I227" s="1">
        <v>11</v>
      </c>
      <c r="J227" s="1">
        <v>21</v>
      </c>
      <c r="K227" s="1">
        <v>17</v>
      </c>
      <c r="L227" s="1">
        <v>25</v>
      </c>
      <c r="M227" s="1">
        <v>28</v>
      </c>
      <c r="N227" s="1">
        <v>35</v>
      </c>
      <c r="O227" s="1">
        <v>36</v>
      </c>
      <c r="P227" s="1">
        <v>28</v>
      </c>
      <c r="Q227" s="1">
        <v>29</v>
      </c>
      <c r="R227" s="1">
        <v>40</v>
      </c>
      <c r="S227" s="1">
        <v>50</v>
      </c>
      <c r="T227" s="1">
        <v>29</v>
      </c>
      <c r="U227" s="1">
        <v>16</v>
      </c>
      <c r="V227" s="1">
        <v>26</v>
      </c>
      <c r="W227" s="1">
        <v>20</v>
      </c>
      <c r="X227" s="1">
        <v>12</v>
      </c>
      <c r="Y227" s="1">
        <v>6</v>
      </c>
    </row>
    <row r="228" spans="1:25" x14ac:dyDescent="0.3">
      <c r="A228" s="2">
        <v>42565</v>
      </c>
      <c r="B228" s="1">
        <v>5</v>
      </c>
      <c r="C228" s="1">
        <v>7</v>
      </c>
      <c r="D228" s="1">
        <v>3</v>
      </c>
      <c r="E228" s="1">
        <v>5</v>
      </c>
      <c r="F228" s="1">
        <v>7</v>
      </c>
      <c r="G228" s="1">
        <v>11</v>
      </c>
      <c r="H228" s="1">
        <v>8</v>
      </c>
      <c r="I228" s="1">
        <v>15</v>
      </c>
      <c r="J228" s="1">
        <v>25</v>
      </c>
      <c r="K228" s="1">
        <v>25</v>
      </c>
      <c r="L228" s="1">
        <v>23</v>
      </c>
      <c r="M228" s="1">
        <v>34</v>
      </c>
      <c r="N228" s="1">
        <v>13</v>
      </c>
      <c r="O228" s="1">
        <v>36</v>
      </c>
      <c r="P228" s="1">
        <v>27</v>
      </c>
      <c r="Q228" s="1">
        <v>24</v>
      </c>
      <c r="R228" s="1">
        <v>33</v>
      </c>
      <c r="S228" s="1">
        <v>36</v>
      </c>
      <c r="T228" s="1">
        <v>25</v>
      </c>
      <c r="U228" s="1">
        <v>24</v>
      </c>
      <c r="V228" s="1">
        <v>23</v>
      </c>
      <c r="W228" s="1">
        <v>9</v>
      </c>
      <c r="X228" s="1">
        <v>13</v>
      </c>
      <c r="Y228" s="1">
        <v>4</v>
      </c>
    </row>
    <row r="229" spans="1:25" x14ac:dyDescent="0.3">
      <c r="A229" s="2">
        <v>42566</v>
      </c>
      <c r="B229" s="1">
        <v>13</v>
      </c>
      <c r="C229" s="1">
        <v>4</v>
      </c>
      <c r="D229" s="1">
        <v>7</v>
      </c>
      <c r="E229" s="1">
        <v>2</v>
      </c>
      <c r="F229" s="1">
        <v>5</v>
      </c>
      <c r="G229" s="1">
        <v>2</v>
      </c>
      <c r="H229" s="1">
        <v>19</v>
      </c>
      <c r="I229" s="1">
        <v>18</v>
      </c>
      <c r="J229" s="1">
        <v>22</v>
      </c>
      <c r="K229" s="1">
        <v>14</v>
      </c>
      <c r="L229" s="1">
        <v>21</v>
      </c>
      <c r="M229" s="1">
        <v>18</v>
      </c>
      <c r="N229" s="1">
        <v>20</v>
      </c>
      <c r="O229" s="1">
        <v>18</v>
      </c>
      <c r="P229" s="1">
        <v>27</v>
      </c>
      <c r="Q229" s="1">
        <v>17</v>
      </c>
      <c r="R229" s="1">
        <v>28</v>
      </c>
      <c r="S229" s="1">
        <v>25</v>
      </c>
      <c r="T229" s="1">
        <v>26</v>
      </c>
      <c r="U229" s="1">
        <v>25</v>
      </c>
      <c r="V229" s="1">
        <v>24</v>
      </c>
      <c r="W229" s="1">
        <v>20</v>
      </c>
      <c r="X229" s="1">
        <v>9</v>
      </c>
      <c r="Y229" s="1">
        <v>9</v>
      </c>
    </row>
    <row r="230" spans="1:25" x14ac:dyDescent="0.3">
      <c r="A230" s="2">
        <v>42567</v>
      </c>
      <c r="B230" s="1">
        <v>10</v>
      </c>
      <c r="C230" s="1">
        <v>6</v>
      </c>
      <c r="D230" s="1">
        <v>13</v>
      </c>
      <c r="E230" s="1">
        <v>6</v>
      </c>
      <c r="F230" s="1">
        <v>6</v>
      </c>
      <c r="G230" s="1">
        <v>10</v>
      </c>
      <c r="H230" s="1">
        <v>6</v>
      </c>
      <c r="I230" s="1">
        <v>9</v>
      </c>
      <c r="J230" s="1">
        <v>24</v>
      </c>
      <c r="K230" s="1">
        <v>14</v>
      </c>
      <c r="L230" s="1">
        <v>16</v>
      </c>
      <c r="M230" s="1">
        <v>19</v>
      </c>
      <c r="N230" s="1">
        <v>20</v>
      </c>
      <c r="O230" s="1">
        <v>16</v>
      </c>
      <c r="P230" s="1">
        <v>14</v>
      </c>
      <c r="Q230" s="1">
        <v>26</v>
      </c>
      <c r="R230" s="1">
        <v>20</v>
      </c>
      <c r="S230" s="1">
        <v>21</v>
      </c>
      <c r="T230" s="1">
        <v>23</v>
      </c>
      <c r="U230" s="1">
        <v>14</v>
      </c>
      <c r="V230" s="1">
        <v>14</v>
      </c>
      <c r="W230" s="1">
        <v>19</v>
      </c>
      <c r="X230" s="1">
        <v>10</v>
      </c>
      <c r="Y230" s="1">
        <v>6</v>
      </c>
    </row>
    <row r="231" spans="1:25" x14ac:dyDescent="0.3">
      <c r="A231" s="2">
        <v>42568</v>
      </c>
      <c r="B231" s="1">
        <v>12</v>
      </c>
      <c r="C231" s="1">
        <v>15</v>
      </c>
      <c r="D231" s="1">
        <v>4</v>
      </c>
      <c r="E231" s="1">
        <v>13</v>
      </c>
      <c r="F231" s="1">
        <v>6</v>
      </c>
      <c r="G231" s="1">
        <v>3</v>
      </c>
      <c r="H231" s="1">
        <v>10</v>
      </c>
      <c r="I231" s="1">
        <v>9</v>
      </c>
      <c r="J231" s="1">
        <v>7</v>
      </c>
      <c r="K231" s="1">
        <v>12</v>
      </c>
      <c r="L231" s="1">
        <v>14</v>
      </c>
      <c r="M231" s="1">
        <v>10</v>
      </c>
      <c r="N231" s="1">
        <v>19</v>
      </c>
      <c r="O231" s="1">
        <v>14</v>
      </c>
      <c r="P231" s="1">
        <v>17</v>
      </c>
      <c r="Q231" s="1">
        <v>16</v>
      </c>
      <c r="R231" s="1">
        <v>16</v>
      </c>
      <c r="S231" s="1">
        <v>18</v>
      </c>
      <c r="T231" s="1">
        <v>28</v>
      </c>
      <c r="U231" s="1">
        <v>24</v>
      </c>
      <c r="V231" s="1">
        <v>19</v>
      </c>
      <c r="W231" s="1">
        <v>18</v>
      </c>
      <c r="X231" s="1">
        <v>11</v>
      </c>
      <c r="Y231" s="1">
        <v>15</v>
      </c>
    </row>
    <row r="232" spans="1:25" x14ac:dyDescent="0.3">
      <c r="A232" s="2">
        <v>42569</v>
      </c>
      <c r="B232" s="1">
        <v>2</v>
      </c>
      <c r="C232" s="1">
        <v>7</v>
      </c>
      <c r="D232" s="1">
        <v>2</v>
      </c>
      <c r="E232" s="1">
        <v>2</v>
      </c>
      <c r="F232" s="1">
        <v>1</v>
      </c>
      <c r="G232" s="1">
        <v>6</v>
      </c>
      <c r="H232" s="1">
        <v>4</v>
      </c>
      <c r="I232" s="1">
        <v>9</v>
      </c>
      <c r="J232" s="1">
        <v>22</v>
      </c>
      <c r="K232" s="1">
        <v>40</v>
      </c>
      <c r="L232" s="1">
        <v>18</v>
      </c>
      <c r="M232" s="1">
        <v>26</v>
      </c>
      <c r="N232" s="1">
        <v>26</v>
      </c>
      <c r="O232" s="1">
        <v>21</v>
      </c>
      <c r="P232" s="1">
        <v>33</v>
      </c>
      <c r="Q232" s="1">
        <v>32</v>
      </c>
      <c r="R232" s="1">
        <v>37</v>
      </c>
      <c r="S232" s="1">
        <v>13</v>
      </c>
      <c r="T232" s="1">
        <v>26</v>
      </c>
      <c r="U232" s="1">
        <v>20</v>
      </c>
      <c r="V232" s="1">
        <v>19</v>
      </c>
      <c r="W232" s="1">
        <v>13</v>
      </c>
      <c r="X232" s="1">
        <v>19</v>
      </c>
      <c r="Y232" s="1">
        <v>6</v>
      </c>
    </row>
    <row r="233" spans="1:25" x14ac:dyDescent="0.3">
      <c r="A233" s="2">
        <v>42570</v>
      </c>
      <c r="B233" s="1">
        <v>9</v>
      </c>
      <c r="C233" s="1">
        <v>9</v>
      </c>
      <c r="D233" s="1">
        <v>8</v>
      </c>
      <c r="E233" s="1">
        <v>6</v>
      </c>
      <c r="F233" s="1">
        <v>1</v>
      </c>
      <c r="G233" s="1">
        <v>6</v>
      </c>
      <c r="H233" s="1">
        <v>14</v>
      </c>
      <c r="I233" s="1">
        <v>17</v>
      </c>
      <c r="J233" s="1">
        <v>20</v>
      </c>
      <c r="K233" s="1">
        <v>27</v>
      </c>
      <c r="L233" s="1">
        <v>25</v>
      </c>
      <c r="M233" s="1">
        <v>24</v>
      </c>
      <c r="N233" s="1">
        <v>21</v>
      </c>
      <c r="O233" s="1">
        <v>25</v>
      </c>
      <c r="P233" s="1">
        <v>35</v>
      </c>
      <c r="Q233" s="1">
        <v>19</v>
      </c>
      <c r="R233" s="1">
        <v>26</v>
      </c>
      <c r="S233" s="1">
        <v>36</v>
      </c>
      <c r="T233" s="1">
        <v>24</v>
      </c>
      <c r="U233" s="1">
        <v>25</v>
      </c>
      <c r="V233" s="1">
        <v>27</v>
      </c>
      <c r="W233" s="1">
        <v>17</v>
      </c>
      <c r="X233" s="1">
        <v>12</v>
      </c>
      <c r="Y233" s="1">
        <v>7</v>
      </c>
    </row>
    <row r="234" spans="1:25" x14ac:dyDescent="0.3">
      <c r="A234" s="2">
        <v>42571</v>
      </c>
      <c r="B234" s="1">
        <v>6</v>
      </c>
      <c r="C234" s="1">
        <v>6</v>
      </c>
      <c r="D234" s="1">
        <v>8</v>
      </c>
      <c r="E234" s="1">
        <v>7</v>
      </c>
      <c r="F234" s="1">
        <v>3</v>
      </c>
      <c r="G234" s="1">
        <v>6</v>
      </c>
      <c r="H234" s="1">
        <v>15</v>
      </c>
      <c r="I234" s="1">
        <v>21</v>
      </c>
      <c r="J234" s="1">
        <v>16</v>
      </c>
      <c r="K234" s="1">
        <v>24</v>
      </c>
      <c r="L234" s="1">
        <v>15</v>
      </c>
      <c r="M234" s="1">
        <v>35</v>
      </c>
      <c r="N234" s="1">
        <v>16</v>
      </c>
      <c r="O234" s="1">
        <v>28</v>
      </c>
      <c r="P234" s="1">
        <v>22</v>
      </c>
      <c r="Q234" s="1">
        <v>32</v>
      </c>
      <c r="R234" s="1">
        <v>20</v>
      </c>
      <c r="S234" s="1">
        <v>19</v>
      </c>
      <c r="T234" s="1">
        <v>23</v>
      </c>
      <c r="U234" s="1">
        <v>20</v>
      </c>
      <c r="V234" s="1">
        <v>18</v>
      </c>
      <c r="W234" s="1">
        <v>20</v>
      </c>
      <c r="X234" s="1">
        <v>13</v>
      </c>
      <c r="Y234" s="1">
        <v>12</v>
      </c>
    </row>
    <row r="235" spans="1:25" x14ac:dyDescent="0.3">
      <c r="A235" s="2">
        <v>42572</v>
      </c>
      <c r="B235" s="1">
        <v>4</v>
      </c>
      <c r="C235" s="1">
        <v>9</v>
      </c>
      <c r="D235" s="1">
        <v>7</v>
      </c>
      <c r="E235" s="1">
        <v>3</v>
      </c>
      <c r="F235" s="1">
        <v>3</v>
      </c>
      <c r="G235" s="1">
        <v>4</v>
      </c>
      <c r="H235" s="1">
        <v>7</v>
      </c>
      <c r="I235" s="1">
        <v>16</v>
      </c>
      <c r="J235" s="1">
        <v>19</v>
      </c>
      <c r="K235" s="1">
        <v>16</v>
      </c>
      <c r="L235" s="1">
        <v>25</v>
      </c>
      <c r="M235" s="1">
        <v>30</v>
      </c>
      <c r="N235" s="1">
        <v>27</v>
      </c>
      <c r="O235" s="1">
        <v>20</v>
      </c>
      <c r="P235" s="1">
        <v>25</v>
      </c>
      <c r="Q235" s="1">
        <v>26</v>
      </c>
      <c r="R235" s="1">
        <v>38</v>
      </c>
      <c r="S235" s="1">
        <v>33</v>
      </c>
      <c r="T235" s="1">
        <v>21</v>
      </c>
      <c r="U235" s="1">
        <v>12</v>
      </c>
      <c r="V235" s="1">
        <v>19</v>
      </c>
      <c r="W235" s="1">
        <v>16</v>
      </c>
      <c r="X235" s="1">
        <v>7</v>
      </c>
      <c r="Y235" s="1">
        <v>7</v>
      </c>
    </row>
    <row r="236" spans="1:25" x14ac:dyDescent="0.3">
      <c r="A236" s="2">
        <v>42573</v>
      </c>
      <c r="B236" s="1">
        <v>9</v>
      </c>
      <c r="C236" s="1">
        <v>9</v>
      </c>
      <c r="D236" s="1">
        <v>5</v>
      </c>
      <c r="E236" s="1">
        <v>6</v>
      </c>
      <c r="F236" s="1">
        <v>4</v>
      </c>
      <c r="G236" s="1">
        <v>7</v>
      </c>
      <c r="H236" s="1">
        <v>13</v>
      </c>
      <c r="I236" s="1">
        <v>11</v>
      </c>
      <c r="J236" s="1">
        <v>13</v>
      </c>
      <c r="K236" s="1">
        <v>16</v>
      </c>
      <c r="L236" s="1">
        <v>14</v>
      </c>
      <c r="M236" s="1">
        <v>16</v>
      </c>
      <c r="N236" s="1">
        <v>19</v>
      </c>
      <c r="O236" s="1">
        <v>27</v>
      </c>
      <c r="P236" s="1">
        <v>27</v>
      </c>
      <c r="Q236" s="1">
        <v>26</v>
      </c>
      <c r="R236" s="1">
        <v>32</v>
      </c>
      <c r="S236" s="1">
        <v>23</v>
      </c>
      <c r="T236" s="1">
        <v>19</v>
      </c>
      <c r="U236" s="1">
        <v>15</v>
      </c>
      <c r="V236" s="1">
        <v>19</v>
      </c>
      <c r="W236" s="1">
        <v>15</v>
      </c>
      <c r="X236" s="1">
        <v>11</v>
      </c>
      <c r="Y236" s="1">
        <v>10</v>
      </c>
    </row>
    <row r="237" spans="1:25" x14ac:dyDescent="0.3">
      <c r="A237" s="2">
        <v>42574</v>
      </c>
      <c r="B237" s="1">
        <v>10</v>
      </c>
      <c r="C237" s="1">
        <v>6</v>
      </c>
      <c r="D237" s="1">
        <v>8</v>
      </c>
      <c r="E237" s="1">
        <v>4</v>
      </c>
      <c r="F237" s="1">
        <v>6</v>
      </c>
      <c r="G237" s="1">
        <v>7</v>
      </c>
      <c r="H237" s="1">
        <v>3</v>
      </c>
      <c r="I237" s="1">
        <v>7</v>
      </c>
      <c r="J237" s="1">
        <v>13</v>
      </c>
      <c r="K237" s="1">
        <v>30</v>
      </c>
      <c r="L237" s="1">
        <v>17</v>
      </c>
      <c r="M237" s="1">
        <v>17</v>
      </c>
      <c r="N237" s="1">
        <v>25</v>
      </c>
      <c r="O237" s="1">
        <v>17</v>
      </c>
      <c r="P237" s="1">
        <v>20</v>
      </c>
      <c r="Q237" s="1">
        <v>33</v>
      </c>
      <c r="R237" s="1">
        <v>37</v>
      </c>
      <c r="S237" s="1">
        <v>49</v>
      </c>
      <c r="T237" s="1">
        <v>30</v>
      </c>
      <c r="U237" s="1">
        <v>25</v>
      </c>
      <c r="V237" s="1">
        <v>18</v>
      </c>
      <c r="W237" s="1">
        <v>17</v>
      </c>
      <c r="X237" s="1">
        <v>9</v>
      </c>
      <c r="Y237" s="1">
        <v>13</v>
      </c>
    </row>
    <row r="238" spans="1:25" x14ac:dyDescent="0.3">
      <c r="A238" s="2">
        <v>42575</v>
      </c>
      <c r="B238" s="1">
        <v>11</v>
      </c>
      <c r="C238" s="1">
        <v>10</v>
      </c>
      <c r="D238" s="1">
        <v>4</v>
      </c>
      <c r="E238" s="1">
        <v>8</v>
      </c>
      <c r="F238" s="1">
        <v>9</v>
      </c>
      <c r="G238" s="1">
        <v>14</v>
      </c>
      <c r="H238" s="1">
        <v>6</v>
      </c>
      <c r="I238" s="1">
        <v>9</v>
      </c>
      <c r="J238" s="1">
        <v>17</v>
      </c>
      <c r="K238" s="1">
        <v>10</v>
      </c>
      <c r="L238" s="1">
        <v>10</v>
      </c>
      <c r="M238" s="1">
        <v>26</v>
      </c>
      <c r="N238" s="1">
        <v>22</v>
      </c>
      <c r="O238" s="1">
        <v>21</v>
      </c>
      <c r="P238" s="1">
        <v>13</v>
      </c>
      <c r="Q238" s="1">
        <v>14</v>
      </c>
      <c r="R238" s="1">
        <v>17</v>
      </c>
      <c r="S238" s="1">
        <v>17</v>
      </c>
      <c r="T238" s="1">
        <v>16</v>
      </c>
      <c r="U238" s="1">
        <v>19</v>
      </c>
      <c r="V238" s="1">
        <v>9</v>
      </c>
      <c r="W238" s="1">
        <v>13</v>
      </c>
      <c r="X238" s="1">
        <v>19</v>
      </c>
      <c r="Y238" s="1">
        <v>14</v>
      </c>
    </row>
    <row r="239" spans="1:25" x14ac:dyDescent="0.3">
      <c r="A239" s="2">
        <v>42576</v>
      </c>
      <c r="B239" s="1">
        <v>10</v>
      </c>
      <c r="C239" s="1">
        <v>7</v>
      </c>
      <c r="D239" s="1">
        <v>4</v>
      </c>
      <c r="E239" s="1">
        <v>6</v>
      </c>
      <c r="F239" s="1">
        <v>13</v>
      </c>
      <c r="G239" s="1">
        <v>15</v>
      </c>
      <c r="H239" s="1">
        <v>5</v>
      </c>
      <c r="I239" s="1">
        <v>19</v>
      </c>
      <c r="J239" s="1">
        <v>33</v>
      </c>
      <c r="K239" s="1">
        <v>37</v>
      </c>
      <c r="L239" s="1">
        <v>31</v>
      </c>
      <c r="M239" s="1">
        <v>13</v>
      </c>
      <c r="N239" s="1">
        <v>33</v>
      </c>
      <c r="O239" s="1">
        <v>20</v>
      </c>
      <c r="P239" s="1">
        <v>26</v>
      </c>
      <c r="Q239" s="1">
        <v>21</v>
      </c>
      <c r="R239" s="1">
        <v>29</v>
      </c>
      <c r="S239" s="1">
        <v>31</v>
      </c>
      <c r="T239" s="1">
        <v>74</v>
      </c>
      <c r="U239" s="1">
        <v>64</v>
      </c>
      <c r="V239" s="1">
        <v>43</v>
      </c>
      <c r="W239" s="1">
        <v>20</v>
      </c>
      <c r="X239" s="1">
        <v>16</v>
      </c>
      <c r="Y239" s="1">
        <v>5</v>
      </c>
    </row>
    <row r="240" spans="1:25" x14ac:dyDescent="0.3">
      <c r="A240" s="2">
        <v>42577</v>
      </c>
      <c r="B240" s="1">
        <v>3</v>
      </c>
      <c r="C240" s="1">
        <v>3</v>
      </c>
      <c r="D240" s="1">
        <v>4</v>
      </c>
      <c r="E240" s="1">
        <v>11</v>
      </c>
      <c r="F240" s="1">
        <v>6</v>
      </c>
      <c r="G240" s="1">
        <v>9</v>
      </c>
      <c r="H240" s="1">
        <v>11</v>
      </c>
      <c r="I240" s="1">
        <v>20</v>
      </c>
      <c r="J240" s="1">
        <v>29</v>
      </c>
      <c r="K240" s="1">
        <v>29</v>
      </c>
      <c r="L240" s="1">
        <v>29</v>
      </c>
      <c r="M240" s="1">
        <v>20</v>
      </c>
      <c r="N240" s="1">
        <v>22</v>
      </c>
      <c r="O240" s="1">
        <v>26</v>
      </c>
      <c r="P240" s="1">
        <v>23</v>
      </c>
      <c r="Q240" s="1">
        <v>28</v>
      </c>
      <c r="R240" s="1">
        <v>33</v>
      </c>
      <c r="S240" s="1">
        <v>30</v>
      </c>
      <c r="T240" s="1">
        <v>21</v>
      </c>
      <c r="U240" s="1">
        <v>30</v>
      </c>
      <c r="V240" s="1">
        <v>15</v>
      </c>
      <c r="W240" s="1">
        <v>24</v>
      </c>
      <c r="X240" s="1">
        <v>11</v>
      </c>
      <c r="Y240" s="1">
        <v>3</v>
      </c>
    </row>
    <row r="241" spans="1:25" x14ac:dyDescent="0.3">
      <c r="A241" s="2">
        <v>42578</v>
      </c>
      <c r="B241" s="1">
        <v>8</v>
      </c>
      <c r="C241" s="1">
        <v>5</v>
      </c>
      <c r="D241" s="1">
        <v>7</v>
      </c>
      <c r="E241" s="1">
        <v>15</v>
      </c>
      <c r="F241" s="1">
        <v>3</v>
      </c>
      <c r="G241" s="1">
        <v>2</v>
      </c>
      <c r="H241" s="1">
        <v>6</v>
      </c>
      <c r="I241" s="1">
        <v>20</v>
      </c>
      <c r="J241" s="1">
        <v>19</v>
      </c>
      <c r="K241" s="1">
        <v>35</v>
      </c>
      <c r="L241" s="1">
        <v>24</v>
      </c>
      <c r="M241" s="1">
        <v>21</v>
      </c>
      <c r="N241" s="1">
        <v>12</v>
      </c>
      <c r="O241" s="1">
        <v>31</v>
      </c>
      <c r="P241" s="1">
        <v>30</v>
      </c>
      <c r="Q241" s="1">
        <v>21</v>
      </c>
      <c r="R241" s="1">
        <v>33</v>
      </c>
      <c r="S241" s="1">
        <v>31</v>
      </c>
      <c r="T241" s="1">
        <v>25</v>
      </c>
      <c r="U241" s="1">
        <v>18</v>
      </c>
      <c r="V241" s="1">
        <v>16</v>
      </c>
      <c r="W241" s="1">
        <v>18</v>
      </c>
      <c r="X241" s="1">
        <v>11</v>
      </c>
      <c r="Y241" s="1">
        <v>11</v>
      </c>
    </row>
    <row r="242" spans="1:25" x14ac:dyDescent="0.3">
      <c r="A242" s="2">
        <v>42579</v>
      </c>
      <c r="B242" s="1">
        <v>8</v>
      </c>
      <c r="C242" s="1">
        <v>5</v>
      </c>
      <c r="D242" s="1">
        <v>7</v>
      </c>
      <c r="E242" s="1">
        <v>7</v>
      </c>
      <c r="F242" s="1">
        <v>7</v>
      </c>
      <c r="G242" s="1">
        <v>9</v>
      </c>
      <c r="H242" s="1">
        <v>11</v>
      </c>
      <c r="I242" s="1">
        <v>15</v>
      </c>
      <c r="J242" s="1">
        <v>22</v>
      </c>
      <c r="K242" s="1">
        <v>23</v>
      </c>
      <c r="L242" s="1">
        <v>24</v>
      </c>
      <c r="M242" s="1">
        <v>21</v>
      </c>
      <c r="N242" s="1">
        <v>29</v>
      </c>
      <c r="O242" s="1">
        <v>46</v>
      </c>
      <c r="P242" s="1">
        <v>23</v>
      </c>
      <c r="Q242" s="1">
        <v>35</v>
      </c>
      <c r="R242" s="1">
        <v>25</v>
      </c>
      <c r="S242" s="1">
        <v>32</v>
      </c>
      <c r="T242" s="1">
        <v>35</v>
      </c>
      <c r="U242" s="1">
        <v>11</v>
      </c>
      <c r="V242" s="1">
        <v>16</v>
      </c>
      <c r="W242" s="1">
        <v>11</v>
      </c>
      <c r="X242" s="1">
        <v>8</v>
      </c>
      <c r="Y242" s="1">
        <v>11</v>
      </c>
    </row>
    <row r="243" spans="1:25" x14ac:dyDescent="0.3">
      <c r="A243" s="2">
        <v>42580</v>
      </c>
      <c r="B243" s="1">
        <v>6</v>
      </c>
      <c r="C243" s="1">
        <v>8</v>
      </c>
      <c r="D243" s="1">
        <v>4</v>
      </c>
      <c r="E243" s="1">
        <v>4</v>
      </c>
      <c r="F243" s="1">
        <v>8</v>
      </c>
      <c r="G243" s="1">
        <v>7</v>
      </c>
      <c r="H243" s="1">
        <v>11</v>
      </c>
      <c r="I243" s="1">
        <v>19</v>
      </c>
      <c r="J243" s="1">
        <v>27</v>
      </c>
      <c r="K243" s="1">
        <v>31</v>
      </c>
      <c r="L243" s="1">
        <v>30</v>
      </c>
      <c r="M243" s="1">
        <v>22</v>
      </c>
      <c r="N243" s="1">
        <v>28</v>
      </c>
      <c r="O243" s="1">
        <v>26</v>
      </c>
      <c r="P243" s="1">
        <v>35</v>
      </c>
      <c r="Q243" s="1">
        <v>29</v>
      </c>
      <c r="R243" s="1">
        <v>26</v>
      </c>
      <c r="S243" s="1">
        <v>18</v>
      </c>
      <c r="T243" s="1">
        <v>10</v>
      </c>
      <c r="U243" s="1">
        <v>21</v>
      </c>
      <c r="V243" s="1">
        <v>18</v>
      </c>
      <c r="W243" s="1">
        <v>18</v>
      </c>
      <c r="X243" s="1">
        <v>12</v>
      </c>
      <c r="Y243" s="1">
        <v>11</v>
      </c>
    </row>
    <row r="244" spans="1:25" x14ac:dyDescent="0.3">
      <c r="A244" s="2">
        <v>42581</v>
      </c>
      <c r="B244" s="1">
        <v>10</v>
      </c>
      <c r="C244" s="1">
        <v>7</v>
      </c>
      <c r="D244" s="1">
        <v>4</v>
      </c>
      <c r="E244" s="1">
        <v>4</v>
      </c>
      <c r="F244" s="1">
        <v>5</v>
      </c>
      <c r="G244" s="1">
        <v>4</v>
      </c>
      <c r="H244" s="1">
        <v>2</v>
      </c>
      <c r="I244" s="1">
        <v>7</v>
      </c>
      <c r="J244" s="1">
        <v>16</v>
      </c>
      <c r="K244" s="1">
        <v>9</v>
      </c>
      <c r="L244" s="1">
        <v>19</v>
      </c>
      <c r="M244" s="1">
        <v>14</v>
      </c>
      <c r="N244" s="1">
        <v>28</v>
      </c>
      <c r="O244" s="1">
        <v>30</v>
      </c>
      <c r="P244" s="1">
        <v>35</v>
      </c>
      <c r="Q244" s="1">
        <v>15</v>
      </c>
      <c r="R244" s="1">
        <v>20</v>
      </c>
      <c r="S244" s="1">
        <v>26</v>
      </c>
      <c r="T244" s="1">
        <v>17</v>
      </c>
      <c r="U244" s="1">
        <v>20</v>
      </c>
      <c r="V244" s="1">
        <v>17</v>
      </c>
      <c r="W244" s="1">
        <v>12</v>
      </c>
      <c r="X244" s="1">
        <v>19</v>
      </c>
      <c r="Y244" s="1">
        <v>12</v>
      </c>
    </row>
    <row r="245" spans="1:25" x14ac:dyDescent="0.3">
      <c r="A245" s="2">
        <v>42582</v>
      </c>
      <c r="B245" s="1">
        <v>9</v>
      </c>
      <c r="C245" s="1">
        <v>12</v>
      </c>
      <c r="D245" s="1">
        <v>8</v>
      </c>
      <c r="E245" s="1">
        <v>11</v>
      </c>
      <c r="F245" s="1">
        <v>12</v>
      </c>
      <c r="G245" s="1">
        <v>15</v>
      </c>
      <c r="H245" s="1">
        <v>15</v>
      </c>
      <c r="I245" s="1">
        <v>24</v>
      </c>
      <c r="J245" s="1">
        <v>12</v>
      </c>
      <c r="K245" s="1">
        <v>15</v>
      </c>
      <c r="L245" s="1">
        <v>23</v>
      </c>
      <c r="M245" s="1">
        <v>17</v>
      </c>
      <c r="N245" s="1">
        <v>23</v>
      </c>
      <c r="O245" s="1">
        <v>20</v>
      </c>
      <c r="P245" s="1">
        <v>31</v>
      </c>
      <c r="Q245" s="1">
        <v>19</v>
      </c>
      <c r="R245" s="1">
        <v>16</v>
      </c>
      <c r="S245" s="1">
        <v>22</v>
      </c>
      <c r="T245" s="1">
        <v>11</v>
      </c>
      <c r="U245" s="1">
        <v>14</v>
      </c>
      <c r="V245" s="1">
        <v>15</v>
      </c>
      <c r="W245" s="1">
        <v>13</v>
      </c>
      <c r="X245" s="1">
        <v>11</v>
      </c>
      <c r="Y245" s="1">
        <v>8</v>
      </c>
    </row>
    <row r="246" spans="1:25" x14ac:dyDescent="0.3">
      <c r="A246" s="2">
        <v>42583</v>
      </c>
      <c r="B246" s="1">
        <v>6</v>
      </c>
      <c r="C246" s="1">
        <v>1</v>
      </c>
      <c r="D246" s="1">
        <v>6</v>
      </c>
      <c r="E246" s="1">
        <v>4</v>
      </c>
      <c r="F246" s="1">
        <v>9</v>
      </c>
      <c r="G246" s="1">
        <v>11</v>
      </c>
      <c r="H246" s="1">
        <v>14</v>
      </c>
      <c r="I246" s="1">
        <v>24</v>
      </c>
      <c r="J246" s="1">
        <v>25</v>
      </c>
      <c r="K246" s="1">
        <v>17</v>
      </c>
      <c r="L246" s="1">
        <v>29</v>
      </c>
      <c r="M246" s="1">
        <v>21</v>
      </c>
      <c r="N246" s="1">
        <v>19</v>
      </c>
      <c r="O246" s="1">
        <v>18</v>
      </c>
      <c r="P246" s="1">
        <v>27</v>
      </c>
      <c r="Q246" s="1">
        <v>34</v>
      </c>
      <c r="R246" s="1">
        <v>22</v>
      </c>
      <c r="S246" s="1">
        <v>36</v>
      </c>
      <c r="T246" s="1">
        <v>13</v>
      </c>
      <c r="U246" s="1">
        <v>12</v>
      </c>
      <c r="V246" s="1">
        <v>11</v>
      </c>
      <c r="W246" s="1">
        <v>9</v>
      </c>
      <c r="X246" s="1">
        <v>10</v>
      </c>
      <c r="Y246" s="1">
        <v>9</v>
      </c>
    </row>
    <row r="247" spans="1:25" x14ac:dyDescent="0.3">
      <c r="A247" s="2">
        <v>42584</v>
      </c>
      <c r="B247" s="1">
        <v>14</v>
      </c>
      <c r="C247" s="1">
        <v>9</v>
      </c>
      <c r="D247" s="1">
        <v>12</v>
      </c>
      <c r="E247" s="1">
        <v>5</v>
      </c>
      <c r="F247" s="1">
        <v>2</v>
      </c>
      <c r="G247" s="1">
        <v>9</v>
      </c>
      <c r="H247" s="1">
        <v>13</v>
      </c>
      <c r="I247" s="1">
        <v>17</v>
      </c>
      <c r="J247" s="1">
        <v>20</v>
      </c>
      <c r="K247" s="1">
        <v>22</v>
      </c>
      <c r="L247" s="1">
        <v>23</v>
      </c>
      <c r="M247" s="1">
        <v>22</v>
      </c>
      <c r="N247" s="1">
        <v>15</v>
      </c>
      <c r="O247" s="1">
        <v>20</v>
      </c>
      <c r="P247" s="1">
        <v>28</v>
      </c>
      <c r="Q247" s="1">
        <v>23</v>
      </c>
      <c r="R247" s="1">
        <v>28</v>
      </c>
      <c r="S247" s="1">
        <v>26</v>
      </c>
      <c r="T247" s="1">
        <v>21</v>
      </c>
      <c r="U247" s="1">
        <v>18</v>
      </c>
      <c r="V247" s="1">
        <v>22</v>
      </c>
      <c r="W247" s="1">
        <v>18</v>
      </c>
      <c r="X247" s="1">
        <v>11</v>
      </c>
      <c r="Y247" s="1">
        <v>4</v>
      </c>
    </row>
    <row r="248" spans="1:25" x14ac:dyDescent="0.3">
      <c r="A248" s="2">
        <v>42585</v>
      </c>
      <c r="B248" s="1">
        <v>7</v>
      </c>
      <c r="C248" s="1">
        <v>11</v>
      </c>
      <c r="D248" s="1">
        <v>1</v>
      </c>
      <c r="E248" s="1">
        <v>4</v>
      </c>
      <c r="F248" s="1">
        <v>0</v>
      </c>
      <c r="G248" s="1">
        <v>5</v>
      </c>
      <c r="H248" s="1">
        <v>3</v>
      </c>
      <c r="I248" s="1">
        <v>24</v>
      </c>
      <c r="J248" s="1">
        <v>21</v>
      </c>
      <c r="K248" s="1">
        <v>32</v>
      </c>
      <c r="L248" s="1">
        <v>26</v>
      </c>
      <c r="M248" s="1">
        <v>14</v>
      </c>
      <c r="N248" s="1">
        <v>26</v>
      </c>
      <c r="O248" s="1">
        <v>31</v>
      </c>
      <c r="P248" s="1">
        <v>29</v>
      </c>
      <c r="Q248" s="1">
        <v>29</v>
      </c>
      <c r="R248" s="1">
        <v>25</v>
      </c>
      <c r="S248" s="1">
        <v>35</v>
      </c>
      <c r="T248" s="1">
        <v>22</v>
      </c>
      <c r="U248" s="1">
        <v>12</v>
      </c>
      <c r="V248" s="1">
        <v>13</v>
      </c>
      <c r="W248" s="1">
        <v>10</v>
      </c>
      <c r="X248" s="1">
        <v>12</v>
      </c>
      <c r="Y248" s="1">
        <v>10</v>
      </c>
    </row>
    <row r="249" spans="1:25" x14ac:dyDescent="0.3">
      <c r="A249" s="2">
        <v>42586</v>
      </c>
      <c r="B249" s="1">
        <v>5</v>
      </c>
      <c r="C249" s="1">
        <v>4</v>
      </c>
      <c r="D249" s="1">
        <v>7</v>
      </c>
      <c r="E249" s="1">
        <v>5</v>
      </c>
      <c r="F249" s="1">
        <v>7</v>
      </c>
      <c r="G249" s="1">
        <v>12</v>
      </c>
      <c r="H249" s="1">
        <v>8</v>
      </c>
      <c r="I249" s="1">
        <v>19</v>
      </c>
      <c r="J249" s="1">
        <v>24</v>
      </c>
      <c r="K249" s="1">
        <v>23</v>
      </c>
      <c r="L249" s="1">
        <v>30</v>
      </c>
      <c r="M249" s="1">
        <v>17</v>
      </c>
      <c r="N249" s="1">
        <v>24</v>
      </c>
      <c r="O249" s="1">
        <v>26</v>
      </c>
      <c r="P249" s="1">
        <v>29</v>
      </c>
      <c r="Q249" s="1">
        <v>29</v>
      </c>
      <c r="R249" s="1">
        <v>35</v>
      </c>
      <c r="S249" s="1">
        <v>23</v>
      </c>
      <c r="T249" s="1">
        <v>26</v>
      </c>
      <c r="U249" s="1">
        <v>11</v>
      </c>
      <c r="V249" s="1">
        <v>14</v>
      </c>
      <c r="W249" s="1">
        <v>17</v>
      </c>
      <c r="X249" s="1">
        <v>18</v>
      </c>
      <c r="Y249" s="1">
        <v>6</v>
      </c>
    </row>
    <row r="250" spans="1:25" x14ac:dyDescent="0.3">
      <c r="A250" s="2">
        <v>42587</v>
      </c>
      <c r="B250" s="1">
        <v>9</v>
      </c>
      <c r="C250" s="1">
        <v>6</v>
      </c>
      <c r="D250" s="1">
        <v>7</v>
      </c>
      <c r="E250" s="1">
        <v>6</v>
      </c>
      <c r="F250" s="1">
        <v>5</v>
      </c>
      <c r="G250" s="1">
        <v>4</v>
      </c>
      <c r="H250" s="1">
        <v>9</v>
      </c>
      <c r="I250" s="1">
        <v>24</v>
      </c>
      <c r="J250" s="1">
        <v>22</v>
      </c>
      <c r="K250" s="1">
        <v>14</v>
      </c>
      <c r="L250" s="1">
        <v>26</v>
      </c>
      <c r="M250" s="1">
        <v>30</v>
      </c>
      <c r="N250" s="1">
        <v>27</v>
      </c>
      <c r="O250" s="1">
        <v>14</v>
      </c>
      <c r="P250" s="1">
        <v>23</v>
      </c>
      <c r="Q250" s="1">
        <v>30</v>
      </c>
      <c r="R250" s="1">
        <v>41</v>
      </c>
      <c r="S250" s="1">
        <v>30</v>
      </c>
      <c r="T250" s="1">
        <v>25</v>
      </c>
      <c r="U250" s="1">
        <v>12</v>
      </c>
      <c r="V250" s="1">
        <v>15</v>
      </c>
      <c r="W250" s="1">
        <v>10</v>
      </c>
      <c r="X250" s="1">
        <v>11</v>
      </c>
      <c r="Y250" s="1">
        <v>20</v>
      </c>
    </row>
    <row r="251" spans="1:25" x14ac:dyDescent="0.3">
      <c r="A251" s="2">
        <v>42588</v>
      </c>
      <c r="B251" s="1">
        <v>14</v>
      </c>
      <c r="C251" s="1">
        <v>9</v>
      </c>
      <c r="D251" s="1">
        <v>11</v>
      </c>
      <c r="E251" s="1">
        <v>13</v>
      </c>
      <c r="F251" s="1">
        <v>4</v>
      </c>
      <c r="G251" s="1">
        <v>9</v>
      </c>
      <c r="H251" s="1">
        <v>4</v>
      </c>
      <c r="I251" s="1">
        <v>8</v>
      </c>
      <c r="J251" s="1">
        <v>9</v>
      </c>
      <c r="K251" s="1">
        <v>18</v>
      </c>
      <c r="L251" s="1">
        <v>23</v>
      </c>
      <c r="M251" s="1">
        <v>19</v>
      </c>
      <c r="N251" s="1">
        <v>21</v>
      </c>
      <c r="O251" s="1">
        <v>17</v>
      </c>
      <c r="P251" s="1">
        <v>18</v>
      </c>
      <c r="Q251" s="1">
        <v>24</v>
      </c>
      <c r="R251" s="1">
        <v>23</v>
      </c>
      <c r="S251" s="1">
        <v>9</v>
      </c>
      <c r="T251" s="1">
        <v>18</v>
      </c>
      <c r="U251" s="1">
        <v>29</v>
      </c>
      <c r="V251" s="1">
        <v>28</v>
      </c>
      <c r="W251" s="1">
        <v>13</v>
      </c>
      <c r="X251" s="1">
        <v>15</v>
      </c>
      <c r="Y251" s="1">
        <v>17</v>
      </c>
    </row>
    <row r="252" spans="1:25" x14ac:dyDescent="0.3">
      <c r="A252" s="2">
        <v>42589</v>
      </c>
      <c r="B252" s="1">
        <v>11</v>
      </c>
      <c r="C252" s="1">
        <v>11</v>
      </c>
      <c r="D252" s="1">
        <v>11</v>
      </c>
      <c r="E252" s="1">
        <v>9</v>
      </c>
      <c r="F252" s="1">
        <v>10</v>
      </c>
      <c r="G252" s="1">
        <v>4</v>
      </c>
      <c r="H252" s="1">
        <v>7</v>
      </c>
      <c r="I252" s="1">
        <v>7</v>
      </c>
      <c r="J252" s="1">
        <v>12</v>
      </c>
      <c r="K252" s="1">
        <v>13</v>
      </c>
      <c r="L252" s="1">
        <v>27</v>
      </c>
      <c r="M252" s="1">
        <v>11</v>
      </c>
      <c r="N252" s="1">
        <v>30</v>
      </c>
      <c r="O252" s="1">
        <v>21</v>
      </c>
      <c r="P252" s="1">
        <v>18</v>
      </c>
      <c r="Q252" s="1">
        <v>23</v>
      </c>
      <c r="R252" s="1">
        <v>29</v>
      </c>
      <c r="S252" s="1">
        <v>12</v>
      </c>
      <c r="T252" s="1">
        <v>12</v>
      </c>
      <c r="U252" s="1">
        <v>22</v>
      </c>
      <c r="V252" s="1">
        <v>10</v>
      </c>
      <c r="W252" s="1">
        <v>11</v>
      </c>
      <c r="X252" s="1">
        <v>6</v>
      </c>
      <c r="Y252" s="1">
        <v>3</v>
      </c>
    </row>
    <row r="253" spans="1:25" x14ac:dyDescent="0.3">
      <c r="A253" s="2">
        <v>42590</v>
      </c>
      <c r="B253" s="1">
        <v>8</v>
      </c>
      <c r="C253" s="1">
        <v>5</v>
      </c>
      <c r="D253" s="1">
        <v>3</v>
      </c>
      <c r="E253" s="1">
        <v>5</v>
      </c>
      <c r="F253" s="1">
        <v>4</v>
      </c>
      <c r="G253" s="1">
        <v>12</v>
      </c>
      <c r="H253" s="1">
        <v>14</v>
      </c>
      <c r="I253" s="1">
        <v>9</v>
      </c>
      <c r="J253" s="1">
        <v>24</v>
      </c>
      <c r="K253" s="1">
        <v>17</v>
      </c>
      <c r="L253" s="1">
        <v>30</v>
      </c>
      <c r="M253" s="1">
        <v>21</v>
      </c>
      <c r="N253" s="1">
        <v>22</v>
      </c>
      <c r="O253" s="1">
        <v>27</v>
      </c>
      <c r="P253" s="1">
        <v>19</v>
      </c>
      <c r="Q253" s="1">
        <v>22</v>
      </c>
      <c r="R253" s="1">
        <v>23</v>
      </c>
      <c r="S253" s="1">
        <v>26</v>
      </c>
      <c r="T253" s="1">
        <v>19</v>
      </c>
      <c r="U253" s="1">
        <v>17</v>
      </c>
      <c r="V253" s="1">
        <v>15</v>
      </c>
      <c r="W253" s="1">
        <v>12</v>
      </c>
      <c r="X253" s="1">
        <v>12</v>
      </c>
      <c r="Y253" s="1">
        <v>9</v>
      </c>
    </row>
    <row r="254" spans="1:25" x14ac:dyDescent="0.3">
      <c r="A254" s="2">
        <v>42591</v>
      </c>
      <c r="B254" s="1">
        <v>6</v>
      </c>
      <c r="C254" s="1">
        <v>7</v>
      </c>
      <c r="D254" s="1">
        <v>3</v>
      </c>
      <c r="E254" s="1">
        <v>2</v>
      </c>
      <c r="F254" s="1">
        <v>2</v>
      </c>
      <c r="G254" s="1">
        <v>5</v>
      </c>
      <c r="H254" s="1">
        <v>6</v>
      </c>
      <c r="I254" s="1">
        <v>12</v>
      </c>
      <c r="J254" s="1">
        <v>18</v>
      </c>
      <c r="K254" s="1">
        <v>17</v>
      </c>
      <c r="L254" s="1">
        <v>22</v>
      </c>
      <c r="M254" s="1">
        <v>21</v>
      </c>
      <c r="N254" s="1">
        <v>21</v>
      </c>
      <c r="O254" s="1">
        <v>22</v>
      </c>
      <c r="P254" s="1">
        <v>29</v>
      </c>
      <c r="Q254" s="1">
        <v>14</v>
      </c>
      <c r="R254" s="1">
        <v>20</v>
      </c>
      <c r="S254" s="1">
        <v>32</v>
      </c>
      <c r="T254" s="1">
        <v>25</v>
      </c>
      <c r="U254" s="1">
        <v>26</v>
      </c>
      <c r="V254" s="1">
        <v>7</v>
      </c>
      <c r="W254" s="1">
        <v>16</v>
      </c>
      <c r="X254" s="1">
        <v>8</v>
      </c>
      <c r="Y254" s="1">
        <v>6</v>
      </c>
    </row>
    <row r="255" spans="1:25" x14ac:dyDescent="0.3">
      <c r="A255" s="2">
        <v>42592</v>
      </c>
      <c r="B255" s="1">
        <v>6</v>
      </c>
      <c r="C255" s="1">
        <v>4</v>
      </c>
      <c r="D255" s="1">
        <v>2</v>
      </c>
      <c r="E255" s="1">
        <v>4</v>
      </c>
      <c r="F255" s="1">
        <v>4</v>
      </c>
      <c r="G255" s="1">
        <v>7</v>
      </c>
      <c r="H255" s="1">
        <v>5</v>
      </c>
      <c r="I255" s="1">
        <v>19</v>
      </c>
      <c r="J255" s="1">
        <v>17</v>
      </c>
      <c r="K255" s="1">
        <v>18</v>
      </c>
      <c r="L255" s="1">
        <v>19</v>
      </c>
      <c r="M255" s="1">
        <v>21</v>
      </c>
      <c r="N255" s="1">
        <v>22</v>
      </c>
      <c r="O255" s="1">
        <v>23</v>
      </c>
      <c r="P255" s="1">
        <v>15</v>
      </c>
      <c r="Q255" s="1">
        <v>13</v>
      </c>
      <c r="R255" s="1">
        <v>35</v>
      </c>
      <c r="S255" s="1">
        <v>19</v>
      </c>
      <c r="T255" s="1">
        <v>36</v>
      </c>
      <c r="U255" s="1">
        <v>10</v>
      </c>
      <c r="V255" s="1">
        <v>12</v>
      </c>
      <c r="W255" s="1">
        <v>12</v>
      </c>
      <c r="X255" s="1">
        <v>10</v>
      </c>
      <c r="Y255" s="1">
        <v>10</v>
      </c>
    </row>
    <row r="256" spans="1:25" x14ac:dyDescent="0.3">
      <c r="A256" s="2">
        <v>42593</v>
      </c>
      <c r="B256" s="1">
        <v>9</v>
      </c>
      <c r="C256" s="1">
        <v>6</v>
      </c>
      <c r="D256" s="1">
        <v>6</v>
      </c>
      <c r="E256" s="1">
        <v>5</v>
      </c>
      <c r="F256" s="1">
        <v>8</v>
      </c>
      <c r="G256" s="1">
        <v>3</v>
      </c>
      <c r="H256" s="1">
        <v>7</v>
      </c>
      <c r="I256" s="1">
        <v>18</v>
      </c>
      <c r="J256" s="1">
        <v>22</v>
      </c>
      <c r="K256" s="1">
        <v>16</v>
      </c>
      <c r="L256" s="1">
        <v>26</v>
      </c>
      <c r="M256" s="1">
        <v>25</v>
      </c>
      <c r="N256" s="1">
        <v>23</v>
      </c>
      <c r="O256" s="1">
        <v>35</v>
      </c>
      <c r="P256" s="1">
        <v>38</v>
      </c>
      <c r="Q256" s="1">
        <v>45</v>
      </c>
      <c r="R256" s="1">
        <v>40</v>
      </c>
      <c r="S256" s="1">
        <v>20</v>
      </c>
      <c r="T256" s="1">
        <v>17</v>
      </c>
      <c r="U256" s="1">
        <v>20</v>
      </c>
      <c r="V256" s="1">
        <v>13</v>
      </c>
      <c r="W256" s="1">
        <v>15</v>
      </c>
      <c r="X256" s="1">
        <v>13</v>
      </c>
      <c r="Y256" s="1">
        <v>19</v>
      </c>
    </row>
    <row r="257" spans="1:25" x14ac:dyDescent="0.3">
      <c r="A257" s="2">
        <v>42594</v>
      </c>
      <c r="B257" s="1">
        <v>8</v>
      </c>
      <c r="C257" s="1">
        <v>7</v>
      </c>
      <c r="D257" s="1">
        <v>4</v>
      </c>
      <c r="E257" s="1">
        <v>3</v>
      </c>
      <c r="F257" s="1">
        <v>5</v>
      </c>
      <c r="G257" s="1">
        <v>3</v>
      </c>
      <c r="H257" s="1">
        <v>11</v>
      </c>
      <c r="I257" s="1">
        <v>13</v>
      </c>
      <c r="J257" s="1">
        <v>20</v>
      </c>
      <c r="K257" s="1">
        <v>14</v>
      </c>
      <c r="L257" s="1">
        <v>30</v>
      </c>
      <c r="M257" s="1">
        <v>43</v>
      </c>
      <c r="N257" s="1">
        <v>33</v>
      </c>
      <c r="O257" s="1">
        <v>22</v>
      </c>
      <c r="P257" s="1">
        <v>25</v>
      </c>
      <c r="Q257" s="1">
        <v>44</v>
      </c>
      <c r="R257" s="1">
        <v>32</v>
      </c>
      <c r="S257" s="1">
        <v>25</v>
      </c>
      <c r="T257" s="1">
        <v>19</v>
      </c>
      <c r="U257" s="1">
        <v>26</v>
      </c>
      <c r="V257" s="1">
        <v>15</v>
      </c>
      <c r="W257" s="1">
        <v>12</v>
      </c>
      <c r="X257" s="1">
        <v>9</v>
      </c>
      <c r="Y257" s="1">
        <v>19</v>
      </c>
    </row>
    <row r="258" spans="1:25" x14ac:dyDescent="0.3">
      <c r="A258" s="2">
        <v>42595</v>
      </c>
      <c r="B258" s="1">
        <v>17</v>
      </c>
      <c r="C258" s="1">
        <v>15</v>
      </c>
      <c r="D258" s="1">
        <v>7</v>
      </c>
      <c r="E258" s="1">
        <v>9</v>
      </c>
      <c r="F258" s="1">
        <v>5</v>
      </c>
      <c r="G258" s="1">
        <v>7</v>
      </c>
      <c r="H258" s="1">
        <v>6</v>
      </c>
      <c r="I258" s="1">
        <v>8</v>
      </c>
      <c r="J258" s="1">
        <v>18</v>
      </c>
      <c r="K258" s="1">
        <v>19</v>
      </c>
      <c r="L258" s="1">
        <v>17</v>
      </c>
      <c r="M258" s="1">
        <v>25</v>
      </c>
      <c r="N258" s="1">
        <v>21</v>
      </c>
      <c r="O258" s="1">
        <v>28</v>
      </c>
      <c r="P258" s="1">
        <v>23</v>
      </c>
      <c r="Q258" s="1">
        <v>17</v>
      </c>
      <c r="R258" s="1">
        <v>15</v>
      </c>
      <c r="S258" s="1">
        <v>23</v>
      </c>
      <c r="T258" s="1">
        <v>17</v>
      </c>
      <c r="U258" s="1">
        <v>29</v>
      </c>
      <c r="V258" s="1">
        <v>20</v>
      </c>
      <c r="W258" s="1">
        <v>19</v>
      </c>
      <c r="X258" s="1">
        <v>8</v>
      </c>
      <c r="Y258" s="1">
        <v>13</v>
      </c>
    </row>
    <row r="259" spans="1:25" x14ac:dyDescent="0.3">
      <c r="A259" s="2">
        <v>42596</v>
      </c>
      <c r="B259" s="1">
        <v>13</v>
      </c>
      <c r="C259" s="1">
        <v>7</v>
      </c>
      <c r="D259" s="1">
        <v>9</v>
      </c>
      <c r="E259" s="1">
        <v>15</v>
      </c>
      <c r="F259" s="1">
        <v>5</v>
      </c>
      <c r="G259" s="1">
        <v>3</v>
      </c>
      <c r="H259" s="1">
        <v>3</v>
      </c>
      <c r="I259" s="1">
        <v>8</v>
      </c>
      <c r="J259" s="1">
        <v>13</v>
      </c>
      <c r="K259" s="1">
        <v>27</v>
      </c>
      <c r="L259" s="1">
        <v>16</v>
      </c>
      <c r="M259" s="1">
        <v>16</v>
      </c>
      <c r="N259" s="1">
        <v>29</v>
      </c>
      <c r="O259" s="1">
        <v>16</v>
      </c>
      <c r="P259" s="1">
        <v>18</v>
      </c>
      <c r="Q259" s="1">
        <v>14</v>
      </c>
      <c r="R259" s="1">
        <v>23</v>
      </c>
      <c r="S259" s="1">
        <v>20</v>
      </c>
      <c r="T259" s="1">
        <v>13</v>
      </c>
      <c r="U259" s="1">
        <v>10</v>
      </c>
      <c r="V259" s="1">
        <v>20</v>
      </c>
      <c r="W259" s="1">
        <v>17</v>
      </c>
      <c r="X259" s="1">
        <v>8</v>
      </c>
      <c r="Y259" s="1">
        <v>12</v>
      </c>
    </row>
    <row r="260" spans="1:25" x14ac:dyDescent="0.3">
      <c r="A260" s="2">
        <v>42597</v>
      </c>
      <c r="B260" s="1">
        <v>6</v>
      </c>
      <c r="C260" s="1">
        <v>2</v>
      </c>
      <c r="D260" s="1">
        <v>5</v>
      </c>
      <c r="E260" s="1">
        <v>8</v>
      </c>
      <c r="F260" s="1">
        <v>6</v>
      </c>
      <c r="G260" s="1">
        <v>0</v>
      </c>
      <c r="H260" s="1">
        <v>5</v>
      </c>
      <c r="I260" s="1">
        <v>12</v>
      </c>
      <c r="J260" s="1">
        <v>34</v>
      </c>
      <c r="K260" s="1">
        <v>13</v>
      </c>
      <c r="L260" s="1">
        <v>32</v>
      </c>
      <c r="M260" s="1">
        <v>14</v>
      </c>
      <c r="N260" s="1">
        <v>13</v>
      </c>
      <c r="O260" s="1">
        <v>29</v>
      </c>
      <c r="P260" s="1">
        <v>18</v>
      </c>
      <c r="Q260" s="1">
        <v>28</v>
      </c>
      <c r="R260" s="1">
        <v>20</v>
      </c>
      <c r="S260" s="1">
        <v>21</v>
      </c>
      <c r="T260" s="1">
        <v>16</v>
      </c>
      <c r="U260" s="1">
        <v>20</v>
      </c>
      <c r="V260" s="1">
        <v>21</v>
      </c>
      <c r="W260" s="1">
        <v>12</v>
      </c>
      <c r="X260" s="1">
        <v>13</v>
      </c>
      <c r="Y260" s="1">
        <v>7</v>
      </c>
    </row>
    <row r="261" spans="1:25" x14ac:dyDescent="0.3">
      <c r="A261" s="2">
        <v>42598</v>
      </c>
      <c r="B261" s="1">
        <v>6</v>
      </c>
      <c r="C261" s="1">
        <v>10</v>
      </c>
      <c r="D261" s="1">
        <v>3</v>
      </c>
      <c r="E261" s="1">
        <v>4</v>
      </c>
      <c r="F261" s="1">
        <v>5</v>
      </c>
      <c r="G261" s="1">
        <v>7</v>
      </c>
      <c r="H261" s="1">
        <v>6</v>
      </c>
      <c r="I261" s="1">
        <v>14</v>
      </c>
      <c r="J261" s="1">
        <v>19</v>
      </c>
      <c r="K261" s="1">
        <v>27</v>
      </c>
      <c r="L261" s="1">
        <v>18</v>
      </c>
      <c r="M261" s="1">
        <v>25</v>
      </c>
      <c r="N261" s="1">
        <v>38</v>
      </c>
      <c r="O261" s="1">
        <v>36</v>
      </c>
      <c r="P261" s="1">
        <v>28</v>
      </c>
      <c r="Q261" s="1">
        <v>36</v>
      </c>
      <c r="R261" s="1">
        <v>31</v>
      </c>
      <c r="S261" s="1">
        <v>21</v>
      </c>
      <c r="T261" s="1">
        <v>26</v>
      </c>
      <c r="U261" s="1">
        <v>25</v>
      </c>
      <c r="V261" s="1">
        <v>16</v>
      </c>
      <c r="W261" s="1">
        <v>7</v>
      </c>
      <c r="X261" s="1">
        <v>3</v>
      </c>
      <c r="Y261" s="1">
        <v>5</v>
      </c>
    </row>
    <row r="262" spans="1:25" x14ac:dyDescent="0.3">
      <c r="A262" s="2">
        <v>42599</v>
      </c>
      <c r="B262" s="1">
        <v>7</v>
      </c>
      <c r="C262" s="1">
        <v>14</v>
      </c>
      <c r="D262" s="1">
        <v>7</v>
      </c>
      <c r="E262" s="1">
        <v>8</v>
      </c>
      <c r="F262" s="1">
        <v>5</v>
      </c>
      <c r="G262" s="1">
        <v>5</v>
      </c>
      <c r="H262" s="1">
        <v>11</v>
      </c>
      <c r="I262" s="1">
        <v>17</v>
      </c>
      <c r="J262" s="1">
        <v>26</v>
      </c>
      <c r="K262" s="1">
        <v>26</v>
      </c>
      <c r="L262" s="1">
        <v>21</v>
      </c>
      <c r="M262" s="1">
        <v>24</v>
      </c>
      <c r="N262" s="1">
        <v>27</v>
      </c>
      <c r="O262" s="1">
        <v>23</v>
      </c>
      <c r="P262" s="1">
        <v>27</v>
      </c>
      <c r="Q262" s="1">
        <v>22</v>
      </c>
      <c r="R262" s="1">
        <v>26</v>
      </c>
      <c r="S262" s="1">
        <v>21</v>
      </c>
      <c r="T262" s="1">
        <v>18</v>
      </c>
      <c r="U262" s="1">
        <v>19</v>
      </c>
      <c r="V262" s="1">
        <v>24</v>
      </c>
      <c r="W262" s="1">
        <v>13</v>
      </c>
      <c r="X262" s="1">
        <v>9</v>
      </c>
      <c r="Y262" s="1">
        <v>10</v>
      </c>
    </row>
    <row r="263" spans="1:25" x14ac:dyDescent="0.3">
      <c r="A263" s="2">
        <v>42600</v>
      </c>
      <c r="B263" s="1">
        <v>6</v>
      </c>
      <c r="C263" s="1">
        <v>6</v>
      </c>
      <c r="D263" s="1">
        <v>19</v>
      </c>
      <c r="E263" s="1">
        <v>3</v>
      </c>
      <c r="F263" s="1">
        <v>4</v>
      </c>
      <c r="G263" s="1">
        <v>1</v>
      </c>
      <c r="H263" s="1">
        <v>7</v>
      </c>
      <c r="I263" s="1">
        <v>13</v>
      </c>
      <c r="J263" s="1">
        <v>23</v>
      </c>
      <c r="K263" s="1">
        <v>15</v>
      </c>
      <c r="L263" s="1">
        <v>24</v>
      </c>
      <c r="M263" s="1">
        <v>16</v>
      </c>
      <c r="N263" s="1">
        <v>12</v>
      </c>
      <c r="O263" s="1">
        <v>22</v>
      </c>
      <c r="P263" s="1">
        <v>23</v>
      </c>
      <c r="Q263" s="1">
        <v>28</v>
      </c>
      <c r="R263" s="1">
        <v>25</v>
      </c>
      <c r="S263" s="1">
        <v>25</v>
      </c>
      <c r="T263" s="1">
        <v>21</v>
      </c>
      <c r="U263" s="1">
        <v>9</v>
      </c>
      <c r="V263" s="1">
        <v>15</v>
      </c>
      <c r="W263" s="1">
        <v>21</v>
      </c>
      <c r="X263" s="1">
        <v>12</v>
      </c>
      <c r="Y263" s="1">
        <v>7</v>
      </c>
    </row>
    <row r="264" spans="1:25" x14ac:dyDescent="0.3">
      <c r="A264" s="2">
        <v>42601</v>
      </c>
      <c r="B264" s="1">
        <v>11</v>
      </c>
      <c r="C264" s="1">
        <v>4</v>
      </c>
      <c r="D264" s="1">
        <v>1</v>
      </c>
      <c r="E264" s="1">
        <v>7</v>
      </c>
      <c r="F264" s="1">
        <v>6</v>
      </c>
      <c r="G264" s="1">
        <v>7</v>
      </c>
      <c r="H264" s="1">
        <v>10</v>
      </c>
      <c r="I264" s="1">
        <v>26</v>
      </c>
      <c r="J264" s="1">
        <v>22</v>
      </c>
      <c r="K264" s="1">
        <v>26</v>
      </c>
      <c r="L264" s="1">
        <v>34</v>
      </c>
      <c r="M264" s="1">
        <v>28</v>
      </c>
      <c r="N264" s="1">
        <v>24</v>
      </c>
      <c r="O264" s="1">
        <v>21</v>
      </c>
      <c r="P264" s="1">
        <v>24</v>
      </c>
      <c r="Q264" s="1">
        <v>25</v>
      </c>
      <c r="R264" s="1">
        <v>42</v>
      </c>
      <c r="S264" s="1">
        <v>35</v>
      </c>
      <c r="T264" s="1">
        <v>20</v>
      </c>
      <c r="U264" s="1">
        <v>18</v>
      </c>
      <c r="V264" s="1">
        <v>17</v>
      </c>
      <c r="W264" s="1">
        <v>11</v>
      </c>
      <c r="X264" s="1">
        <v>8</v>
      </c>
      <c r="Y264" s="1">
        <v>19</v>
      </c>
    </row>
    <row r="265" spans="1:25" x14ac:dyDescent="0.3">
      <c r="A265" s="2">
        <v>42602</v>
      </c>
      <c r="B265" s="1">
        <v>11</v>
      </c>
      <c r="C265" s="1">
        <v>3</v>
      </c>
      <c r="D265" s="1">
        <v>6</v>
      </c>
      <c r="E265" s="1">
        <v>5</v>
      </c>
      <c r="F265" s="1">
        <v>9</v>
      </c>
      <c r="G265" s="1">
        <v>6</v>
      </c>
      <c r="H265" s="1">
        <v>2</v>
      </c>
      <c r="I265" s="1">
        <v>12</v>
      </c>
      <c r="J265" s="1">
        <v>12</v>
      </c>
      <c r="K265" s="1">
        <v>13</v>
      </c>
      <c r="L265" s="1">
        <v>19</v>
      </c>
      <c r="M265" s="1">
        <v>25</v>
      </c>
      <c r="N265" s="1">
        <v>13</v>
      </c>
      <c r="O265" s="1">
        <v>16</v>
      </c>
      <c r="P265" s="1">
        <v>29</v>
      </c>
      <c r="Q265" s="1">
        <v>28</v>
      </c>
      <c r="R265" s="1">
        <v>21</v>
      </c>
      <c r="S265" s="1">
        <v>13</v>
      </c>
      <c r="T265" s="1">
        <v>17</v>
      </c>
      <c r="U265" s="1">
        <v>10</v>
      </c>
      <c r="V265" s="1">
        <v>11</v>
      </c>
      <c r="W265" s="1">
        <v>23</v>
      </c>
      <c r="X265" s="1">
        <v>13</v>
      </c>
      <c r="Y265" s="1">
        <v>9</v>
      </c>
    </row>
    <row r="266" spans="1:25" x14ac:dyDescent="0.3">
      <c r="A266" s="2">
        <v>42603</v>
      </c>
      <c r="B266" s="1">
        <v>5</v>
      </c>
      <c r="C266" s="1">
        <v>8</v>
      </c>
      <c r="D266" s="1">
        <v>15</v>
      </c>
      <c r="E266" s="1">
        <v>4</v>
      </c>
      <c r="F266" s="1">
        <v>0</v>
      </c>
      <c r="G266" s="1">
        <v>5</v>
      </c>
      <c r="H266" s="1">
        <v>10</v>
      </c>
      <c r="I266" s="1">
        <v>4</v>
      </c>
      <c r="J266" s="1">
        <v>5</v>
      </c>
      <c r="K266" s="1">
        <v>16</v>
      </c>
      <c r="L266" s="1">
        <v>22</v>
      </c>
      <c r="M266" s="1">
        <v>16</v>
      </c>
      <c r="N266" s="1">
        <v>25</v>
      </c>
      <c r="O266" s="1">
        <v>23</v>
      </c>
      <c r="P266" s="1">
        <v>20</v>
      </c>
      <c r="Q266" s="1">
        <v>26</v>
      </c>
      <c r="R266" s="1">
        <v>19</v>
      </c>
      <c r="S266" s="1">
        <v>29</v>
      </c>
      <c r="T266" s="1">
        <v>28</v>
      </c>
      <c r="U266" s="1">
        <v>25</v>
      </c>
      <c r="V266" s="1">
        <v>12</v>
      </c>
      <c r="W266" s="1">
        <v>14</v>
      </c>
      <c r="X266" s="1">
        <v>15</v>
      </c>
      <c r="Y266" s="1">
        <v>9</v>
      </c>
    </row>
    <row r="267" spans="1:25" x14ac:dyDescent="0.3">
      <c r="A267" s="2">
        <v>42604</v>
      </c>
      <c r="B267" s="1">
        <v>7</v>
      </c>
      <c r="C267" s="1">
        <v>7</v>
      </c>
      <c r="D267" s="1">
        <v>3</v>
      </c>
      <c r="E267" s="1">
        <v>2</v>
      </c>
      <c r="F267" s="1">
        <v>7</v>
      </c>
      <c r="G267" s="1">
        <v>6</v>
      </c>
      <c r="H267" s="1">
        <v>10</v>
      </c>
      <c r="I267" s="1">
        <v>10</v>
      </c>
      <c r="J267" s="1">
        <v>22</v>
      </c>
      <c r="K267" s="1">
        <v>19</v>
      </c>
      <c r="L267" s="1">
        <v>18</v>
      </c>
      <c r="M267" s="1">
        <v>16</v>
      </c>
      <c r="N267" s="1">
        <v>24</v>
      </c>
      <c r="O267" s="1">
        <v>19</v>
      </c>
      <c r="P267" s="1">
        <v>23</v>
      </c>
      <c r="Q267" s="1">
        <v>31</v>
      </c>
      <c r="R267" s="1">
        <v>36</v>
      </c>
      <c r="S267" s="1">
        <v>25</v>
      </c>
      <c r="T267" s="1">
        <v>29</v>
      </c>
      <c r="U267" s="1">
        <v>10</v>
      </c>
      <c r="V267" s="1">
        <v>26</v>
      </c>
      <c r="W267" s="1">
        <v>13</v>
      </c>
      <c r="X267" s="1">
        <v>6</v>
      </c>
      <c r="Y267" s="1">
        <v>13</v>
      </c>
    </row>
    <row r="268" spans="1:25" x14ac:dyDescent="0.3">
      <c r="A268" s="2">
        <v>42605</v>
      </c>
      <c r="B268" s="1">
        <v>9</v>
      </c>
      <c r="C268" s="1">
        <v>9</v>
      </c>
      <c r="D268" s="1">
        <v>8</v>
      </c>
      <c r="E268" s="1">
        <v>5</v>
      </c>
      <c r="F268" s="1">
        <v>7</v>
      </c>
      <c r="G268" s="1">
        <v>4</v>
      </c>
      <c r="H268" s="1">
        <v>11</v>
      </c>
      <c r="I268" s="1">
        <v>20</v>
      </c>
      <c r="J268" s="1">
        <v>20</v>
      </c>
      <c r="K268" s="1">
        <v>18</v>
      </c>
      <c r="L268" s="1">
        <v>32</v>
      </c>
      <c r="M268" s="1">
        <v>27</v>
      </c>
      <c r="N268" s="1">
        <v>23</v>
      </c>
      <c r="O268" s="1">
        <v>28</v>
      </c>
      <c r="P268" s="1">
        <v>25</v>
      </c>
      <c r="Q268" s="1">
        <v>29</v>
      </c>
      <c r="R268" s="1">
        <v>32</v>
      </c>
      <c r="S268" s="1">
        <v>26</v>
      </c>
      <c r="T268" s="1">
        <v>13</v>
      </c>
      <c r="U268" s="1">
        <v>23</v>
      </c>
      <c r="V268" s="1">
        <v>24</v>
      </c>
      <c r="W268" s="1">
        <v>16</v>
      </c>
      <c r="X268" s="1">
        <v>16</v>
      </c>
      <c r="Y268" s="1">
        <v>12</v>
      </c>
    </row>
    <row r="269" spans="1:25" x14ac:dyDescent="0.3">
      <c r="A269" s="2">
        <v>42606</v>
      </c>
      <c r="B269" s="1">
        <v>9</v>
      </c>
      <c r="C269" s="1">
        <v>14</v>
      </c>
      <c r="D269" s="1">
        <v>3</v>
      </c>
      <c r="E269" s="1">
        <v>6</v>
      </c>
      <c r="F269" s="1">
        <v>6</v>
      </c>
      <c r="G269" s="1">
        <v>10</v>
      </c>
      <c r="H269" s="1">
        <v>7</v>
      </c>
      <c r="I269" s="1">
        <v>13</v>
      </c>
      <c r="J269" s="1">
        <v>22</v>
      </c>
      <c r="K269" s="1">
        <v>16</v>
      </c>
      <c r="L269" s="1">
        <v>20</v>
      </c>
      <c r="M269" s="1">
        <v>32</v>
      </c>
      <c r="N269" s="1">
        <v>18</v>
      </c>
      <c r="O269" s="1">
        <v>24</v>
      </c>
      <c r="P269" s="1">
        <v>31</v>
      </c>
      <c r="Q269" s="1">
        <v>20</v>
      </c>
      <c r="R269" s="1">
        <v>31</v>
      </c>
      <c r="S269" s="1">
        <v>31</v>
      </c>
      <c r="T269" s="1">
        <v>13</v>
      </c>
      <c r="U269" s="1">
        <v>19</v>
      </c>
      <c r="V269" s="1">
        <v>11</v>
      </c>
      <c r="W269" s="1">
        <v>5</v>
      </c>
      <c r="X269" s="1">
        <v>14</v>
      </c>
      <c r="Y269" s="1">
        <v>6</v>
      </c>
    </row>
    <row r="270" spans="1:25" x14ac:dyDescent="0.3">
      <c r="A270" s="2">
        <v>42607</v>
      </c>
      <c r="B270" s="1">
        <v>5</v>
      </c>
      <c r="C270" s="1">
        <v>7</v>
      </c>
      <c r="D270" s="1">
        <v>11</v>
      </c>
      <c r="E270" s="1">
        <v>7</v>
      </c>
      <c r="F270" s="1">
        <v>2</v>
      </c>
      <c r="G270" s="1">
        <v>5</v>
      </c>
      <c r="H270" s="1">
        <v>9</v>
      </c>
      <c r="I270" s="1">
        <v>24</v>
      </c>
      <c r="J270" s="1">
        <v>15</v>
      </c>
      <c r="K270" s="1">
        <v>16</v>
      </c>
      <c r="L270" s="1">
        <v>18</v>
      </c>
      <c r="M270" s="1">
        <v>22</v>
      </c>
      <c r="N270" s="1">
        <v>22</v>
      </c>
      <c r="O270" s="1">
        <v>16</v>
      </c>
      <c r="P270" s="1">
        <v>24</v>
      </c>
      <c r="Q270" s="1">
        <v>25</v>
      </c>
      <c r="R270" s="1">
        <v>13</v>
      </c>
      <c r="S270" s="1">
        <v>30</v>
      </c>
      <c r="T270" s="1">
        <v>11</v>
      </c>
      <c r="U270" s="1">
        <v>20</v>
      </c>
      <c r="V270" s="1">
        <v>16</v>
      </c>
      <c r="W270" s="1">
        <v>9</v>
      </c>
      <c r="X270" s="1">
        <v>18</v>
      </c>
      <c r="Y270" s="1">
        <v>9</v>
      </c>
    </row>
    <row r="271" spans="1:25" x14ac:dyDescent="0.3">
      <c r="A271" s="2">
        <v>42608</v>
      </c>
      <c r="B271" s="1">
        <v>9</v>
      </c>
      <c r="C271" s="1">
        <v>5</v>
      </c>
      <c r="D271" s="1">
        <v>6</v>
      </c>
      <c r="E271" s="1">
        <v>9</v>
      </c>
      <c r="F271" s="1">
        <v>4</v>
      </c>
      <c r="G271" s="1">
        <v>4</v>
      </c>
      <c r="H271" s="1">
        <v>15</v>
      </c>
      <c r="I271" s="1">
        <v>8</v>
      </c>
      <c r="J271" s="1">
        <v>24</v>
      </c>
      <c r="K271" s="1">
        <v>21</v>
      </c>
      <c r="L271" s="1">
        <v>25</v>
      </c>
      <c r="M271" s="1">
        <v>30</v>
      </c>
      <c r="N271" s="1">
        <v>30</v>
      </c>
      <c r="O271" s="1">
        <v>29</v>
      </c>
      <c r="P271" s="1">
        <v>31</v>
      </c>
      <c r="Q271" s="1">
        <v>35</v>
      </c>
      <c r="R271" s="1">
        <v>30</v>
      </c>
      <c r="S271" s="1">
        <v>17</v>
      </c>
      <c r="T271" s="1">
        <v>16</v>
      </c>
      <c r="U271" s="1">
        <v>17</v>
      </c>
      <c r="V271" s="1">
        <v>19</v>
      </c>
      <c r="W271" s="1">
        <v>20</v>
      </c>
      <c r="X271" s="1">
        <v>11</v>
      </c>
      <c r="Y271" s="1">
        <v>17</v>
      </c>
    </row>
    <row r="272" spans="1:25" x14ac:dyDescent="0.3">
      <c r="A272" s="2">
        <v>42609</v>
      </c>
      <c r="B272" s="1">
        <v>4</v>
      </c>
      <c r="C272" s="1">
        <v>5</v>
      </c>
      <c r="D272" s="1">
        <v>3</v>
      </c>
      <c r="E272" s="1">
        <v>3</v>
      </c>
      <c r="F272" s="1">
        <v>3</v>
      </c>
      <c r="G272" s="1">
        <v>7</v>
      </c>
      <c r="H272" s="1">
        <v>6</v>
      </c>
      <c r="I272" s="1">
        <v>11</v>
      </c>
      <c r="J272" s="1">
        <v>9</v>
      </c>
      <c r="K272" s="1">
        <v>25</v>
      </c>
      <c r="L272" s="1">
        <v>23</v>
      </c>
      <c r="M272" s="1">
        <v>19</v>
      </c>
      <c r="N272" s="1">
        <v>11</v>
      </c>
      <c r="O272" s="1">
        <v>24</v>
      </c>
      <c r="P272" s="1">
        <v>32</v>
      </c>
      <c r="Q272" s="1">
        <v>19</v>
      </c>
      <c r="R272" s="1">
        <v>17</v>
      </c>
      <c r="S272" s="1">
        <v>23</v>
      </c>
      <c r="T272" s="1">
        <v>13</v>
      </c>
      <c r="U272" s="1">
        <v>33</v>
      </c>
      <c r="V272" s="1">
        <v>16</v>
      </c>
      <c r="W272" s="1">
        <v>11</v>
      </c>
      <c r="X272" s="1">
        <v>12</v>
      </c>
      <c r="Y272" s="1">
        <v>9</v>
      </c>
    </row>
    <row r="273" spans="1:25" x14ac:dyDescent="0.3">
      <c r="A273" s="2">
        <v>42610</v>
      </c>
      <c r="B273" s="1">
        <v>12</v>
      </c>
      <c r="C273" s="1">
        <v>6</v>
      </c>
      <c r="D273" s="1">
        <v>6</v>
      </c>
      <c r="E273" s="1">
        <v>16</v>
      </c>
      <c r="F273" s="1">
        <v>6</v>
      </c>
      <c r="G273" s="1">
        <v>10</v>
      </c>
      <c r="H273" s="1">
        <v>9</v>
      </c>
      <c r="I273" s="1">
        <v>10</v>
      </c>
      <c r="J273" s="1">
        <v>12</v>
      </c>
      <c r="K273" s="1">
        <v>16</v>
      </c>
      <c r="L273" s="1">
        <v>11</v>
      </c>
      <c r="M273" s="1">
        <v>25</v>
      </c>
      <c r="N273" s="1">
        <v>17</v>
      </c>
      <c r="O273" s="1">
        <v>14</v>
      </c>
      <c r="P273" s="1">
        <v>16</v>
      </c>
      <c r="Q273" s="1">
        <v>21</v>
      </c>
      <c r="R273" s="1">
        <v>24</v>
      </c>
      <c r="S273" s="1">
        <v>19</v>
      </c>
      <c r="T273" s="1">
        <v>16</v>
      </c>
      <c r="U273" s="1">
        <v>22</v>
      </c>
      <c r="V273" s="1">
        <v>19</v>
      </c>
      <c r="W273" s="1">
        <v>18</v>
      </c>
      <c r="X273" s="1">
        <v>9</v>
      </c>
      <c r="Y273" s="1">
        <v>6</v>
      </c>
    </row>
    <row r="274" spans="1:25" x14ac:dyDescent="0.3">
      <c r="A274" s="2">
        <v>42611</v>
      </c>
      <c r="B274" s="1">
        <v>6</v>
      </c>
      <c r="C274" s="1">
        <v>9</v>
      </c>
      <c r="D274" s="1">
        <v>8</v>
      </c>
      <c r="E274" s="1">
        <v>2</v>
      </c>
      <c r="F274" s="1">
        <v>9</v>
      </c>
      <c r="G274" s="1">
        <v>12</v>
      </c>
      <c r="H274" s="1">
        <v>11</v>
      </c>
      <c r="I274" s="1">
        <v>14</v>
      </c>
      <c r="J274" s="1">
        <v>13</v>
      </c>
      <c r="K274" s="1">
        <v>20</v>
      </c>
      <c r="L274" s="1">
        <v>25</v>
      </c>
      <c r="M274" s="1">
        <v>16</v>
      </c>
      <c r="N274" s="1">
        <v>32</v>
      </c>
      <c r="O274" s="1">
        <v>20</v>
      </c>
      <c r="P274" s="1">
        <v>23</v>
      </c>
      <c r="Q274" s="1">
        <v>21</v>
      </c>
      <c r="R274" s="1">
        <v>24</v>
      </c>
      <c r="S274" s="1">
        <v>22</v>
      </c>
      <c r="T274" s="1">
        <v>18</v>
      </c>
      <c r="U274" s="1">
        <v>12</v>
      </c>
      <c r="V274" s="1">
        <v>14</v>
      </c>
      <c r="W274" s="1">
        <v>14</v>
      </c>
      <c r="X274" s="1">
        <v>12</v>
      </c>
      <c r="Y274" s="1">
        <v>9</v>
      </c>
    </row>
    <row r="275" spans="1:25" x14ac:dyDescent="0.3">
      <c r="A275" s="2">
        <v>42612</v>
      </c>
      <c r="B275" s="1">
        <v>6</v>
      </c>
      <c r="C275" s="1">
        <v>1</v>
      </c>
      <c r="D275" s="1">
        <v>7</v>
      </c>
      <c r="E275" s="1">
        <v>3</v>
      </c>
      <c r="F275" s="1">
        <v>5</v>
      </c>
      <c r="G275" s="1">
        <v>10</v>
      </c>
      <c r="H275" s="1">
        <v>17</v>
      </c>
      <c r="I275" s="1">
        <v>12</v>
      </c>
      <c r="J275" s="1">
        <v>24</v>
      </c>
      <c r="K275" s="1">
        <v>12</v>
      </c>
      <c r="L275" s="1">
        <v>26</v>
      </c>
      <c r="M275" s="1">
        <v>31</v>
      </c>
      <c r="N275" s="1">
        <v>25</v>
      </c>
      <c r="O275" s="1">
        <v>21</v>
      </c>
      <c r="P275" s="1">
        <v>35</v>
      </c>
      <c r="Q275" s="1">
        <v>31</v>
      </c>
      <c r="R275" s="1">
        <v>23</v>
      </c>
      <c r="S275" s="1">
        <v>20</v>
      </c>
      <c r="T275" s="1">
        <v>15</v>
      </c>
      <c r="U275" s="1">
        <v>17</v>
      </c>
      <c r="V275" s="1">
        <v>16</v>
      </c>
      <c r="W275" s="1">
        <v>13</v>
      </c>
      <c r="X275" s="1">
        <v>12</v>
      </c>
      <c r="Y275" s="1">
        <v>9</v>
      </c>
    </row>
    <row r="276" spans="1:25" x14ac:dyDescent="0.3">
      <c r="A276" s="2">
        <v>42613</v>
      </c>
      <c r="B276" s="1">
        <v>11</v>
      </c>
      <c r="C276" s="1">
        <v>5</v>
      </c>
      <c r="D276" s="1">
        <v>1</v>
      </c>
      <c r="E276" s="1">
        <v>3</v>
      </c>
      <c r="F276" s="1">
        <v>6</v>
      </c>
      <c r="G276" s="1">
        <v>10</v>
      </c>
      <c r="H276" s="1">
        <v>8</v>
      </c>
      <c r="I276" s="1">
        <v>19</v>
      </c>
      <c r="J276" s="1">
        <v>27</v>
      </c>
      <c r="K276" s="1">
        <v>20</v>
      </c>
      <c r="L276" s="1">
        <v>26</v>
      </c>
      <c r="M276" s="1">
        <v>36</v>
      </c>
      <c r="N276" s="1">
        <v>23</v>
      </c>
      <c r="O276" s="1">
        <v>28</v>
      </c>
      <c r="P276" s="1">
        <v>18</v>
      </c>
      <c r="Q276" s="1">
        <v>22</v>
      </c>
      <c r="R276" s="1">
        <v>27</v>
      </c>
      <c r="S276" s="1">
        <v>27</v>
      </c>
      <c r="T276" s="1">
        <v>19</v>
      </c>
      <c r="U276" s="1">
        <v>19</v>
      </c>
      <c r="V276" s="1">
        <v>19</v>
      </c>
      <c r="W276" s="1">
        <v>17</v>
      </c>
      <c r="X276" s="1">
        <v>6</v>
      </c>
      <c r="Y276" s="1">
        <v>11</v>
      </c>
    </row>
    <row r="277" spans="1:25" x14ac:dyDescent="0.3">
      <c r="A277" s="2">
        <v>42614</v>
      </c>
      <c r="B277" s="1">
        <v>4</v>
      </c>
      <c r="C277" s="1">
        <v>9</v>
      </c>
      <c r="D277" s="1">
        <v>3</v>
      </c>
      <c r="E277" s="1">
        <v>6</v>
      </c>
      <c r="F277" s="1">
        <v>5</v>
      </c>
      <c r="G277" s="1">
        <v>5</v>
      </c>
      <c r="H277" s="1">
        <v>12</v>
      </c>
      <c r="I277" s="1">
        <v>16</v>
      </c>
      <c r="J277" s="1">
        <v>45</v>
      </c>
      <c r="K277" s="1">
        <v>42</v>
      </c>
      <c r="L277" s="1">
        <v>23</v>
      </c>
      <c r="M277" s="1">
        <v>22</v>
      </c>
      <c r="N277" s="1">
        <v>15</v>
      </c>
      <c r="O277" s="1">
        <v>27</v>
      </c>
      <c r="P277" s="1">
        <v>18</v>
      </c>
      <c r="Q277" s="1">
        <v>20</v>
      </c>
      <c r="R277" s="1">
        <v>24</v>
      </c>
      <c r="S277" s="1">
        <v>20</v>
      </c>
      <c r="T277" s="1">
        <v>30</v>
      </c>
      <c r="U277" s="1">
        <v>12</v>
      </c>
      <c r="V277" s="1">
        <v>7</v>
      </c>
      <c r="W277" s="1">
        <v>30</v>
      </c>
      <c r="X277" s="1">
        <v>7</v>
      </c>
      <c r="Y277" s="1">
        <v>6</v>
      </c>
    </row>
    <row r="278" spans="1:25" x14ac:dyDescent="0.3">
      <c r="A278" s="2">
        <v>42615</v>
      </c>
      <c r="B278" s="1">
        <v>8</v>
      </c>
      <c r="C278" s="1">
        <v>3</v>
      </c>
      <c r="D278" s="1">
        <v>4</v>
      </c>
      <c r="E278" s="1">
        <v>6</v>
      </c>
      <c r="F278" s="1">
        <v>3</v>
      </c>
      <c r="G278" s="1">
        <v>12</v>
      </c>
      <c r="H278" s="1">
        <v>13</v>
      </c>
      <c r="I278" s="1">
        <v>11</v>
      </c>
      <c r="J278" s="1">
        <v>12</v>
      </c>
      <c r="K278" s="1">
        <v>24</v>
      </c>
      <c r="L278" s="1">
        <v>19</v>
      </c>
      <c r="M278" s="1">
        <v>15</v>
      </c>
      <c r="N278" s="1">
        <v>27</v>
      </c>
      <c r="O278" s="1">
        <v>35</v>
      </c>
      <c r="P278" s="1">
        <v>33</v>
      </c>
      <c r="Q278" s="1">
        <v>25</v>
      </c>
      <c r="R278" s="1">
        <v>20</v>
      </c>
      <c r="S278" s="1">
        <v>28</v>
      </c>
      <c r="T278" s="1">
        <v>20</v>
      </c>
      <c r="U278" s="1">
        <v>20</v>
      </c>
      <c r="V278" s="1">
        <v>26</v>
      </c>
      <c r="W278" s="1">
        <v>13</v>
      </c>
      <c r="X278" s="1">
        <v>17</v>
      </c>
      <c r="Y278" s="1">
        <v>14</v>
      </c>
    </row>
    <row r="279" spans="1:25" x14ac:dyDescent="0.3">
      <c r="A279" s="2">
        <v>42616</v>
      </c>
      <c r="B279" s="1">
        <v>10</v>
      </c>
      <c r="C279" s="1">
        <v>16</v>
      </c>
      <c r="D279" s="1">
        <v>11</v>
      </c>
      <c r="E279" s="1">
        <v>8</v>
      </c>
      <c r="F279" s="1">
        <v>12</v>
      </c>
      <c r="G279" s="1">
        <v>1</v>
      </c>
      <c r="H279" s="1">
        <v>15</v>
      </c>
      <c r="I279" s="1">
        <v>10</v>
      </c>
      <c r="J279" s="1">
        <v>7</v>
      </c>
      <c r="K279" s="1">
        <v>15</v>
      </c>
      <c r="L279" s="1">
        <v>23</v>
      </c>
      <c r="M279" s="1">
        <v>25</v>
      </c>
      <c r="N279" s="1">
        <v>19</v>
      </c>
      <c r="O279" s="1">
        <v>20</v>
      </c>
      <c r="P279" s="1">
        <v>12</v>
      </c>
      <c r="Q279" s="1">
        <v>22</v>
      </c>
      <c r="R279" s="1">
        <v>26</v>
      </c>
      <c r="S279" s="1">
        <v>19</v>
      </c>
      <c r="T279" s="1">
        <v>8</v>
      </c>
      <c r="U279" s="1">
        <v>16</v>
      </c>
      <c r="V279" s="1">
        <v>13</v>
      </c>
      <c r="W279" s="1">
        <v>8</v>
      </c>
      <c r="X279" s="1">
        <v>9</v>
      </c>
      <c r="Y279" s="1">
        <v>5</v>
      </c>
    </row>
    <row r="280" spans="1:25" x14ac:dyDescent="0.3">
      <c r="A280" s="2">
        <v>42617</v>
      </c>
      <c r="B280" s="1">
        <v>10</v>
      </c>
      <c r="C280" s="1">
        <v>8</v>
      </c>
      <c r="D280" s="1">
        <v>14</v>
      </c>
      <c r="E280" s="1">
        <v>11</v>
      </c>
      <c r="F280" s="1">
        <v>7</v>
      </c>
      <c r="G280" s="1">
        <v>4</v>
      </c>
      <c r="H280" s="1">
        <v>6</v>
      </c>
      <c r="I280" s="1">
        <v>8</v>
      </c>
      <c r="J280" s="1">
        <v>8</v>
      </c>
      <c r="K280" s="1">
        <v>10</v>
      </c>
      <c r="L280" s="1">
        <v>17</v>
      </c>
      <c r="M280" s="1">
        <v>16</v>
      </c>
      <c r="N280" s="1">
        <v>14</v>
      </c>
      <c r="O280" s="1">
        <v>23</v>
      </c>
      <c r="P280" s="1">
        <v>16</v>
      </c>
      <c r="Q280" s="1">
        <v>17</v>
      </c>
      <c r="R280" s="1">
        <v>13</v>
      </c>
      <c r="S280" s="1">
        <v>16</v>
      </c>
      <c r="T280" s="1">
        <v>21</v>
      </c>
      <c r="U280" s="1">
        <v>15</v>
      </c>
      <c r="V280" s="1">
        <v>11</v>
      </c>
      <c r="W280" s="1">
        <v>14</v>
      </c>
      <c r="X280" s="1">
        <v>13</v>
      </c>
      <c r="Y280" s="1">
        <v>18</v>
      </c>
    </row>
    <row r="281" spans="1:25" x14ac:dyDescent="0.3">
      <c r="A281" s="2">
        <v>42618</v>
      </c>
      <c r="B281" s="1">
        <v>12</v>
      </c>
      <c r="C281" s="1">
        <v>8</v>
      </c>
      <c r="D281" s="1">
        <v>8</v>
      </c>
      <c r="E281" s="1">
        <v>3</v>
      </c>
      <c r="F281" s="1">
        <v>1</v>
      </c>
      <c r="G281" s="1">
        <v>2</v>
      </c>
      <c r="H281" s="1">
        <v>4</v>
      </c>
      <c r="I281" s="1">
        <v>5</v>
      </c>
      <c r="J281" s="1">
        <v>3</v>
      </c>
      <c r="K281" s="1">
        <v>10</v>
      </c>
      <c r="L281" s="1">
        <v>20</v>
      </c>
      <c r="M281" s="1">
        <v>22</v>
      </c>
      <c r="N281" s="1">
        <v>17</v>
      </c>
      <c r="O281" s="1">
        <v>18</v>
      </c>
      <c r="P281" s="1">
        <v>18</v>
      </c>
      <c r="Q281" s="1">
        <v>14</v>
      </c>
      <c r="R281" s="1">
        <v>17</v>
      </c>
      <c r="S281" s="1">
        <v>14</v>
      </c>
      <c r="T281" s="1">
        <v>14</v>
      </c>
      <c r="U281" s="1">
        <v>17</v>
      </c>
      <c r="V281" s="1">
        <v>23</v>
      </c>
      <c r="W281" s="1">
        <v>17</v>
      </c>
      <c r="X281" s="1">
        <v>8</v>
      </c>
      <c r="Y281" s="1">
        <v>8</v>
      </c>
    </row>
    <row r="282" spans="1:25" x14ac:dyDescent="0.3">
      <c r="A282" s="2">
        <v>42619</v>
      </c>
      <c r="B282" s="1">
        <v>10</v>
      </c>
      <c r="C282" s="1">
        <v>14</v>
      </c>
      <c r="D282" s="1">
        <v>2</v>
      </c>
      <c r="E282" s="1">
        <v>1</v>
      </c>
      <c r="F282" s="1">
        <v>1</v>
      </c>
      <c r="G282" s="1">
        <v>4</v>
      </c>
      <c r="H282" s="1">
        <v>9</v>
      </c>
      <c r="I282" s="1">
        <v>23</v>
      </c>
      <c r="J282" s="1">
        <v>19</v>
      </c>
      <c r="K282" s="1">
        <v>22</v>
      </c>
      <c r="L282" s="1">
        <v>25</v>
      </c>
      <c r="M282" s="1">
        <v>31</v>
      </c>
      <c r="N282" s="1">
        <v>24</v>
      </c>
      <c r="O282" s="1">
        <v>33</v>
      </c>
      <c r="P282" s="1">
        <v>23</v>
      </c>
      <c r="Q282" s="1">
        <v>24</v>
      </c>
      <c r="R282" s="1">
        <v>39</v>
      </c>
      <c r="S282" s="1">
        <v>21</v>
      </c>
      <c r="T282" s="1">
        <v>22</v>
      </c>
      <c r="U282" s="1">
        <v>10</v>
      </c>
      <c r="V282" s="1">
        <v>15</v>
      </c>
      <c r="W282" s="1">
        <v>14</v>
      </c>
      <c r="X282" s="1">
        <v>15</v>
      </c>
      <c r="Y282" s="1">
        <v>10</v>
      </c>
    </row>
    <row r="283" spans="1:25" x14ac:dyDescent="0.3">
      <c r="A283" s="2">
        <v>42620</v>
      </c>
      <c r="B283" s="1">
        <v>11</v>
      </c>
      <c r="C283" s="1">
        <v>7</v>
      </c>
      <c r="D283" s="1">
        <v>9</v>
      </c>
      <c r="E283" s="1">
        <v>5</v>
      </c>
      <c r="F283" s="1">
        <v>4</v>
      </c>
      <c r="G283" s="1">
        <v>6</v>
      </c>
      <c r="H283" s="1">
        <v>12</v>
      </c>
      <c r="I283" s="1">
        <v>18</v>
      </c>
      <c r="J283" s="1">
        <v>27</v>
      </c>
      <c r="K283" s="1">
        <v>22</v>
      </c>
      <c r="L283" s="1">
        <v>21</v>
      </c>
      <c r="M283" s="1">
        <v>22</v>
      </c>
      <c r="N283" s="1">
        <v>35</v>
      </c>
      <c r="O283" s="1">
        <v>26</v>
      </c>
      <c r="P283" s="1">
        <v>33</v>
      </c>
      <c r="Q283" s="1">
        <v>19</v>
      </c>
      <c r="R283" s="1">
        <v>40</v>
      </c>
      <c r="S283" s="1">
        <v>32</v>
      </c>
      <c r="T283" s="1">
        <v>25</v>
      </c>
      <c r="U283" s="1">
        <v>13</v>
      </c>
      <c r="V283" s="1">
        <v>16</v>
      </c>
      <c r="W283" s="1">
        <v>15</v>
      </c>
      <c r="X283" s="1">
        <v>7</v>
      </c>
      <c r="Y283" s="1">
        <v>6</v>
      </c>
    </row>
    <row r="284" spans="1:25" x14ac:dyDescent="0.3">
      <c r="A284" s="2">
        <v>42621</v>
      </c>
      <c r="B284" s="1">
        <v>4</v>
      </c>
      <c r="C284" s="1">
        <v>3</v>
      </c>
      <c r="D284" s="1">
        <v>4</v>
      </c>
      <c r="E284" s="1">
        <v>3</v>
      </c>
      <c r="F284" s="1">
        <v>4</v>
      </c>
      <c r="G284" s="1">
        <v>10</v>
      </c>
      <c r="H284" s="1">
        <v>7</v>
      </c>
      <c r="I284" s="1">
        <v>23</v>
      </c>
      <c r="J284" s="1">
        <v>40</v>
      </c>
      <c r="K284" s="1">
        <v>31</v>
      </c>
      <c r="L284" s="1">
        <v>18</v>
      </c>
      <c r="M284" s="1">
        <v>18</v>
      </c>
      <c r="N284" s="1">
        <v>27</v>
      </c>
      <c r="O284" s="1">
        <v>17</v>
      </c>
      <c r="P284" s="1">
        <v>28</v>
      </c>
      <c r="Q284" s="1">
        <v>26</v>
      </c>
      <c r="R284" s="1">
        <v>26</v>
      </c>
      <c r="S284" s="1">
        <v>28</v>
      </c>
      <c r="T284" s="1">
        <v>24</v>
      </c>
      <c r="U284" s="1">
        <v>22</v>
      </c>
      <c r="V284" s="1">
        <v>25</v>
      </c>
      <c r="W284" s="1">
        <v>9</v>
      </c>
      <c r="X284" s="1">
        <v>10</v>
      </c>
      <c r="Y284" s="1">
        <v>8</v>
      </c>
    </row>
    <row r="285" spans="1:25" x14ac:dyDescent="0.3">
      <c r="A285" s="2">
        <v>42622</v>
      </c>
      <c r="B285" s="1">
        <v>7</v>
      </c>
      <c r="C285" s="1">
        <v>10</v>
      </c>
      <c r="D285" s="1">
        <v>4</v>
      </c>
      <c r="E285" s="1">
        <v>4</v>
      </c>
      <c r="F285" s="1">
        <v>5</v>
      </c>
      <c r="G285" s="1">
        <v>4</v>
      </c>
      <c r="H285" s="1">
        <v>7</v>
      </c>
      <c r="I285" s="1">
        <v>27</v>
      </c>
      <c r="J285" s="1">
        <v>32</v>
      </c>
      <c r="K285" s="1">
        <v>34</v>
      </c>
      <c r="L285" s="1">
        <v>31</v>
      </c>
      <c r="M285" s="1">
        <v>25</v>
      </c>
      <c r="N285" s="1">
        <v>23</v>
      </c>
      <c r="O285" s="1">
        <v>27</v>
      </c>
      <c r="P285" s="1">
        <v>21</v>
      </c>
      <c r="Q285" s="1">
        <v>32</v>
      </c>
      <c r="R285" s="1">
        <v>28</v>
      </c>
      <c r="S285" s="1">
        <v>26</v>
      </c>
      <c r="T285" s="1">
        <v>17</v>
      </c>
      <c r="U285" s="1">
        <v>24</v>
      </c>
      <c r="V285" s="1">
        <v>19</v>
      </c>
      <c r="W285" s="1">
        <v>23</v>
      </c>
      <c r="X285" s="1">
        <v>19</v>
      </c>
      <c r="Y285" s="1">
        <v>13</v>
      </c>
    </row>
    <row r="286" spans="1:25" x14ac:dyDescent="0.3">
      <c r="A286" s="2">
        <v>42623</v>
      </c>
      <c r="B286" s="1">
        <v>13</v>
      </c>
      <c r="C286" s="1">
        <v>9</v>
      </c>
      <c r="D286" s="1">
        <v>6</v>
      </c>
      <c r="E286" s="1">
        <v>12</v>
      </c>
      <c r="F286" s="1">
        <v>8</v>
      </c>
      <c r="G286" s="1">
        <v>2</v>
      </c>
      <c r="H286" s="1">
        <v>6</v>
      </c>
      <c r="I286" s="1">
        <v>13</v>
      </c>
      <c r="J286" s="1">
        <v>22</v>
      </c>
      <c r="K286" s="1">
        <v>17</v>
      </c>
      <c r="L286" s="1">
        <v>29</v>
      </c>
      <c r="M286" s="1">
        <v>24</v>
      </c>
      <c r="N286" s="1">
        <v>18</v>
      </c>
      <c r="O286" s="1">
        <v>19</v>
      </c>
      <c r="P286" s="1">
        <v>19</v>
      </c>
      <c r="Q286" s="1">
        <v>13</v>
      </c>
      <c r="R286" s="1">
        <v>18</v>
      </c>
      <c r="S286" s="1">
        <v>20</v>
      </c>
      <c r="T286" s="1">
        <v>14</v>
      </c>
      <c r="U286" s="1">
        <v>14</v>
      </c>
      <c r="V286" s="1">
        <v>12</v>
      </c>
      <c r="W286" s="1">
        <v>17</v>
      </c>
      <c r="X286" s="1">
        <v>13</v>
      </c>
      <c r="Y286" s="1">
        <v>7</v>
      </c>
    </row>
    <row r="287" spans="1:25" x14ac:dyDescent="0.3">
      <c r="A287" s="2">
        <v>42624</v>
      </c>
      <c r="B287" s="1">
        <v>7</v>
      </c>
      <c r="C287" s="1">
        <v>8</v>
      </c>
      <c r="D287" s="1">
        <v>6</v>
      </c>
      <c r="E287" s="1">
        <v>5</v>
      </c>
      <c r="F287" s="1">
        <v>2</v>
      </c>
      <c r="G287" s="1">
        <v>5</v>
      </c>
      <c r="H287" s="1">
        <v>9</v>
      </c>
      <c r="I287" s="1">
        <v>10</v>
      </c>
      <c r="J287" s="1">
        <v>8</v>
      </c>
      <c r="K287" s="1">
        <v>16</v>
      </c>
      <c r="L287" s="1">
        <v>20</v>
      </c>
      <c r="M287" s="1">
        <v>19</v>
      </c>
      <c r="N287" s="1">
        <v>19</v>
      </c>
      <c r="O287" s="1">
        <v>23</v>
      </c>
      <c r="P287" s="1">
        <v>10</v>
      </c>
      <c r="Q287" s="1">
        <v>10</v>
      </c>
      <c r="R287" s="1">
        <v>25</v>
      </c>
      <c r="S287" s="1">
        <v>21</v>
      </c>
      <c r="T287" s="1">
        <v>20</v>
      </c>
      <c r="U287" s="1">
        <v>22</v>
      </c>
      <c r="V287" s="1">
        <v>13</v>
      </c>
      <c r="W287" s="1">
        <v>10</v>
      </c>
      <c r="X287" s="1">
        <v>9</v>
      </c>
      <c r="Y287" s="1">
        <v>8</v>
      </c>
    </row>
    <row r="288" spans="1:25" x14ac:dyDescent="0.3">
      <c r="A288" s="2">
        <v>42625</v>
      </c>
      <c r="B288" s="1">
        <v>12</v>
      </c>
      <c r="C288" s="1">
        <v>10</v>
      </c>
      <c r="D288" s="1">
        <v>5</v>
      </c>
      <c r="E288" s="1">
        <v>9</v>
      </c>
      <c r="F288" s="1">
        <v>2</v>
      </c>
      <c r="G288" s="1">
        <v>7</v>
      </c>
      <c r="H288" s="1">
        <v>13</v>
      </c>
      <c r="I288" s="1">
        <v>16</v>
      </c>
      <c r="J288" s="1">
        <v>29</v>
      </c>
      <c r="K288" s="1">
        <v>18</v>
      </c>
      <c r="L288" s="1">
        <v>22</v>
      </c>
      <c r="M288" s="1">
        <v>24</v>
      </c>
      <c r="N288" s="1">
        <v>21</v>
      </c>
      <c r="O288" s="1">
        <v>27</v>
      </c>
      <c r="P288" s="1">
        <v>29</v>
      </c>
      <c r="Q288" s="1">
        <v>32</v>
      </c>
      <c r="R288" s="1">
        <v>25</v>
      </c>
      <c r="S288" s="1">
        <v>21</v>
      </c>
      <c r="T288" s="1">
        <v>24</v>
      </c>
      <c r="U288" s="1">
        <v>20</v>
      </c>
      <c r="V288" s="1">
        <v>16</v>
      </c>
      <c r="W288" s="1">
        <v>17</v>
      </c>
      <c r="X288" s="1">
        <v>20</v>
      </c>
      <c r="Y288" s="1">
        <v>7</v>
      </c>
    </row>
    <row r="289" spans="1:25" x14ac:dyDescent="0.3">
      <c r="A289" s="2">
        <v>42626</v>
      </c>
      <c r="B289" s="1">
        <v>7</v>
      </c>
      <c r="C289" s="1">
        <v>5</v>
      </c>
      <c r="D289" s="1">
        <v>4</v>
      </c>
      <c r="E289" s="1">
        <v>1</v>
      </c>
      <c r="F289" s="1">
        <v>2</v>
      </c>
      <c r="G289" s="1">
        <v>5</v>
      </c>
      <c r="H289" s="1">
        <v>11</v>
      </c>
      <c r="I289" s="1">
        <v>19</v>
      </c>
      <c r="J289" s="1">
        <v>30</v>
      </c>
      <c r="K289" s="1">
        <v>25</v>
      </c>
      <c r="L289" s="1">
        <v>20</v>
      </c>
      <c r="M289" s="1">
        <v>19</v>
      </c>
      <c r="N289" s="1">
        <v>21</v>
      </c>
      <c r="O289" s="1">
        <v>23</v>
      </c>
      <c r="P289" s="1">
        <v>23</v>
      </c>
      <c r="Q289" s="1">
        <v>31</v>
      </c>
      <c r="R289" s="1">
        <v>30</v>
      </c>
      <c r="S289" s="1">
        <v>27</v>
      </c>
      <c r="T289" s="1">
        <v>31</v>
      </c>
      <c r="U289" s="1">
        <v>15</v>
      </c>
      <c r="V289" s="1">
        <v>25</v>
      </c>
      <c r="W289" s="1">
        <v>15</v>
      </c>
      <c r="X289" s="1">
        <v>5</v>
      </c>
      <c r="Y289" s="1">
        <v>17</v>
      </c>
    </row>
    <row r="290" spans="1:25" x14ac:dyDescent="0.3">
      <c r="A290" s="2">
        <v>42627</v>
      </c>
      <c r="B290" s="1">
        <v>7</v>
      </c>
      <c r="C290" s="1">
        <v>10</v>
      </c>
      <c r="D290" s="1">
        <v>5</v>
      </c>
      <c r="E290" s="1">
        <v>5</v>
      </c>
      <c r="F290" s="1">
        <v>1</v>
      </c>
      <c r="G290" s="1">
        <v>2</v>
      </c>
      <c r="H290" s="1">
        <v>12</v>
      </c>
      <c r="I290" s="1">
        <v>14</v>
      </c>
      <c r="J290" s="1">
        <v>20</v>
      </c>
      <c r="K290" s="1">
        <v>26</v>
      </c>
      <c r="L290" s="1">
        <v>32</v>
      </c>
      <c r="M290" s="1">
        <v>19</v>
      </c>
      <c r="N290" s="1">
        <v>23</v>
      </c>
      <c r="O290" s="1">
        <v>20</v>
      </c>
      <c r="P290" s="1">
        <v>22</v>
      </c>
      <c r="Q290" s="1">
        <v>40</v>
      </c>
      <c r="R290" s="1">
        <v>30</v>
      </c>
      <c r="S290" s="1">
        <v>29</v>
      </c>
      <c r="T290" s="1">
        <v>17</v>
      </c>
      <c r="U290" s="1">
        <v>26</v>
      </c>
      <c r="V290" s="1">
        <v>14</v>
      </c>
      <c r="W290" s="1">
        <v>8</v>
      </c>
      <c r="X290" s="1">
        <v>6</v>
      </c>
      <c r="Y290" s="1">
        <v>9</v>
      </c>
    </row>
    <row r="291" spans="1:25" x14ac:dyDescent="0.3">
      <c r="A291" s="2">
        <v>42628</v>
      </c>
      <c r="B291" s="1">
        <v>2</v>
      </c>
      <c r="C291" s="1">
        <v>5</v>
      </c>
      <c r="D291" s="1">
        <v>5</v>
      </c>
      <c r="E291" s="1">
        <v>4</v>
      </c>
      <c r="F291" s="1">
        <v>4</v>
      </c>
      <c r="G291" s="1">
        <v>2</v>
      </c>
      <c r="H291" s="1">
        <v>13</v>
      </c>
      <c r="I291" s="1">
        <v>24</v>
      </c>
      <c r="J291" s="1">
        <v>15</v>
      </c>
      <c r="K291" s="1">
        <v>24</v>
      </c>
      <c r="L291" s="1">
        <v>18</v>
      </c>
      <c r="M291" s="1">
        <v>29</v>
      </c>
      <c r="N291" s="1">
        <v>14</v>
      </c>
      <c r="O291" s="1">
        <v>15</v>
      </c>
      <c r="P291" s="1">
        <v>24</v>
      </c>
      <c r="Q291" s="1">
        <v>19</v>
      </c>
      <c r="R291" s="1">
        <v>23</v>
      </c>
      <c r="S291" s="1">
        <v>46</v>
      </c>
      <c r="T291" s="1">
        <v>35</v>
      </c>
      <c r="U291" s="1">
        <v>20</v>
      </c>
      <c r="V291" s="1">
        <v>17</v>
      </c>
      <c r="W291" s="1">
        <v>19</v>
      </c>
      <c r="X291" s="1">
        <v>12</v>
      </c>
      <c r="Y291" s="1">
        <v>9</v>
      </c>
    </row>
    <row r="292" spans="1:25" x14ac:dyDescent="0.3">
      <c r="A292" s="2">
        <v>42629</v>
      </c>
      <c r="B292" s="1">
        <v>8</v>
      </c>
      <c r="C292" s="1">
        <v>11</v>
      </c>
      <c r="D292" s="1">
        <v>9</v>
      </c>
      <c r="E292" s="1">
        <v>4</v>
      </c>
      <c r="F292" s="1">
        <v>6</v>
      </c>
      <c r="G292" s="1">
        <v>8</v>
      </c>
      <c r="H292" s="1">
        <v>12</v>
      </c>
      <c r="I292" s="1">
        <v>24</v>
      </c>
      <c r="J292" s="1">
        <v>22</v>
      </c>
      <c r="K292" s="1">
        <v>25</v>
      </c>
      <c r="L292" s="1">
        <v>21</v>
      </c>
      <c r="M292" s="1">
        <v>25</v>
      </c>
      <c r="N292" s="1">
        <v>21</v>
      </c>
      <c r="O292" s="1">
        <v>29</v>
      </c>
      <c r="P292" s="1">
        <v>19</v>
      </c>
      <c r="Q292" s="1">
        <v>31</v>
      </c>
      <c r="R292" s="1">
        <v>38</v>
      </c>
      <c r="S292" s="1">
        <v>21</v>
      </c>
      <c r="T292" s="1">
        <v>10</v>
      </c>
      <c r="U292" s="1">
        <v>16</v>
      </c>
      <c r="V292" s="1">
        <v>18</v>
      </c>
      <c r="W292" s="1">
        <v>21</v>
      </c>
      <c r="X292" s="1">
        <v>20</v>
      </c>
      <c r="Y292" s="1">
        <v>11</v>
      </c>
    </row>
    <row r="293" spans="1:25" x14ac:dyDescent="0.3">
      <c r="A293" s="2">
        <v>42630</v>
      </c>
      <c r="B293" s="1">
        <v>4</v>
      </c>
      <c r="C293" s="1">
        <v>15</v>
      </c>
      <c r="D293" s="1">
        <v>11</v>
      </c>
      <c r="E293" s="1">
        <v>14</v>
      </c>
      <c r="F293" s="1">
        <v>7</v>
      </c>
      <c r="G293" s="1">
        <v>8</v>
      </c>
      <c r="H293" s="1">
        <v>6</v>
      </c>
      <c r="I293" s="1">
        <v>6</v>
      </c>
      <c r="J293" s="1">
        <v>5</v>
      </c>
      <c r="K293" s="1">
        <v>22</v>
      </c>
      <c r="L293" s="1">
        <v>20</v>
      </c>
      <c r="M293" s="1">
        <v>14</v>
      </c>
      <c r="N293" s="1">
        <v>18</v>
      </c>
      <c r="O293" s="1">
        <v>29</v>
      </c>
      <c r="P293" s="1">
        <v>27</v>
      </c>
      <c r="Q293" s="1">
        <v>19</v>
      </c>
      <c r="R293" s="1">
        <v>21</v>
      </c>
      <c r="S293" s="1">
        <v>19</v>
      </c>
      <c r="T293" s="1">
        <v>11</v>
      </c>
      <c r="U293" s="1">
        <v>25</v>
      </c>
      <c r="V293" s="1">
        <v>22</v>
      </c>
      <c r="W293" s="1">
        <v>18</v>
      </c>
      <c r="X293" s="1">
        <v>15</v>
      </c>
      <c r="Y293" s="1">
        <v>23</v>
      </c>
    </row>
    <row r="294" spans="1:25" x14ac:dyDescent="0.3">
      <c r="A294" s="2">
        <v>42631</v>
      </c>
      <c r="B294" s="1">
        <v>10</v>
      </c>
      <c r="C294" s="1">
        <v>12</v>
      </c>
      <c r="D294" s="1">
        <v>13</v>
      </c>
      <c r="E294" s="1">
        <v>5</v>
      </c>
      <c r="F294" s="1">
        <v>6</v>
      </c>
      <c r="G294" s="1">
        <v>5</v>
      </c>
      <c r="H294" s="1">
        <v>2</v>
      </c>
      <c r="I294" s="1">
        <v>7</v>
      </c>
      <c r="J294" s="1">
        <v>8</v>
      </c>
      <c r="K294" s="1">
        <v>20</v>
      </c>
      <c r="L294" s="1">
        <v>15</v>
      </c>
      <c r="M294" s="1">
        <v>16</v>
      </c>
      <c r="N294" s="1">
        <v>23</v>
      </c>
      <c r="O294" s="1">
        <v>23</v>
      </c>
      <c r="P294" s="1">
        <v>17</v>
      </c>
      <c r="Q294" s="1">
        <v>17</v>
      </c>
      <c r="R294" s="1">
        <v>15</v>
      </c>
      <c r="S294" s="1">
        <v>10</v>
      </c>
      <c r="T294" s="1">
        <v>16</v>
      </c>
      <c r="U294" s="1">
        <v>24</v>
      </c>
      <c r="V294" s="1">
        <v>8</v>
      </c>
      <c r="W294" s="1">
        <v>9</v>
      </c>
      <c r="X294" s="1">
        <v>13</v>
      </c>
      <c r="Y294" s="1">
        <v>15</v>
      </c>
    </row>
    <row r="295" spans="1:25" x14ac:dyDescent="0.3">
      <c r="A295" s="2">
        <v>42632</v>
      </c>
      <c r="B295" s="1">
        <v>6</v>
      </c>
      <c r="C295" s="1">
        <v>4</v>
      </c>
      <c r="D295" s="1">
        <v>1</v>
      </c>
      <c r="E295" s="1">
        <v>3</v>
      </c>
      <c r="F295" s="1">
        <v>5</v>
      </c>
      <c r="G295" s="1">
        <v>10</v>
      </c>
      <c r="H295" s="1">
        <v>20</v>
      </c>
      <c r="I295" s="1">
        <v>42</v>
      </c>
      <c r="J295" s="1">
        <v>42</v>
      </c>
      <c r="K295" s="1">
        <v>44</v>
      </c>
      <c r="L295" s="1">
        <v>36</v>
      </c>
      <c r="M295" s="1">
        <v>30</v>
      </c>
      <c r="N295" s="1">
        <v>31</v>
      </c>
      <c r="O295" s="1">
        <v>23</v>
      </c>
      <c r="P295" s="1">
        <v>24</v>
      </c>
      <c r="Q295" s="1">
        <v>34</v>
      </c>
      <c r="R295" s="1">
        <v>19</v>
      </c>
      <c r="S295" s="1">
        <v>19</v>
      </c>
      <c r="T295" s="1">
        <v>17</v>
      </c>
      <c r="U295" s="1">
        <v>18</v>
      </c>
      <c r="V295" s="1">
        <v>16</v>
      </c>
      <c r="W295" s="1">
        <v>16</v>
      </c>
      <c r="X295" s="1">
        <v>12</v>
      </c>
      <c r="Y295" s="1">
        <v>6</v>
      </c>
    </row>
    <row r="296" spans="1:25" x14ac:dyDescent="0.3">
      <c r="A296" s="2">
        <v>42633</v>
      </c>
      <c r="B296" s="1">
        <v>4</v>
      </c>
      <c r="C296" s="1">
        <v>1</v>
      </c>
      <c r="D296" s="1">
        <v>10</v>
      </c>
      <c r="E296" s="1">
        <v>6</v>
      </c>
      <c r="F296" s="1">
        <v>3</v>
      </c>
      <c r="G296" s="1">
        <v>8</v>
      </c>
      <c r="H296" s="1">
        <v>13</v>
      </c>
      <c r="I296" s="1">
        <v>16</v>
      </c>
      <c r="J296" s="1">
        <v>18</v>
      </c>
      <c r="K296" s="1">
        <v>20</v>
      </c>
      <c r="L296" s="1">
        <v>31</v>
      </c>
      <c r="M296" s="1">
        <v>23</v>
      </c>
      <c r="N296" s="1">
        <v>13</v>
      </c>
      <c r="O296" s="1">
        <v>23</v>
      </c>
      <c r="P296" s="1">
        <v>23</v>
      </c>
      <c r="Q296" s="1">
        <v>18</v>
      </c>
      <c r="R296" s="1">
        <v>29</v>
      </c>
      <c r="S296" s="1">
        <v>33</v>
      </c>
      <c r="T296" s="1">
        <v>24</v>
      </c>
      <c r="U296" s="1">
        <v>15</v>
      </c>
      <c r="V296" s="1">
        <v>17</v>
      </c>
      <c r="W296" s="1">
        <v>16</v>
      </c>
      <c r="X296" s="1">
        <v>9</v>
      </c>
      <c r="Y296" s="1">
        <v>9</v>
      </c>
    </row>
    <row r="297" spans="1:25" x14ac:dyDescent="0.3">
      <c r="A297" s="2">
        <v>42634</v>
      </c>
      <c r="B297" s="1">
        <v>7</v>
      </c>
      <c r="C297" s="1">
        <v>3</v>
      </c>
      <c r="D297" s="1">
        <v>9</v>
      </c>
      <c r="E297" s="1">
        <v>6</v>
      </c>
      <c r="F297" s="1">
        <v>4</v>
      </c>
      <c r="G297" s="1">
        <v>8</v>
      </c>
      <c r="H297" s="1">
        <v>12</v>
      </c>
      <c r="I297" s="1">
        <v>17</v>
      </c>
      <c r="J297" s="1">
        <v>25</v>
      </c>
      <c r="K297" s="1">
        <v>24</v>
      </c>
      <c r="L297" s="1">
        <v>12</v>
      </c>
      <c r="M297" s="1">
        <v>21</v>
      </c>
      <c r="N297" s="1">
        <v>19</v>
      </c>
      <c r="O297" s="1">
        <v>18</v>
      </c>
      <c r="P297" s="1">
        <v>21</v>
      </c>
      <c r="Q297" s="1">
        <v>24</v>
      </c>
      <c r="R297" s="1">
        <v>24</v>
      </c>
      <c r="S297" s="1">
        <v>28</v>
      </c>
      <c r="T297" s="1">
        <v>17</v>
      </c>
      <c r="U297" s="1">
        <v>10</v>
      </c>
      <c r="V297" s="1">
        <v>13</v>
      </c>
      <c r="W297" s="1">
        <v>14</v>
      </c>
      <c r="X297" s="1">
        <v>5</v>
      </c>
      <c r="Y297" s="1">
        <v>8</v>
      </c>
    </row>
    <row r="298" spans="1:25" x14ac:dyDescent="0.3">
      <c r="A298" s="2">
        <v>42635</v>
      </c>
      <c r="B298" s="1">
        <v>6</v>
      </c>
      <c r="C298" s="1">
        <v>3</v>
      </c>
      <c r="D298" s="1">
        <v>3</v>
      </c>
      <c r="E298" s="1">
        <v>2</v>
      </c>
      <c r="F298" s="1">
        <v>6</v>
      </c>
      <c r="G298" s="1">
        <v>3</v>
      </c>
      <c r="H298" s="1">
        <v>7</v>
      </c>
      <c r="I298" s="1">
        <v>28</v>
      </c>
      <c r="J298" s="1">
        <v>29</v>
      </c>
      <c r="K298" s="1">
        <v>22</v>
      </c>
      <c r="L298" s="1">
        <v>22</v>
      </c>
      <c r="M298" s="1">
        <v>24</v>
      </c>
      <c r="N298" s="1">
        <v>24</v>
      </c>
      <c r="O298" s="1">
        <v>28</v>
      </c>
      <c r="P298" s="1">
        <v>40</v>
      </c>
      <c r="Q298" s="1">
        <v>21</v>
      </c>
      <c r="R298" s="1">
        <v>36</v>
      </c>
      <c r="S298" s="1">
        <v>36</v>
      </c>
      <c r="T298" s="1">
        <v>28</v>
      </c>
      <c r="U298" s="1">
        <v>25</v>
      </c>
      <c r="V298" s="1">
        <v>16</v>
      </c>
      <c r="W298" s="1">
        <v>16</v>
      </c>
      <c r="X298" s="1">
        <v>8</v>
      </c>
      <c r="Y298" s="1">
        <v>8</v>
      </c>
    </row>
    <row r="299" spans="1:25" x14ac:dyDescent="0.3">
      <c r="A299" s="2">
        <v>42636</v>
      </c>
      <c r="B299" s="1">
        <v>3</v>
      </c>
      <c r="C299" s="1">
        <v>9</v>
      </c>
      <c r="D299" s="1">
        <v>5</v>
      </c>
      <c r="E299" s="1">
        <v>10</v>
      </c>
      <c r="F299" s="1">
        <v>4</v>
      </c>
      <c r="G299" s="1">
        <v>6</v>
      </c>
      <c r="H299" s="1">
        <v>14</v>
      </c>
      <c r="I299" s="1">
        <v>20</v>
      </c>
      <c r="J299" s="1">
        <v>16</v>
      </c>
      <c r="K299" s="1">
        <v>25</v>
      </c>
      <c r="L299" s="1">
        <v>19</v>
      </c>
      <c r="M299" s="1">
        <v>25</v>
      </c>
      <c r="N299" s="1">
        <v>23</v>
      </c>
      <c r="O299" s="1">
        <v>30</v>
      </c>
      <c r="P299" s="1">
        <v>18</v>
      </c>
      <c r="Q299" s="1">
        <v>36</v>
      </c>
      <c r="R299" s="1">
        <v>21</v>
      </c>
      <c r="S299" s="1">
        <v>26</v>
      </c>
      <c r="T299" s="1">
        <v>22</v>
      </c>
      <c r="U299" s="1">
        <v>23</v>
      </c>
      <c r="V299" s="1">
        <v>13</v>
      </c>
      <c r="W299" s="1">
        <v>17</v>
      </c>
      <c r="X299" s="1">
        <v>10</v>
      </c>
      <c r="Y299" s="1">
        <v>5</v>
      </c>
    </row>
    <row r="300" spans="1:25" x14ac:dyDescent="0.3">
      <c r="A300" s="2">
        <v>42637</v>
      </c>
      <c r="B300" s="1">
        <v>16</v>
      </c>
      <c r="C300" s="1">
        <v>2</v>
      </c>
      <c r="D300" s="1">
        <v>5</v>
      </c>
      <c r="E300" s="1">
        <v>2</v>
      </c>
      <c r="F300" s="1">
        <v>9</v>
      </c>
      <c r="G300" s="1">
        <v>6</v>
      </c>
      <c r="H300" s="1">
        <v>2</v>
      </c>
      <c r="I300" s="1">
        <v>7</v>
      </c>
      <c r="J300" s="1">
        <v>10</v>
      </c>
      <c r="K300" s="1">
        <v>25</v>
      </c>
      <c r="L300" s="1">
        <v>24</v>
      </c>
      <c r="M300" s="1">
        <v>14</v>
      </c>
      <c r="N300" s="1">
        <v>15</v>
      </c>
      <c r="O300" s="1">
        <v>27</v>
      </c>
      <c r="P300" s="1">
        <v>17</v>
      </c>
      <c r="Q300" s="1">
        <v>29</v>
      </c>
      <c r="R300" s="1">
        <v>19</v>
      </c>
      <c r="S300" s="1">
        <v>14</v>
      </c>
      <c r="T300" s="1">
        <v>22</v>
      </c>
      <c r="U300" s="1">
        <v>24</v>
      </c>
      <c r="V300" s="1">
        <v>18</v>
      </c>
      <c r="W300" s="1">
        <v>19</v>
      </c>
      <c r="X300" s="1">
        <v>10</v>
      </c>
      <c r="Y300" s="1">
        <v>16</v>
      </c>
    </row>
    <row r="301" spans="1:25" x14ac:dyDescent="0.3">
      <c r="A301" s="2">
        <v>42638</v>
      </c>
      <c r="B301" s="1">
        <v>14</v>
      </c>
      <c r="C301" s="1">
        <v>15</v>
      </c>
      <c r="D301" s="1">
        <v>12</v>
      </c>
      <c r="E301" s="1">
        <v>7</v>
      </c>
      <c r="F301" s="1">
        <v>5</v>
      </c>
      <c r="G301" s="1">
        <v>4</v>
      </c>
      <c r="H301" s="1">
        <v>3</v>
      </c>
      <c r="I301" s="1">
        <v>10</v>
      </c>
      <c r="J301" s="1">
        <v>6</v>
      </c>
      <c r="K301" s="1">
        <v>12</v>
      </c>
      <c r="L301" s="1">
        <v>16</v>
      </c>
      <c r="M301" s="1">
        <v>13</v>
      </c>
      <c r="N301" s="1">
        <v>9</v>
      </c>
      <c r="O301" s="1">
        <v>19</v>
      </c>
      <c r="P301" s="1">
        <v>21</v>
      </c>
      <c r="Q301" s="1">
        <v>22</v>
      </c>
      <c r="R301" s="1">
        <v>30</v>
      </c>
      <c r="S301" s="1">
        <v>12</v>
      </c>
      <c r="T301" s="1">
        <v>16</v>
      </c>
      <c r="U301" s="1">
        <v>8</v>
      </c>
      <c r="V301" s="1">
        <v>18</v>
      </c>
      <c r="W301" s="1">
        <v>14</v>
      </c>
      <c r="X301" s="1">
        <v>14</v>
      </c>
      <c r="Y301" s="1">
        <v>11</v>
      </c>
    </row>
    <row r="302" spans="1:25" x14ac:dyDescent="0.3">
      <c r="A302" s="2">
        <v>42639</v>
      </c>
      <c r="B302" s="1">
        <v>10</v>
      </c>
      <c r="C302" s="1">
        <v>6</v>
      </c>
      <c r="D302" s="1">
        <v>1</v>
      </c>
      <c r="E302" s="1">
        <v>5</v>
      </c>
      <c r="F302" s="1">
        <v>3</v>
      </c>
      <c r="G302" s="1">
        <v>5</v>
      </c>
      <c r="H302" s="1">
        <v>6</v>
      </c>
      <c r="I302" s="1">
        <v>23</v>
      </c>
      <c r="J302" s="1">
        <v>24</v>
      </c>
      <c r="K302" s="1">
        <v>37</v>
      </c>
      <c r="L302" s="1">
        <v>15</v>
      </c>
      <c r="M302" s="1">
        <v>14</v>
      </c>
      <c r="N302" s="1">
        <v>21</v>
      </c>
      <c r="O302" s="1">
        <v>21</v>
      </c>
      <c r="P302" s="1">
        <v>21</v>
      </c>
      <c r="Q302" s="1">
        <v>17</v>
      </c>
      <c r="R302" s="1">
        <v>25</v>
      </c>
      <c r="S302" s="1">
        <v>25</v>
      </c>
      <c r="T302" s="1">
        <v>22</v>
      </c>
      <c r="U302" s="1">
        <v>20</v>
      </c>
      <c r="V302" s="1">
        <v>16</v>
      </c>
      <c r="W302" s="1">
        <v>9</v>
      </c>
      <c r="X302" s="1">
        <v>12</v>
      </c>
      <c r="Y302" s="1">
        <v>7</v>
      </c>
    </row>
    <row r="303" spans="1:25" x14ac:dyDescent="0.3">
      <c r="A303" s="2">
        <v>42640</v>
      </c>
      <c r="B303" s="1">
        <v>8</v>
      </c>
      <c r="C303" s="1">
        <v>7</v>
      </c>
      <c r="D303" s="1">
        <v>7</v>
      </c>
      <c r="E303" s="1">
        <v>4</v>
      </c>
      <c r="F303" s="1">
        <v>3</v>
      </c>
      <c r="G303" s="1">
        <v>5</v>
      </c>
      <c r="H303" s="1">
        <v>10</v>
      </c>
      <c r="I303" s="1">
        <v>23</v>
      </c>
      <c r="J303" s="1">
        <v>16</v>
      </c>
      <c r="K303" s="1">
        <v>32</v>
      </c>
      <c r="L303" s="1">
        <v>14</v>
      </c>
      <c r="M303" s="1">
        <v>17</v>
      </c>
      <c r="N303" s="1">
        <v>19</v>
      </c>
      <c r="O303" s="1">
        <v>14</v>
      </c>
      <c r="P303" s="1">
        <v>16</v>
      </c>
      <c r="Q303" s="1">
        <v>10</v>
      </c>
      <c r="R303" s="1">
        <v>32</v>
      </c>
      <c r="S303" s="1">
        <v>31</v>
      </c>
      <c r="T303" s="1">
        <v>21</v>
      </c>
      <c r="U303" s="1">
        <v>26</v>
      </c>
      <c r="V303" s="1">
        <v>17</v>
      </c>
      <c r="W303" s="1">
        <v>8</v>
      </c>
      <c r="X303" s="1">
        <v>6</v>
      </c>
      <c r="Y303" s="1">
        <v>9</v>
      </c>
    </row>
    <row r="304" spans="1:25" x14ac:dyDescent="0.3">
      <c r="A304" s="2">
        <v>42641</v>
      </c>
      <c r="B304" s="1">
        <v>8</v>
      </c>
      <c r="C304" s="1">
        <v>8</v>
      </c>
      <c r="D304" s="1">
        <v>2</v>
      </c>
      <c r="E304" s="1">
        <v>7</v>
      </c>
      <c r="F304" s="1">
        <v>5</v>
      </c>
      <c r="G304" s="1">
        <v>6</v>
      </c>
      <c r="H304" s="1">
        <v>7</v>
      </c>
      <c r="I304" s="1">
        <v>19</v>
      </c>
      <c r="J304" s="1">
        <v>22</v>
      </c>
      <c r="K304" s="1">
        <v>18</v>
      </c>
      <c r="L304" s="1">
        <v>24</v>
      </c>
      <c r="M304" s="1">
        <v>13</v>
      </c>
      <c r="N304" s="1">
        <v>27</v>
      </c>
      <c r="O304" s="1">
        <v>28</v>
      </c>
      <c r="P304" s="1">
        <v>31</v>
      </c>
      <c r="Q304" s="1">
        <v>19</v>
      </c>
      <c r="R304" s="1">
        <v>26</v>
      </c>
      <c r="S304" s="1">
        <v>15</v>
      </c>
      <c r="T304" s="1">
        <v>24</v>
      </c>
      <c r="U304" s="1">
        <v>28</v>
      </c>
      <c r="V304" s="1">
        <v>13</v>
      </c>
      <c r="W304" s="1">
        <v>7</v>
      </c>
      <c r="X304" s="1">
        <v>14</v>
      </c>
      <c r="Y304" s="1">
        <v>9</v>
      </c>
    </row>
    <row r="305" spans="1:25" x14ac:dyDescent="0.3">
      <c r="A305" s="2">
        <v>42642</v>
      </c>
      <c r="B305" s="1">
        <v>9</v>
      </c>
      <c r="C305" s="1">
        <v>7</v>
      </c>
      <c r="D305" s="1">
        <v>4</v>
      </c>
      <c r="E305" s="1">
        <v>6</v>
      </c>
      <c r="F305" s="1">
        <v>3</v>
      </c>
      <c r="G305" s="1">
        <v>7</v>
      </c>
      <c r="H305" s="1">
        <v>16</v>
      </c>
      <c r="I305" s="1">
        <v>43</v>
      </c>
      <c r="J305" s="1">
        <v>33</v>
      </c>
      <c r="K305" s="1">
        <v>32</v>
      </c>
      <c r="L305" s="1">
        <v>16</v>
      </c>
      <c r="M305" s="1">
        <v>17</v>
      </c>
      <c r="N305" s="1">
        <v>27</v>
      </c>
      <c r="O305" s="1">
        <v>23</v>
      </c>
      <c r="P305" s="1">
        <v>32</v>
      </c>
      <c r="Q305" s="1">
        <v>33</v>
      </c>
      <c r="R305" s="1">
        <v>27</v>
      </c>
      <c r="S305" s="1">
        <v>38</v>
      </c>
      <c r="T305" s="1">
        <v>28</v>
      </c>
      <c r="U305" s="1">
        <v>23</v>
      </c>
      <c r="V305" s="1">
        <v>23</v>
      </c>
      <c r="W305" s="1">
        <v>22</v>
      </c>
      <c r="X305" s="1">
        <v>26</v>
      </c>
      <c r="Y305" s="1">
        <v>8</v>
      </c>
    </row>
    <row r="306" spans="1:25" x14ac:dyDescent="0.3">
      <c r="A306" s="2">
        <v>42643</v>
      </c>
      <c r="B306" s="1">
        <v>6</v>
      </c>
      <c r="C306" s="1">
        <v>3</v>
      </c>
      <c r="D306" s="1">
        <v>12</v>
      </c>
      <c r="E306" s="1">
        <v>8</v>
      </c>
      <c r="F306" s="1">
        <v>5</v>
      </c>
      <c r="G306" s="1">
        <v>21</v>
      </c>
      <c r="H306" s="1">
        <v>29</v>
      </c>
      <c r="I306" s="1">
        <v>28</v>
      </c>
      <c r="J306" s="1">
        <v>43</v>
      </c>
      <c r="K306" s="1">
        <v>19</v>
      </c>
      <c r="L306" s="1">
        <v>15</v>
      </c>
      <c r="M306" s="1">
        <v>22</v>
      </c>
      <c r="N306" s="1">
        <v>26</v>
      </c>
      <c r="O306" s="1">
        <v>21</v>
      </c>
      <c r="P306" s="1">
        <v>19</v>
      </c>
      <c r="Q306" s="1">
        <v>28</v>
      </c>
      <c r="R306" s="1">
        <v>25</v>
      </c>
      <c r="S306" s="1">
        <v>40</v>
      </c>
      <c r="T306" s="1">
        <v>23</v>
      </c>
      <c r="U306" s="1">
        <v>28</v>
      </c>
      <c r="V306" s="1">
        <v>16</v>
      </c>
      <c r="W306" s="1">
        <v>12</v>
      </c>
      <c r="X306" s="1">
        <v>28</v>
      </c>
      <c r="Y306" s="1">
        <v>18</v>
      </c>
    </row>
    <row r="307" spans="1:25" x14ac:dyDescent="0.3">
      <c r="A307" s="2">
        <v>42644</v>
      </c>
      <c r="B307" s="1">
        <v>9</v>
      </c>
      <c r="C307" s="1">
        <v>4</v>
      </c>
      <c r="D307" s="1">
        <v>8</v>
      </c>
      <c r="E307" s="1">
        <v>4</v>
      </c>
      <c r="F307" s="1">
        <v>6</v>
      </c>
      <c r="G307" s="1">
        <v>4</v>
      </c>
      <c r="H307" s="1">
        <v>7</v>
      </c>
      <c r="I307" s="1">
        <v>6</v>
      </c>
      <c r="J307" s="1">
        <v>22</v>
      </c>
      <c r="K307" s="1">
        <v>12</v>
      </c>
      <c r="L307" s="1">
        <v>26</v>
      </c>
      <c r="M307" s="1">
        <v>21</v>
      </c>
      <c r="N307" s="1">
        <v>17</v>
      </c>
      <c r="O307" s="1">
        <v>21</v>
      </c>
      <c r="P307" s="1">
        <v>23</v>
      </c>
      <c r="Q307" s="1">
        <v>18</v>
      </c>
      <c r="R307" s="1">
        <v>15</v>
      </c>
      <c r="S307" s="1">
        <v>15</v>
      </c>
      <c r="T307" s="1">
        <v>12</v>
      </c>
      <c r="U307" s="1">
        <v>19</v>
      </c>
      <c r="V307" s="1">
        <v>21</v>
      </c>
      <c r="W307" s="1">
        <v>13</v>
      </c>
      <c r="X307" s="1">
        <v>24</v>
      </c>
      <c r="Y307" s="1">
        <v>14</v>
      </c>
    </row>
    <row r="308" spans="1:25" x14ac:dyDescent="0.3">
      <c r="A308" s="2">
        <v>42645</v>
      </c>
      <c r="B308" s="1">
        <v>12</v>
      </c>
      <c r="C308" s="1">
        <v>9</v>
      </c>
      <c r="D308" s="1">
        <v>8</v>
      </c>
      <c r="E308" s="1">
        <v>5</v>
      </c>
      <c r="F308" s="1">
        <v>5</v>
      </c>
      <c r="G308" s="1">
        <v>5</v>
      </c>
      <c r="H308" s="1">
        <v>8</v>
      </c>
      <c r="I308" s="1">
        <v>11</v>
      </c>
      <c r="J308" s="1">
        <v>12</v>
      </c>
      <c r="K308" s="1">
        <v>18</v>
      </c>
      <c r="L308" s="1">
        <v>19</v>
      </c>
      <c r="M308" s="1">
        <v>21</v>
      </c>
      <c r="N308" s="1">
        <v>19</v>
      </c>
      <c r="O308" s="1">
        <v>13</v>
      </c>
      <c r="P308" s="1">
        <v>16</v>
      </c>
      <c r="Q308" s="1">
        <v>22</v>
      </c>
      <c r="R308" s="1">
        <v>20</v>
      </c>
      <c r="S308" s="1">
        <v>13</v>
      </c>
      <c r="T308" s="1">
        <v>17</v>
      </c>
      <c r="U308" s="1">
        <v>17</v>
      </c>
      <c r="V308" s="1">
        <v>17</v>
      </c>
      <c r="W308" s="1">
        <v>9</v>
      </c>
      <c r="X308" s="1">
        <v>12</v>
      </c>
      <c r="Y308" s="1">
        <v>9</v>
      </c>
    </row>
    <row r="309" spans="1:25" x14ac:dyDescent="0.3">
      <c r="A309" s="2">
        <v>42646</v>
      </c>
      <c r="B309" s="1">
        <v>7</v>
      </c>
      <c r="C309" s="1">
        <v>6</v>
      </c>
      <c r="D309" s="1">
        <v>4</v>
      </c>
      <c r="E309" s="1">
        <v>1</v>
      </c>
      <c r="F309" s="1">
        <v>6</v>
      </c>
      <c r="G309" s="1">
        <v>5</v>
      </c>
      <c r="H309" s="1">
        <v>5</v>
      </c>
      <c r="I309" s="1">
        <v>16</v>
      </c>
      <c r="J309" s="1">
        <v>29</v>
      </c>
      <c r="K309" s="1">
        <v>24</v>
      </c>
      <c r="L309" s="1">
        <v>25</v>
      </c>
      <c r="M309" s="1">
        <v>26</v>
      </c>
      <c r="N309" s="1">
        <v>21</v>
      </c>
      <c r="O309" s="1">
        <v>21</v>
      </c>
      <c r="P309" s="1">
        <v>20</v>
      </c>
      <c r="Q309" s="1">
        <v>27</v>
      </c>
      <c r="R309" s="1">
        <v>27</v>
      </c>
      <c r="S309" s="1">
        <v>31</v>
      </c>
      <c r="T309" s="1">
        <v>22</v>
      </c>
      <c r="U309" s="1">
        <v>13</v>
      </c>
      <c r="V309" s="1">
        <v>23</v>
      </c>
      <c r="W309" s="1">
        <v>8</v>
      </c>
      <c r="X309" s="1">
        <v>1</v>
      </c>
      <c r="Y309" s="1">
        <v>8</v>
      </c>
    </row>
    <row r="310" spans="1:25" x14ac:dyDescent="0.3">
      <c r="A310" s="2">
        <v>42647</v>
      </c>
      <c r="B310" s="1">
        <v>5</v>
      </c>
      <c r="C310" s="1">
        <v>4</v>
      </c>
      <c r="D310" s="1">
        <v>9</v>
      </c>
      <c r="E310" s="1">
        <v>8</v>
      </c>
      <c r="F310" s="1">
        <v>9</v>
      </c>
      <c r="G310" s="1">
        <v>3</v>
      </c>
      <c r="H310" s="1">
        <v>8</v>
      </c>
      <c r="I310" s="1">
        <v>8</v>
      </c>
      <c r="J310" s="1">
        <v>10</v>
      </c>
      <c r="K310" s="1">
        <v>28</v>
      </c>
      <c r="L310" s="1">
        <v>19</v>
      </c>
      <c r="M310" s="1">
        <v>16</v>
      </c>
      <c r="N310" s="1">
        <v>30</v>
      </c>
      <c r="O310" s="1">
        <v>27</v>
      </c>
      <c r="P310" s="1">
        <v>19</v>
      </c>
      <c r="Q310" s="1">
        <v>19</v>
      </c>
      <c r="R310" s="1">
        <v>20</v>
      </c>
      <c r="S310" s="1">
        <v>19</v>
      </c>
      <c r="T310" s="1">
        <v>18</v>
      </c>
      <c r="U310" s="1">
        <v>19</v>
      </c>
      <c r="V310" s="1">
        <v>9</v>
      </c>
      <c r="W310" s="1">
        <v>16</v>
      </c>
      <c r="X310" s="1">
        <v>9</v>
      </c>
      <c r="Y310" s="1">
        <v>9</v>
      </c>
    </row>
    <row r="311" spans="1:25" x14ac:dyDescent="0.3">
      <c r="A311" s="2">
        <v>42648</v>
      </c>
      <c r="B311" s="1">
        <v>5</v>
      </c>
      <c r="C311" s="1">
        <v>7</v>
      </c>
      <c r="D311" s="1">
        <v>7</v>
      </c>
      <c r="E311" s="1">
        <v>7</v>
      </c>
      <c r="F311" s="1">
        <v>9</v>
      </c>
      <c r="G311" s="1">
        <v>7</v>
      </c>
      <c r="H311" s="1">
        <v>6</v>
      </c>
      <c r="I311" s="1">
        <v>27</v>
      </c>
      <c r="J311" s="1">
        <v>26</v>
      </c>
      <c r="K311" s="1">
        <v>28</v>
      </c>
      <c r="L311" s="1">
        <v>31</v>
      </c>
      <c r="M311" s="1">
        <v>22</v>
      </c>
      <c r="N311" s="1">
        <v>24</v>
      </c>
      <c r="O311" s="1">
        <v>27</v>
      </c>
      <c r="P311" s="1">
        <v>24</v>
      </c>
      <c r="Q311" s="1">
        <v>26</v>
      </c>
      <c r="R311" s="1">
        <v>35</v>
      </c>
      <c r="S311" s="1">
        <v>33</v>
      </c>
      <c r="T311" s="1">
        <v>25</v>
      </c>
      <c r="U311" s="1">
        <v>24</v>
      </c>
      <c r="V311" s="1">
        <v>11</v>
      </c>
      <c r="W311" s="1">
        <v>12</v>
      </c>
      <c r="X311" s="1">
        <v>13</v>
      </c>
      <c r="Y311" s="1">
        <v>9</v>
      </c>
    </row>
    <row r="312" spans="1:25" x14ac:dyDescent="0.3">
      <c r="A312" s="2">
        <v>42649</v>
      </c>
      <c r="B312" s="1">
        <v>0</v>
      </c>
      <c r="C312" s="1">
        <v>4</v>
      </c>
      <c r="D312" s="1">
        <v>5</v>
      </c>
      <c r="E312" s="1">
        <v>6</v>
      </c>
      <c r="F312" s="1">
        <v>8</v>
      </c>
      <c r="G312" s="1">
        <v>12</v>
      </c>
      <c r="H312" s="1">
        <v>10</v>
      </c>
      <c r="I312" s="1">
        <v>28</v>
      </c>
      <c r="J312" s="1">
        <v>30</v>
      </c>
      <c r="K312" s="1">
        <v>23</v>
      </c>
      <c r="L312" s="1">
        <v>25</v>
      </c>
      <c r="M312" s="1">
        <v>14</v>
      </c>
      <c r="N312" s="1">
        <v>31</v>
      </c>
      <c r="O312" s="1">
        <v>29</v>
      </c>
      <c r="P312" s="1">
        <v>17</v>
      </c>
      <c r="Q312" s="1">
        <v>34</v>
      </c>
      <c r="R312" s="1">
        <v>33</v>
      </c>
      <c r="S312" s="1">
        <v>27</v>
      </c>
      <c r="T312" s="1">
        <v>22</v>
      </c>
      <c r="U312" s="1">
        <v>32</v>
      </c>
      <c r="V312" s="1">
        <v>16</v>
      </c>
      <c r="W312" s="1">
        <v>17</v>
      </c>
      <c r="X312" s="1">
        <v>6</v>
      </c>
      <c r="Y312" s="1">
        <v>8</v>
      </c>
    </row>
    <row r="313" spans="1:25" x14ac:dyDescent="0.3">
      <c r="A313" s="2">
        <v>42650</v>
      </c>
      <c r="B313" s="1">
        <v>1</v>
      </c>
      <c r="C313" s="1">
        <v>12</v>
      </c>
      <c r="D313" s="1">
        <v>10</v>
      </c>
      <c r="E313" s="1">
        <v>4</v>
      </c>
      <c r="F313" s="1">
        <v>6</v>
      </c>
      <c r="G313" s="1">
        <v>11</v>
      </c>
      <c r="H313" s="1">
        <v>15</v>
      </c>
      <c r="I313" s="1">
        <v>17</v>
      </c>
      <c r="J313" s="1">
        <v>15</v>
      </c>
      <c r="K313" s="1">
        <v>26</v>
      </c>
      <c r="L313" s="1">
        <v>12</v>
      </c>
      <c r="M313" s="1">
        <v>25</v>
      </c>
      <c r="N313" s="1">
        <v>29</v>
      </c>
      <c r="O313" s="1">
        <v>35</v>
      </c>
      <c r="P313" s="1">
        <v>25</v>
      </c>
      <c r="Q313" s="1">
        <v>40</v>
      </c>
      <c r="R313" s="1">
        <v>38</v>
      </c>
      <c r="S313" s="1">
        <v>35</v>
      </c>
      <c r="T313" s="1">
        <v>25</v>
      </c>
      <c r="U313" s="1">
        <v>27</v>
      </c>
      <c r="V313" s="1">
        <v>25</v>
      </c>
      <c r="W313" s="1">
        <v>12</v>
      </c>
      <c r="X313" s="1">
        <v>8</v>
      </c>
      <c r="Y313" s="1">
        <v>22</v>
      </c>
    </row>
    <row r="314" spans="1:25" x14ac:dyDescent="0.3">
      <c r="A314" s="2">
        <v>42651</v>
      </c>
      <c r="B314" s="1">
        <v>8</v>
      </c>
      <c r="C314" s="1">
        <v>9</v>
      </c>
      <c r="D314" s="1">
        <v>4</v>
      </c>
      <c r="E314" s="1">
        <v>7</v>
      </c>
      <c r="F314" s="1">
        <v>12</v>
      </c>
      <c r="G314" s="1">
        <v>11</v>
      </c>
      <c r="H314" s="1">
        <v>6</v>
      </c>
      <c r="I314" s="1">
        <v>10</v>
      </c>
      <c r="J314" s="1">
        <v>9</v>
      </c>
      <c r="K314" s="1">
        <v>18</v>
      </c>
      <c r="L314" s="1">
        <v>15</v>
      </c>
      <c r="M314" s="1">
        <v>19</v>
      </c>
      <c r="N314" s="1">
        <v>21</v>
      </c>
      <c r="O314" s="1">
        <v>13</v>
      </c>
      <c r="P314" s="1">
        <v>20</v>
      </c>
      <c r="Q314" s="1">
        <v>29</v>
      </c>
      <c r="R314" s="1">
        <v>21</v>
      </c>
      <c r="S314" s="1">
        <v>29</v>
      </c>
      <c r="T314" s="1">
        <v>18</v>
      </c>
      <c r="U314" s="1">
        <v>14</v>
      </c>
      <c r="V314" s="1">
        <v>20</v>
      </c>
      <c r="W314" s="1">
        <v>13</v>
      </c>
      <c r="X314" s="1">
        <v>7</v>
      </c>
      <c r="Y314" s="1">
        <v>21</v>
      </c>
    </row>
    <row r="315" spans="1:25" x14ac:dyDescent="0.3">
      <c r="A315" s="2">
        <v>42652</v>
      </c>
      <c r="B315" s="1">
        <v>10</v>
      </c>
      <c r="C315" s="1">
        <v>4</v>
      </c>
      <c r="D315" s="1">
        <v>6</v>
      </c>
      <c r="E315" s="1">
        <v>6</v>
      </c>
      <c r="F315" s="1">
        <v>8</v>
      </c>
      <c r="G315" s="1">
        <v>5</v>
      </c>
      <c r="H315" s="1">
        <v>3</v>
      </c>
      <c r="I315" s="1">
        <v>6</v>
      </c>
      <c r="J315" s="1">
        <v>16</v>
      </c>
      <c r="K315" s="1">
        <v>14</v>
      </c>
      <c r="L315" s="1">
        <v>17</v>
      </c>
      <c r="M315" s="1">
        <v>25</v>
      </c>
      <c r="N315" s="1">
        <v>19</v>
      </c>
      <c r="O315" s="1">
        <v>15</v>
      </c>
      <c r="P315" s="1">
        <v>31</v>
      </c>
      <c r="Q315" s="1">
        <v>31</v>
      </c>
      <c r="R315" s="1">
        <v>30</v>
      </c>
      <c r="S315" s="1">
        <v>26</v>
      </c>
      <c r="T315" s="1">
        <v>27</v>
      </c>
      <c r="U315" s="1">
        <v>19</v>
      </c>
      <c r="V315" s="1">
        <v>20</v>
      </c>
      <c r="W315" s="1">
        <v>17</v>
      </c>
      <c r="X315" s="1">
        <v>7</v>
      </c>
      <c r="Y315" s="1">
        <v>11</v>
      </c>
    </row>
    <row r="316" spans="1:25" x14ac:dyDescent="0.3">
      <c r="A316" s="2">
        <v>42653</v>
      </c>
      <c r="B316" s="1">
        <v>5</v>
      </c>
      <c r="C316" s="1">
        <v>5</v>
      </c>
      <c r="D316" s="1">
        <v>9</v>
      </c>
      <c r="E316" s="1">
        <v>4</v>
      </c>
      <c r="F316" s="1">
        <v>5</v>
      </c>
      <c r="G316" s="1">
        <v>4</v>
      </c>
      <c r="H316" s="1">
        <v>3</v>
      </c>
      <c r="I316" s="1">
        <v>16</v>
      </c>
      <c r="J316" s="1">
        <v>14</v>
      </c>
      <c r="K316" s="1">
        <v>20</v>
      </c>
      <c r="L316" s="1">
        <v>30</v>
      </c>
      <c r="M316" s="1">
        <v>23</v>
      </c>
      <c r="N316" s="1">
        <v>22</v>
      </c>
      <c r="O316" s="1">
        <v>20</v>
      </c>
      <c r="P316" s="1">
        <v>23</v>
      </c>
      <c r="Q316" s="1">
        <v>19</v>
      </c>
      <c r="R316" s="1">
        <v>31</v>
      </c>
      <c r="S316" s="1">
        <v>23</v>
      </c>
      <c r="T316" s="1">
        <v>23</v>
      </c>
      <c r="U316" s="1">
        <v>21</v>
      </c>
      <c r="V316" s="1">
        <v>26</v>
      </c>
      <c r="W316" s="1">
        <v>17</v>
      </c>
      <c r="X316" s="1">
        <v>13</v>
      </c>
      <c r="Y316" s="1">
        <v>12</v>
      </c>
    </row>
    <row r="317" spans="1:25" x14ac:dyDescent="0.3">
      <c r="A317" s="2">
        <v>42654</v>
      </c>
      <c r="B317" s="1">
        <v>7</v>
      </c>
      <c r="C317" s="1">
        <v>5</v>
      </c>
      <c r="D317" s="1">
        <v>5</v>
      </c>
      <c r="E317" s="1">
        <v>7</v>
      </c>
      <c r="F317" s="1">
        <v>3</v>
      </c>
      <c r="G317" s="1">
        <v>3</v>
      </c>
      <c r="H317" s="1">
        <v>10</v>
      </c>
      <c r="I317" s="1">
        <v>22</v>
      </c>
      <c r="J317" s="1">
        <v>20</v>
      </c>
      <c r="K317" s="1">
        <v>23</v>
      </c>
      <c r="L317" s="1">
        <v>33</v>
      </c>
      <c r="M317" s="1">
        <v>24</v>
      </c>
      <c r="N317" s="1">
        <v>19</v>
      </c>
      <c r="O317" s="1">
        <v>28</v>
      </c>
      <c r="P317" s="1">
        <v>22</v>
      </c>
      <c r="Q317" s="1">
        <v>23</v>
      </c>
      <c r="R317" s="1">
        <v>23</v>
      </c>
      <c r="S317" s="1">
        <v>33</v>
      </c>
      <c r="T317" s="1">
        <v>34</v>
      </c>
      <c r="U317" s="1">
        <v>23</v>
      </c>
      <c r="V317" s="1">
        <v>16</v>
      </c>
      <c r="W317" s="1">
        <v>17</v>
      </c>
      <c r="X317" s="1">
        <v>11</v>
      </c>
      <c r="Y317" s="1">
        <v>7</v>
      </c>
    </row>
    <row r="318" spans="1:25" x14ac:dyDescent="0.3">
      <c r="A318" s="2">
        <v>42655</v>
      </c>
      <c r="B318" s="1">
        <v>4</v>
      </c>
      <c r="C318" s="1">
        <v>6</v>
      </c>
      <c r="D318" s="1">
        <v>8</v>
      </c>
      <c r="E318" s="1">
        <v>1</v>
      </c>
      <c r="F318" s="1">
        <v>5</v>
      </c>
      <c r="G318" s="1">
        <v>9</v>
      </c>
      <c r="H318" s="1">
        <v>6</v>
      </c>
      <c r="I318" s="1">
        <v>18</v>
      </c>
      <c r="J318" s="1">
        <v>15</v>
      </c>
      <c r="K318" s="1">
        <v>16</v>
      </c>
      <c r="L318" s="1">
        <v>22</v>
      </c>
      <c r="M318" s="1">
        <v>23</v>
      </c>
      <c r="N318" s="1">
        <v>22</v>
      </c>
      <c r="O318" s="1">
        <v>32</v>
      </c>
      <c r="P318" s="1">
        <v>27</v>
      </c>
      <c r="Q318" s="1">
        <v>33</v>
      </c>
      <c r="R318" s="1">
        <v>31</v>
      </c>
      <c r="S318" s="1">
        <v>33</v>
      </c>
      <c r="T318" s="1">
        <v>30</v>
      </c>
      <c r="U318" s="1">
        <v>34</v>
      </c>
      <c r="V318" s="1">
        <v>9</v>
      </c>
      <c r="W318" s="1">
        <v>12</v>
      </c>
      <c r="X318" s="1">
        <v>7</v>
      </c>
      <c r="Y318" s="1">
        <v>10</v>
      </c>
    </row>
    <row r="319" spans="1:25" x14ac:dyDescent="0.3">
      <c r="A319" s="2">
        <v>42656</v>
      </c>
      <c r="B319" s="1">
        <v>7</v>
      </c>
      <c r="C319" s="1">
        <v>4</v>
      </c>
      <c r="D319" s="1">
        <v>6</v>
      </c>
      <c r="E319" s="1">
        <v>4</v>
      </c>
      <c r="F319" s="1">
        <v>12</v>
      </c>
      <c r="G319" s="1">
        <v>7</v>
      </c>
      <c r="H319" s="1">
        <v>13</v>
      </c>
      <c r="I319" s="1">
        <v>33</v>
      </c>
      <c r="J319" s="1">
        <v>31</v>
      </c>
      <c r="K319" s="1">
        <v>22</v>
      </c>
      <c r="L319" s="1">
        <v>18</v>
      </c>
      <c r="M319" s="1">
        <v>23</v>
      </c>
      <c r="N319" s="1">
        <v>19</v>
      </c>
      <c r="O319" s="1">
        <v>12</v>
      </c>
      <c r="P319" s="1">
        <v>29</v>
      </c>
      <c r="Q319" s="1">
        <v>33</v>
      </c>
      <c r="R319" s="1">
        <v>16</v>
      </c>
      <c r="S319" s="1">
        <v>25</v>
      </c>
      <c r="T319" s="1">
        <v>17</v>
      </c>
      <c r="U319" s="1">
        <v>17</v>
      </c>
      <c r="V319" s="1">
        <v>16</v>
      </c>
      <c r="W319" s="1">
        <v>12</v>
      </c>
      <c r="X319" s="1">
        <v>12</v>
      </c>
      <c r="Y319" s="1">
        <v>8</v>
      </c>
    </row>
    <row r="320" spans="1:25" x14ac:dyDescent="0.3">
      <c r="A320" s="2">
        <v>42657</v>
      </c>
      <c r="B320" s="1">
        <v>5</v>
      </c>
      <c r="C320" s="1">
        <v>5</v>
      </c>
      <c r="D320" s="1">
        <v>8</v>
      </c>
      <c r="E320" s="1">
        <v>3</v>
      </c>
      <c r="F320" s="1">
        <v>3</v>
      </c>
      <c r="G320" s="1">
        <v>5</v>
      </c>
      <c r="H320" s="1">
        <v>15</v>
      </c>
      <c r="I320" s="1">
        <v>16</v>
      </c>
      <c r="J320" s="1">
        <v>18</v>
      </c>
      <c r="K320" s="1">
        <v>31</v>
      </c>
      <c r="L320" s="1">
        <v>16</v>
      </c>
      <c r="M320" s="1">
        <v>26</v>
      </c>
      <c r="N320" s="1">
        <v>31</v>
      </c>
      <c r="O320" s="1">
        <v>24</v>
      </c>
      <c r="P320" s="1">
        <v>27</v>
      </c>
      <c r="Q320" s="1">
        <v>28</v>
      </c>
      <c r="R320" s="1">
        <v>26</v>
      </c>
      <c r="S320" s="1">
        <v>32</v>
      </c>
      <c r="T320" s="1">
        <v>24</v>
      </c>
      <c r="U320" s="1">
        <v>25</v>
      </c>
      <c r="V320" s="1">
        <v>12</v>
      </c>
      <c r="W320" s="1">
        <v>19</v>
      </c>
      <c r="X320" s="1">
        <v>16</v>
      </c>
      <c r="Y320" s="1">
        <v>17</v>
      </c>
    </row>
    <row r="321" spans="1:25" x14ac:dyDescent="0.3">
      <c r="A321" s="2">
        <v>42658</v>
      </c>
      <c r="B321" s="1">
        <v>9</v>
      </c>
      <c r="C321" s="1">
        <v>7</v>
      </c>
      <c r="D321" s="1">
        <v>15</v>
      </c>
      <c r="E321" s="1">
        <v>6</v>
      </c>
      <c r="F321" s="1">
        <v>3</v>
      </c>
      <c r="G321" s="1">
        <v>6</v>
      </c>
      <c r="H321" s="1">
        <v>5</v>
      </c>
      <c r="I321" s="1">
        <v>7</v>
      </c>
      <c r="J321" s="1">
        <v>8</v>
      </c>
      <c r="K321" s="1">
        <v>16</v>
      </c>
      <c r="L321" s="1">
        <v>26</v>
      </c>
      <c r="M321" s="1">
        <v>22</v>
      </c>
      <c r="N321" s="1">
        <v>20</v>
      </c>
      <c r="O321" s="1">
        <v>26</v>
      </c>
      <c r="P321" s="1">
        <v>24</v>
      </c>
      <c r="Q321" s="1">
        <v>23</v>
      </c>
      <c r="R321" s="1">
        <v>26</v>
      </c>
      <c r="S321" s="1">
        <v>23</v>
      </c>
      <c r="T321" s="1">
        <v>21</v>
      </c>
      <c r="U321" s="1">
        <v>24</v>
      </c>
      <c r="V321" s="1">
        <v>17</v>
      </c>
      <c r="W321" s="1">
        <v>17</v>
      </c>
      <c r="X321" s="1">
        <v>13</v>
      </c>
      <c r="Y321" s="1">
        <v>21</v>
      </c>
    </row>
    <row r="322" spans="1:25" x14ac:dyDescent="0.3">
      <c r="A322" s="2">
        <v>42659</v>
      </c>
      <c r="B322" s="1">
        <v>5</v>
      </c>
      <c r="C322" s="1">
        <v>13</v>
      </c>
      <c r="D322" s="1">
        <v>12</v>
      </c>
      <c r="E322" s="1">
        <v>8</v>
      </c>
      <c r="F322" s="1">
        <v>9</v>
      </c>
      <c r="G322" s="1">
        <v>7</v>
      </c>
      <c r="H322" s="1">
        <v>5</v>
      </c>
      <c r="I322" s="1">
        <v>12</v>
      </c>
      <c r="J322" s="1">
        <v>13</v>
      </c>
      <c r="K322" s="1">
        <v>14</v>
      </c>
      <c r="L322" s="1">
        <v>16</v>
      </c>
      <c r="M322" s="1">
        <v>15</v>
      </c>
      <c r="N322" s="1">
        <v>13</v>
      </c>
      <c r="O322" s="1">
        <v>18</v>
      </c>
      <c r="P322" s="1">
        <v>17</v>
      </c>
      <c r="Q322" s="1">
        <v>22</v>
      </c>
      <c r="R322" s="1">
        <v>21</v>
      </c>
      <c r="S322" s="1">
        <v>18</v>
      </c>
      <c r="T322" s="1">
        <v>20</v>
      </c>
      <c r="U322" s="1">
        <v>17</v>
      </c>
      <c r="V322" s="1">
        <v>11</v>
      </c>
      <c r="W322" s="1">
        <v>11</v>
      </c>
      <c r="X322" s="1">
        <v>5</v>
      </c>
      <c r="Y322" s="1">
        <v>6</v>
      </c>
    </row>
    <row r="323" spans="1:25" x14ac:dyDescent="0.3">
      <c r="A323" s="2">
        <v>42660</v>
      </c>
      <c r="B323" s="1">
        <v>10</v>
      </c>
      <c r="C323" s="1">
        <v>5</v>
      </c>
      <c r="D323" s="1">
        <v>7</v>
      </c>
      <c r="E323" s="1">
        <v>13</v>
      </c>
      <c r="F323" s="1">
        <v>3</v>
      </c>
      <c r="G323" s="1">
        <v>6</v>
      </c>
      <c r="H323" s="1">
        <v>17</v>
      </c>
      <c r="I323" s="1">
        <v>13</v>
      </c>
      <c r="J323" s="1">
        <v>31</v>
      </c>
      <c r="K323" s="1">
        <v>27</v>
      </c>
      <c r="L323" s="1">
        <v>20</v>
      </c>
      <c r="M323" s="1">
        <v>28</v>
      </c>
      <c r="N323" s="1">
        <v>25</v>
      </c>
      <c r="O323" s="1">
        <v>22</v>
      </c>
      <c r="P323" s="1">
        <v>29</v>
      </c>
      <c r="Q323" s="1">
        <v>31</v>
      </c>
      <c r="R323" s="1">
        <v>29</v>
      </c>
      <c r="S323" s="1">
        <v>36</v>
      </c>
      <c r="T323" s="1">
        <v>29</v>
      </c>
      <c r="U323" s="1">
        <v>17</v>
      </c>
      <c r="V323" s="1">
        <v>18</v>
      </c>
      <c r="W323" s="1">
        <v>17</v>
      </c>
      <c r="X323" s="1">
        <v>9</v>
      </c>
      <c r="Y323" s="1">
        <v>9</v>
      </c>
    </row>
    <row r="324" spans="1:25" x14ac:dyDescent="0.3">
      <c r="A324" s="2">
        <v>42661</v>
      </c>
      <c r="B324" s="1">
        <v>8</v>
      </c>
      <c r="C324" s="1">
        <v>9</v>
      </c>
      <c r="D324" s="1">
        <v>6</v>
      </c>
      <c r="E324" s="1">
        <v>6</v>
      </c>
      <c r="F324" s="1">
        <v>5</v>
      </c>
      <c r="G324" s="1">
        <v>5</v>
      </c>
      <c r="H324" s="1">
        <v>9</v>
      </c>
      <c r="I324" s="1">
        <v>18</v>
      </c>
      <c r="J324" s="1">
        <v>26</v>
      </c>
      <c r="K324" s="1">
        <v>22</v>
      </c>
      <c r="L324" s="1">
        <v>28</v>
      </c>
      <c r="M324" s="1">
        <v>23</v>
      </c>
      <c r="N324" s="1">
        <v>31</v>
      </c>
      <c r="O324" s="1">
        <v>27</v>
      </c>
      <c r="P324" s="1">
        <v>22</v>
      </c>
      <c r="Q324" s="1">
        <v>29</v>
      </c>
      <c r="R324" s="1">
        <v>26</v>
      </c>
      <c r="S324" s="1">
        <v>25</v>
      </c>
      <c r="T324" s="1">
        <v>25</v>
      </c>
      <c r="U324" s="1">
        <v>19</v>
      </c>
      <c r="V324" s="1">
        <v>15</v>
      </c>
      <c r="W324" s="1">
        <v>16</v>
      </c>
      <c r="X324" s="1">
        <v>11</v>
      </c>
      <c r="Y324" s="1">
        <v>12</v>
      </c>
    </row>
    <row r="325" spans="1:25" x14ac:dyDescent="0.3">
      <c r="A325" s="2">
        <v>42662</v>
      </c>
      <c r="B325" s="1">
        <v>10</v>
      </c>
      <c r="C325" s="1">
        <v>3</v>
      </c>
      <c r="D325" s="1">
        <v>4</v>
      </c>
      <c r="E325" s="1">
        <v>4</v>
      </c>
      <c r="F325" s="1">
        <v>10</v>
      </c>
      <c r="G325" s="1">
        <v>4</v>
      </c>
      <c r="H325" s="1">
        <v>13</v>
      </c>
      <c r="I325" s="1">
        <v>8</v>
      </c>
      <c r="J325" s="1">
        <v>29</v>
      </c>
      <c r="K325" s="1">
        <v>30</v>
      </c>
      <c r="L325" s="1">
        <v>24</v>
      </c>
      <c r="M325" s="1">
        <v>25</v>
      </c>
      <c r="N325" s="1">
        <v>25</v>
      </c>
      <c r="O325" s="1">
        <v>21</v>
      </c>
      <c r="P325" s="1">
        <v>33</v>
      </c>
      <c r="Q325" s="1">
        <v>28</v>
      </c>
      <c r="R325" s="1">
        <v>34</v>
      </c>
      <c r="S325" s="1">
        <v>32</v>
      </c>
      <c r="T325" s="1">
        <v>40</v>
      </c>
      <c r="U325" s="1">
        <v>21</v>
      </c>
      <c r="V325" s="1">
        <v>12</v>
      </c>
      <c r="W325" s="1">
        <v>23</v>
      </c>
      <c r="X325" s="1">
        <v>14</v>
      </c>
      <c r="Y325" s="1">
        <v>9</v>
      </c>
    </row>
    <row r="326" spans="1:25" x14ac:dyDescent="0.3">
      <c r="A326" s="2">
        <v>42663</v>
      </c>
      <c r="B326" s="1">
        <v>6</v>
      </c>
      <c r="C326" s="1">
        <v>6</v>
      </c>
      <c r="D326" s="1">
        <v>4</v>
      </c>
      <c r="E326" s="1">
        <v>5</v>
      </c>
      <c r="F326" s="1">
        <v>6</v>
      </c>
      <c r="G326" s="1">
        <v>2</v>
      </c>
      <c r="H326" s="1">
        <v>15</v>
      </c>
      <c r="I326" s="1">
        <v>17</v>
      </c>
      <c r="J326" s="1">
        <v>14</v>
      </c>
      <c r="K326" s="1">
        <v>31</v>
      </c>
      <c r="L326" s="1">
        <v>27</v>
      </c>
      <c r="M326" s="1">
        <v>24</v>
      </c>
      <c r="N326" s="1">
        <v>23</v>
      </c>
      <c r="O326" s="1">
        <v>15</v>
      </c>
      <c r="P326" s="1">
        <v>21</v>
      </c>
      <c r="Q326" s="1">
        <v>35</v>
      </c>
      <c r="R326" s="1">
        <v>22</v>
      </c>
      <c r="S326" s="1">
        <v>21</v>
      </c>
      <c r="T326" s="1">
        <v>27</v>
      </c>
      <c r="U326" s="1">
        <v>22</v>
      </c>
      <c r="V326" s="1">
        <v>11</v>
      </c>
      <c r="W326" s="1">
        <v>7</v>
      </c>
      <c r="X326" s="1">
        <v>19</v>
      </c>
      <c r="Y326" s="1">
        <v>9</v>
      </c>
    </row>
    <row r="327" spans="1:25" x14ac:dyDescent="0.3">
      <c r="A327" s="2">
        <v>42664</v>
      </c>
      <c r="B327" s="1">
        <v>6</v>
      </c>
      <c r="C327" s="1">
        <v>4</v>
      </c>
      <c r="D327" s="1">
        <v>4</v>
      </c>
      <c r="E327" s="1">
        <v>13</v>
      </c>
      <c r="F327" s="1">
        <v>5</v>
      </c>
      <c r="G327" s="1">
        <v>2</v>
      </c>
      <c r="H327" s="1">
        <v>20</v>
      </c>
      <c r="I327" s="1">
        <v>18</v>
      </c>
      <c r="J327" s="1">
        <v>16</v>
      </c>
      <c r="K327" s="1">
        <v>28</v>
      </c>
      <c r="L327" s="1">
        <v>22</v>
      </c>
      <c r="M327" s="1">
        <v>28</v>
      </c>
      <c r="N327" s="1">
        <v>34</v>
      </c>
      <c r="O327" s="1">
        <v>27</v>
      </c>
      <c r="P327" s="1">
        <v>37</v>
      </c>
      <c r="Q327" s="1">
        <v>37</v>
      </c>
      <c r="R327" s="1">
        <v>37</v>
      </c>
      <c r="S327" s="1">
        <v>46</v>
      </c>
      <c r="T327" s="1">
        <v>13</v>
      </c>
      <c r="U327" s="1">
        <v>31</v>
      </c>
      <c r="V327" s="1">
        <v>18</v>
      </c>
      <c r="W327" s="1">
        <v>24</v>
      </c>
      <c r="X327" s="1">
        <v>18</v>
      </c>
      <c r="Y327" s="1">
        <v>9</v>
      </c>
    </row>
    <row r="328" spans="1:25" x14ac:dyDescent="0.3">
      <c r="A328" s="2">
        <v>42665</v>
      </c>
      <c r="B328" s="1">
        <v>5</v>
      </c>
      <c r="C328" s="1">
        <v>7</v>
      </c>
      <c r="D328" s="1">
        <v>10</v>
      </c>
      <c r="E328" s="1">
        <v>8</v>
      </c>
      <c r="F328" s="1">
        <v>7</v>
      </c>
      <c r="G328" s="1">
        <v>2</v>
      </c>
      <c r="H328" s="1">
        <v>6</v>
      </c>
      <c r="I328" s="1">
        <v>10</v>
      </c>
      <c r="J328" s="1">
        <v>21</v>
      </c>
      <c r="K328" s="1">
        <v>28</v>
      </c>
      <c r="L328" s="1">
        <v>34</v>
      </c>
      <c r="M328" s="1">
        <v>32</v>
      </c>
      <c r="N328" s="1">
        <v>48</v>
      </c>
      <c r="O328" s="1">
        <v>39</v>
      </c>
      <c r="P328" s="1">
        <v>21</v>
      </c>
      <c r="Q328" s="1">
        <v>22</v>
      </c>
      <c r="R328" s="1">
        <v>24</v>
      </c>
      <c r="S328" s="1">
        <v>25</v>
      </c>
      <c r="T328" s="1">
        <v>19</v>
      </c>
      <c r="U328" s="1">
        <v>20</v>
      </c>
      <c r="V328" s="1">
        <v>17</v>
      </c>
      <c r="W328" s="1">
        <v>16</v>
      </c>
      <c r="X328" s="1">
        <v>19</v>
      </c>
      <c r="Y328" s="1">
        <v>16</v>
      </c>
    </row>
    <row r="329" spans="1:25" x14ac:dyDescent="0.3">
      <c r="A329" s="2">
        <v>42666</v>
      </c>
      <c r="B329" s="1">
        <v>10</v>
      </c>
      <c r="C329" s="1">
        <v>3</v>
      </c>
      <c r="D329" s="1">
        <v>8</v>
      </c>
      <c r="E329" s="1">
        <v>12</v>
      </c>
      <c r="F329" s="1">
        <v>4</v>
      </c>
      <c r="G329" s="1">
        <v>8</v>
      </c>
      <c r="H329" s="1">
        <v>3</v>
      </c>
      <c r="I329" s="1">
        <v>10</v>
      </c>
      <c r="J329" s="1">
        <v>10</v>
      </c>
      <c r="K329" s="1">
        <v>23</v>
      </c>
      <c r="L329" s="1">
        <v>11</v>
      </c>
      <c r="M329" s="1">
        <v>25</v>
      </c>
      <c r="N329" s="1">
        <v>19</v>
      </c>
      <c r="O329" s="1">
        <v>14</v>
      </c>
      <c r="P329" s="1">
        <v>13</v>
      </c>
      <c r="Q329" s="1">
        <v>15</v>
      </c>
      <c r="R329" s="1">
        <v>16</v>
      </c>
      <c r="S329" s="1">
        <v>16</v>
      </c>
      <c r="T329" s="1">
        <v>22</v>
      </c>
      <c r="U329" s="1">
        <v>30</v>
      </c>
      <c r="V329" s="1">
        <v>11</v>
      </c>
      <c r="W329" s="1">
        <v>12</v>
      </c>
      <c r="X329" s="1">
        <v>13</v>
      </c>
      <c r="Y329" s="1">
        <v>17</v>
      </c>
    </row>
    <row r="330" spans="1:25" x14ac:dyDescent="0.3">
      <c r="A330" s="2">
        <v>42667</v>
      </c>
      <c r="B330" s="1">
        <v>3</v>
      </c>
      <c r="C330" s="1">
        <v>4</v>
      </c>
      <c r="D330" s="1">
        <v>7</v>
      </c>
      <c r="E330" s="1">
        <v>6</v>
      </c>
      <c r="F330" s="1">
        <v>7</v>
      </c>
      <c r="G330" s="1">
        <v>7</v>
      </c>
      <c r="H330" s="1">
        <v>12</v>
      </c>
      <c r="I330" s="1">
        <v>19</v>
      </c>
      <c r="J330" s="1">
        <v>28</v>
      </c>
      <c r="K330" s="1">
        <v>25</v>
      </c>
      <c r="L330" s="1">
        <v>27</v>
      </c>
      <c r="M330" s="1">
        <v>24</v>
      </c>
      <c r="N330" s="1">
        <v>19</v>
      </c>
      <c r="O330" s="1">
        <v>17</v>
      </c>
      <c r="P330" s="1">
        <v>19</v>
      </c>
      <c r="Q330" s="1">
        <v>27</v>
      </c>
      <c r="R330" s="1">
        <v>28</v>
      </c>
      <c r="S330" s="1">
        <v>21</v>
      </c>
      <c r="T330" s="1">
        <v>15</v>
      </c>
      <c r="U330" s="1">
        <v>25</v>
      </c>
      <c r="V330" s="1">
        <v>11</v>
      </c>
      <c r="W330" s="1">
        <v>8</v>
      </c>
      <c r="X330" s="1">
        <v>8</v>
      </c>
      <c r="Y330" s="1">
        <v>12</v>
      </c>
    </row>
    <row r="331" spans="1:25" x14ac:dyDescent="0.3">
      <c r="A331" s="2">
        <v>42668</v>
      </c>
      <c r="B331" s="1">
        <v>5</v>
      </c>
      <c r="C331" s="1">
        <v>4</v>
      </c>
      <c r="D331" s="1">
        <v>3</v>
      </c>
      <c r="E331" s="1">
        <v>3</v>
      </c>
      <c r="F331" s="1">
        <v>3</v>
      </c>
      <c r="G331" s="1">
        <v>11</v>
      </c>
      <c r="H331" s="1">
        <v>12</v>
      </c>
      <c r="I331" s="1">
        <v>24</v>
      </c>
      <c r="J331" s="1">
        <v>26</v>
      </c>
      <c r="K331" s="1">
        <v>23</v>
      </c>
      <c r="L331" s="1">
        <v>12</v>
      </c>
      <c r="M331" s="1">
        <v>24</v>
      </c>
      <c r="N331" s="1">
        <v>14</v>
      </c>
      <c r="O331" s="1">
        <v>16</v>
      </c>
      <c r="P331" s="1">
        <v>25</v>
      </c>
      <c r="Q331" s="1">
        <v>25</v>
      </c>
      <c r="R331" s="1">
        <v>32</v>
      </c>
      <c r="S331" s="1">
        <v>35</v>
      </c>
      <c r="T331" s="1">
        <v>18</v>
      </c>
      <c r="U331" s="1">
        <v>12</v>
      </c>
      <c r="V331" s="1">
        <v>12</v>
      </c>
      <c r="W331" s="1">
        <v>5</v>
      </c>
      <c r="X331" s="1">
        <v>8</v>
      </c>
      <c r="Y331" s="1">
        <v>8</v>
      </c>
    </row>
    <row r="332" spans="1:25" x14ac:dyDescent="0.3">
      <c r="A332" s="2">
        <v>42669</v>
      </c>
      <c r="B332" s="1">
        <v>7</v>
      </c>
      <c r="C332" s="1">
        <v>3</v>
      </c>
      <c r="D332" s="1">
        <v>5</v>
      </c>
      <c r="E332" s="1">
        <v>4</v>
      </c>
      <c r="F332" s="1">
        <v>2</v>
      </c>
      <c r="G332" s="1">
        <v>4</v>
      </c>
      <c r="H332" s="1">
        <v>13</v>
      </c>
      <c r="I332" s="1">
        <v>23</v>
      </c>
      <c r="J332" s="1">
        <v>31</v>
      </c>
      <c r="K332" s="1">
        <v>19</v>
      </c>
      <c r="L332" s="1">
        <v>26</v>
      </c>
      <c r="M332" s="1">
        <v>26</v>
      </c>
      <c r="N332" s="1">
        <v>34</v>
      </c>
      <c r="O332" s="1">
        <v>20</v>
      </c>
      <c r="P332" s="1">
        <v>19</v>
      </c>
      <c r="Q332" s="1">
        <v>37</v>
      </c>
      <c r="R332" s="1">
        <v>37</v>
      </c>
      <c r="S332" s="1">
        <v>11</v>
      </c>
      <c r="T332" s="1">
        <v>22</v>
      </c>
      <c r="U332" s="1">
        <v>19</v>
      </c>
      <c r="V332" s="1">
        <v>10</v>
      </c>
      <c r="W332" s="1">
        <v>7</v>
      </c>
      <c r="X332" s="1">
        <v>0</v>
      </c>
      <c r="Y332" s="1">
        <v>7</v>
      </c>
    </row>
    <row r="333" spans="1:25" x14ac:dyDescent="0.3">
      <c r="A333" s="2">
        <v>42670</v>
      </c>
      <c r="B333" s="1">
        <v>8</v>
      </c>
      <c r="C333" s="1">
        <v>2</v>
      </c>
      <c r="D333" s="1">
        <v>0</v>
      </c>
      <c r="E333" s="1">
        <v>6</v>
      </c>
      <c r="F333" s="1">
        <v>10</v>
      </c>
      <c r="G333" s="1">
        <v>5</v>
      </c>
      <c r="H333" s="1">
        <v>10</v>
      </c>
      <c r="I333" s="1">
        <v>28</v>
      </c>
      <c r="J333" s="1">
        <v>26</v>
      </c>
      <c r="K333" s="1">
        <v>19</v>
      </c>
      <c r="L333" s="1">
        <v>26</v>
      </c>
      <c r="M333" s="1">
        <v>18</v>
      </c>
      <c r="N333" s="1">
        <v>13</v>
      </c>
      <c r="O333" s="1">
        <v>15</v>
      </c>
      <c r="P333" s="1">
        <v>23</v>
      </c>
      <c r="Q333" s="1">
        <v>12</v>
      </c>
      <c r="R333" s="1">
        <v>39</v>
      </c>
      <c r="S333" s="1">
        <v>31</v>
      </c>
      <c r="T333" s="1">
        <v>28</v>
      </c>
      <c r="U333" s="1">
        <v>32</v>
      </c>
      <c r="V333" s="1">
        <v>13</v>
      </c>
      <c r="W333" s="1">
        <v>12</v>
      </c>
      <c r="X333" s="1">
        <v>15</v>
      </c>
      <c r="Y333" s="1">
        <v>12</v>
      </c>
    </row>
    <row r="334" spans="1:25" x14ac:dyDescent="0.3">
      <c r="A334" s="2">
        <v>42671</v>
      </c>
      <c r="B334" s="1">
        <v>7</v>
      </c>
      <c r="C334" s="1">
        <v>7</v>
      </c>
      <c r="D334" s="1">
        <v>7</v>
      </c>
      <c r="E334" s="1">
        <v>6</v>
      </c>
      <c r="F334" s="1">
        <v>2</v>
      </c>
      <c r="G334" s="1">
        <v>7</v>
      </c>
      <c r="H334" s="1">
        <v>9</v>
      </c>
      <c r="I334" s="1">
        <v>21</v>
      </c>
      <c r="J334" s="1">
        <v>22</v>
      </c>
      <c r="K334" s="1">
        <v>25</v>
      </c>
      <c r="L334" s="1">
        <v>37</v>
      </c>
      <c r="M334" s="1">
        <v>33</v>
      </c>
      <c r="N334" s="1">
        <v>31</v>
      </c>
      <c r="O334" s="1">
        <v>19</v>
      </c>
      <c r="P334" s="1">
        <v>33</v>
      </c>
      <c r="Q334" s="1">
        <v>44</v>
      </c>
      <c r="R334" s="1">
        <v>37</v>
      </c>
      <c r="S334" s="1">
        <v>33</v>
      </c>
      <c r="T334" s="1">
        <v>23</v>
      </c>
      <c r="U334" s="1">
        <v>23</v>
      </c>
      <c r="V334" s="1">
        <v>23</v>
      </c>
      <c r="W334" s="1">
        <v>21</v>
      </c>
      <c r="X334" s="1">
        <v>14</v>
      </c>
      <c r="Y334" s="1">
        <v>13</v>
      </c>
    </row>
    <row r="335" spans="1:25" x14ac:dyDescent="0.3">
      <c r="A335" s="2">
        <v>42672</v>
      </c>
      <c r="B335" s="1">
        <v>17</v>
      </c>
      <c r="C335" s="1">
        <v>14</v>
      </c>
      <c r="D335" s="1">
        <v>6</v>
      </c>
      <c r="E335" s="1">
        <v>7</v>
      </c>
      <c r="F335" s="1">
        <v>8</v>
      </c>
      <c r="G335" s="1">
        <v>5</v>
      </c>
      <c r="H335" s="1">
        <v>16</v>
      </c>
      <c r="I335" s="1">
        <v>6</v>
      </c>
      <c r="J335" s="1">
        <v>8</v>
      </c>
      <c r="K335" s="1">
        <v>13</v>
      </c>
      <c r="L335" s="1">
        <v>18</v>
      </c>
      <c r="M335" s="1">
        <v>23</v>
      </c>
      <c r="N335" s="1">
        <v>24</v>
      </c>
      <c r="O335" s="1">
        <v>28</v>
      </c>
      <c r="P335" s="1">
        <v>25</v>
      </c>
      <c r="Q335" s="1">
        <v>23</v>
      </c>
      <c r="R335" s="1">
        <v>23</v>
      </c>
      <c r="S335" s="1">
        <v>15</v>
      </c>
      <c r="T335" s="1">
        <v>27</v>
      </c>
      <c r="U335" s="1">
        <v>26</v>
      </c>
      <c r="V335" s="1">
        <v>20</v>
      </c>
      <c r="W335" s="1">
        <v>18</v>
      </c>
      <c r="X335" s="1">
        <v>12</v>
      </c>
      <c r="Y335" s="1">
        <v>17</v>
      </c>
    </row>
    <row r="336" spans="1:25" x14ac:dyDescent="0.3">
      <c r="A336" s="2">
        <v>42673</v>
      </c>
      <c r="B336" s="1">
        <v>15</v>
      </c>
      <c r="C336" s="1">
        <v>11</v>
      </c>
      <c r="D336" s="1">
        <v>14</v>
      </c>
      <c r="E336" s="1">
        <v>10</v>
      </c>
      <c r="F336" s="1">
        <v>7</v>
      </c>
      <c r="G336" s="1">
        <v>4</v>
      </c>
      <c r="H336" s="1">
        <v>5</v>
      </c>
      <c r="I336" s="1">
        <v>14</v>
      </c>
      <c r="J336" s="1">
        <v>9</v>
      </c>
      <c r="K336" s="1">
        <v>12</v>
      </c>
      <c r="L336" s="1">
        <v>23</v>
      </c>
      <c r="M336" s="1">
        <v>19</v>
      </c>
      <c r="N336" s="1">
        <v>20</v>
      </c>
      <c r="O336" s="1">
        <v>19</v>
      </c>
      <c r="P336" s="1">
        <v>21</v>
      </c>
      <c r="Q336" s="1">
        <v>17</v>
      </c>
      <c r="R336" s="1">
        <v>18</v>
      </c>
      <c r="S336" s="1">
        <v>42</v>
      </c>
      <c r="T336" s="1">
        <v>75</v>
      </c>
      <c r="U336" s="1">
        <v>28</v>
      </c>
      <c r="V336" s="1">
        <v>19</v>
      </c>
      <c r="W336" s="1">
        <v>13</v>
      </c>
      <c r="X336" s="1">
        <v>11</v>
      </c>
      <c r="Y336" s="1">
        <v>8</v>
      </c>
    </row>
    <row r="337" spans="1:25" x14ac:dyDescent="0.3">
      <c r="A337" s="2">
        <v>42674</v>
      </c>
      <c r="B337" s="1">
        <v>6</v>
      </c>
      <c r="C337" s="1">
        <v>4</v>
      </c>
      <c r="D337" s="1">
        <v>3</v>
      </c>
      <c r="E337" s="1">
        <v>6</v>
      </c>
      <c r="F337" s="1">
        <v>7</v>
      </c>
      <c r="G337" s="1">
        <v>4</v>
      </c>
      <c r="H337" s="1">
        <v>20</v>
      </c>
      <c r="I337" s="1">
        <v>21</v>
      </c>
      <c r="J337" s="1">
        <v>36</v>
      </c>
      <c r="K337" s="1">
        <v>22</v>
      </c>
      <c r="L337" s="1">
        <v>32</v>
      </c>
      <c r="M337" s="1">
        <v>24</v>
      </c>
      <c r="N337" s="1">
        <v>22</v>
      </c>
      <c r="O337" s="1">
        <v>29</v>
      </c>
      <c r="P337" s="1">
        <v>21</v>
      </c>
      <c r="Q337" s="1">
        <v>24</v>
      </c>
      <c r="R337" s="1">
        <v>30</v>
      </c>
      <c r="S337" s="1">
        <v>27</v>
      </c>
      <c r="T337" s="1">
        <v>26</v>
      </c>
      <c r="U337" s="1">
        <v>25</v>
      </c>
      <c r="V337" s="1">
        <v>17</v>
      </c>
      <c r="W337" s="1">
        <v>18</v>
      </c>
      <c r="X337" s="1">
        <v>16</v>
      </c>
      <c r="Y337" s="1">
        <v>8</v>
      </c>
    </row>
    <row r="338" spans="1:25" x14ac:dyDescent="0.3">
      <c r="A338" s="2">
        <v>42675</v>
      </c>
      <c r="B338" s="1">
        <v>13</v>
      </c>
      <c r="C338" s="1">
        <v>4</v>
      </c>
      <c r="D338" s="1">
        <v>9</v>
      </c>
      <c r="E338" s="1">
        <v>3</v>
      </c>
      <c r="F338" s="1">
        <v>6</v>
      </c>
      <c r="G338" s="1">
        <v>10</v>
      </c>
      <c r="H338" s="1">
        <v>9</v>
      </c>
      <c r="I338" s="1">
        <v>22</v>
      </c>
      <c r="J338" s="1">
        <v>27</v>
      </c>
      <c r="K338" s="1">
        <v>20</v>
      </c>
      <c r="L338" s="1">
        <v>21</v>
      </c>
      <c r="M338" s="1">
        <v>14</v>
      </c>
      <c r="N338" s="1">
        <v>35</v>
      </c>
      <c r="O338" s="1">
        <v>16</v>
      </c>
      <c r="P338" s="1">
        <v>13</v>
      </c>
      <c r="Q338" s="1">
        <v>21</v>
      </c>
      <c r="R338" s="1">
        <v>14</v>
      </c>
      <c r="S338" s="1">
        <v>29</v>
      </c>
      <c r="T338" s="1">
        <v>26</v>
      </c>
      <c r="U338" s="1">
        <v>19</v>
      </c>
      <c r="V338" s="1">
        <v>7</v>
      </c>
      <c r="W338" s="1">
        <v>15</v>
      </c>
      <c r="X338" s="1">
        <v>8</v>
      </c>
      <c r="Y338" s="1">
        <v>3</v>
      </c>
    </row>
    <row r="339" spans="1:25" x14ac:dyDescent="0.3">
      <c r="A339" s="2">
        <v>42676</v>
      </c>
      <c r="B339" s="1">
        <v>9</v>
      </c>
      <c r="C339" s="1">
        <v>8</v>
      </c>
      <c r="D339" s="1">
        <v>1</v>
      </c>
      <c r="E339" s="1">
        <v>2</v>
      </c>
      <c r="F339" s="1">
        <v>7</v>
      </c>
      <c r="G339" s="1">
        <v>5</v>
      </c>
      <c r="H339" s="1">
        <v>10</v>
      </c>
      <c r="I339" s="1">
        <v>17</v>
      </c>
      <c r="J339" s="1">
        <v>18</v>
      </c>
      <c r="K339" s="1">
        <v>19</v>
      </c>
      <c r="L339" s="1">
        <v>20</v>
      </c>
      <c r="M339" s="1">
        <v>22</v>
      </c>
      <c r="N339" s="1">
        <v>26</v>
      </c>
      <c r="O339" s="1">
        <v>15</v>
      </c>
      <c r="P339" s="1">
        <v>23</v>
      </c>
      <c r="Q339" s="1">
        <v>29</v>
      </c>
      <c r="R339" s="1">
        <v>32</v>
      </c>
      <c r="S339" s="1">
        <v>26</v>
      </c>
      <c r="T339" s="1">
        <v>22</v>
      </c>
      <c r="U339" s="1">
        <v>25</v>
      </c>
      <c r="V339" s="1">
        <v>18</v>
      </c>
      <c r="W339" s="1">
        <v>13</v>
      </c>
      <c r="X339" s="1">
        <v>5</v>
      </c>
      <c r="Y339" s="1">
        <v>12</v>
      </c>
    </row>
    <row r="340" spans="1:25" x14ac:dyDescent="0.3">
      <c r="A340" s="2">
        <v>42677</v>
      </c>
      <c r="B340" s="1">
        <v>3</v>
      </c>
      <c r="C340" s="1">
        <v>7</v>
      </c>
      <c r="D340" s="1">
        <v>3</v>
      </c>
      <c r="E340" s="1">
        <v>4</v>
      </c>
      <c r="F340" s="1">
        <v>4</v>
      </c>
      <c r="G340" s="1">
        <v>9</v>
      </c>
      <c r="H340" s="1">
        <v>7</v>
      </c>
      <c r="I340" s="1">
        <v>20</v>
      </c>
      <c r="J340" s="1">
        <v>24</v>
      </c>
      <c r="K340" s="1">
        <v>20</v>
      </c>
      <c r="L340" s="1">
        <v>25</v>
      </c>
      <c r="M340" s="1">
        <v>23</v>
      </c>
      <c r="N340" s="1">
        <v>23</v>
      </c>
      <c r="O340" s="1">
        <v>22</v>
      </c>
      <c r="P340" s="1">
        <v>21</v>
      </c>
      <c r="Q340" s="1">
        <v>22</v>
      </c>
      <c r="R340" s="1">
        <v>20</v>
      </c>
      <c r="S340" s="1">
        <v>16</v>
      </c>
      <c r="T340" s="1">
        <v>26</v>
      </c>
      <c r="U340" s="1">
        <v>27</v>
      </c>
      <c r="V340" s="1">
        <v>18</v>
      </c>
      <c r="W340" s="1">
        <v>18</v>
      </c>
      <c r="X340" s="1">
        <v>14</v>
      </c>
      <c r="Y340" s="1">
        <v>12</v>
      </c>
    </row>
    <row r="341" spans="1:25" x14ac:dyDescent="0.3">
      <c r="A341" s="2">
        <v>42678</v>
      </c>
      <c r="B341" s="1">
        <v>5</v>
      </c>
      <c r="C341" s="1">
        <v>6</v>
      </c>
      <c r="D341" s="1">
        <v>1</v>
      </c>
      <c r="E341" s="1">
        <v>0</v>
      </c>
      <c r="F341" s="1">
        <v>6</v>
      </c>
      <c r="G341" s="1">
        <v>8</v>
      </c>
      <c r="H341" s="1">
        <v>11</v>
      </c>
      <c r="I341" s="1">
        <v>20</v>
      </c>
      <c r="J341" s="1">
        <v>21</v>
      </c>
      <c r="K341" s="1">
        <v>20</v>
      </c>
      <c r="L341" s="1">
        <v>13</v>
      </c>
      <c r="M341" s="1">
        <v>19</v>
      </c>
      <c r="N341" s="1">
        <v>26</v>
      </c>
      <c r="O341" s="1">
        <v>29</v>
      </c>
      <c r="P341" s="1">
        <v>20</v>
      </c>
      <c r="Q341" s="1">
        <v>21</v>
      </c>
      <c r="R341" s="1">
        <v>21</v>
      </c>
      <c r="S341" s="1">
        <v>38</v>
      </c>
      <c r="T341" s="1">
        <v>16</v>
      </c>
      <c r="U341" s="1">
        <v>27</v>
      </c>
      <c r="V341" s="1">
        <v>22</v>
      </c>
      <c r="W341" s="1">
        <v>20</v>
      </c>
      <c r="X341" s="1">
        <v>12</v>
      </c>
      <c r="Y341" s="1">
        <v>10</v>
      </c>
    </row>
    <row r="342" spans="1:25" x14ac:dyDescent="0.3">
      <c r="A342" s="2">
        <v>42679</v>
      </c>
      <c r="B342" s="1">
        <v>10</v>
      </c>
      <c r="C342" s="1">
        <v>14</v>
      </c>
      <c r="D342" s="1">
        <v>11</v>
      </c>
      <c r="E342" s="1">
        <v>3</v>
      </c>
      <c r="F342" s="1">
        <v>3</v>
      </c>
      <c r="G342" s="1">
        <v>4</v>
      </c>
      <c r="H342" s="1">
        <v>2</v>
      </c>
      <c r="I342" s="1">
        <v>12</v>
      </c>
      <c r="J342" s="1">
        <v>5</v>
      </c>
      <c r="K342" s="1">
        <v>10</v>
      </c>
      <c r="L342" s="1">
        <v>17</v>
      </c>
      <c r="M342" s="1">
        <v>33</v>
      </c>
      <c r="N342" s="1">
        <v>16</v>
      </c>
      <c r="O342" s="1">
        <v>31</v>
      </c>
      <c r="P342" s="1">
        <v>28</v>
      </c>
      <c r="Q342" s="1">
        <v>22</v>
      </c>
      <c r="R342" s="1">
        <v>27</v>
      </c>
      <c r="S342" s="1">
        <v>29</v>
      </c>
      <c r="T342" s="1">
        <v>18</v>
      </c>
      <c r="U342" s="1">
        <v>14</v>
      </c>
      <c r="V342" s="1">
        <v>11</v>
      </c>
      <c r="W342" s="1">
        <v>14</v>
      </c>
      <c r="X342" s="1">
        <v>12</v>
      </c>
      <c r="Y342" s="1">
        <v>7</v>
      </c>
    </row>
    <row r="343" spans="1:25" x14ac:dyDescent="0.3">
      <c r="A343" s="2">
        <v>42680</v>
      </c>
      <c r="B343" s="1">
        <v>16</v>
      </c>
      <c r="C343" s="1">
        <v>18</v>
      </c>
      <c r="D343" s="1">
        <v>5</v>
      </c>
      <c r="E343" s="1">
        <v>2</v>
      </c>
      <c r="F343" s="1">
        <v>3</v>
      </c>
      <c r="G343" s="1">
        <v>7</v>
      </c>
      <c r="H343" s="1">
        <v>6</v>
      </c>
      <c r="I343" s="1">
        <v>8</v>
      </c>
      <c r="J343" s="1">
        <v>8</v>
      </c>
      <c r="K343" s="1">
        <v>10</v>
      </c>
      <c r="L343" s="1">
        <v>23</v>
      </c>
      <c r="M343" s="1">
        <v>17</v>
      </c>
      <c r="N343" s="1">
        <v>16</v>
      </c>
      <c r="O343" s="1">
        <v>15</v>
      </c>
      <c r="P343" s="1">
        <v>20</v>
      </c>
      <c r="Q343" s="1">
        <v>22</v>
      </c>
      <c r="R343" s="1">
        <v>17</v>
      </c>
      <c r="S343" s="1">
        <v>19</v>
      </c>
      <c r="T343" s="1">
        <v>12</v>
      </c>
      <c r="U343" s="1">
        <v>18</v>
      </c>
      <c r="V343" s="1">
        <v>16</v>
      </c>
      <c r="W343" s="1">
        <v>12</v>
      </c>
      <c r="X343" s="1">
        <v>10</v>
      </c>
      <c r="Y343" s="1">
        <v>4</v>
      </c>
    </row>
    <row r="344" spans="1:25" x14ac:dyDescent="0.3">
      <c r="A344" s="2">
        <v>42681</v>
      </c>
      <c r="B344" s="1">
        <v>2</v>
      </c>
      <c r="C344" s="1">
        <v>8</v>
      </c>
      <c r="D344" s="1">
        <v>4</v>
      </c>
      <c r="E344" s="1">
        <v>1</v>
      </c>
      <c r="F344" s="1">
        <v>2</v>
      </c>
      <c r="G344" s="1">
        <v>5</v>
      </c>
      <c r="H344" s="1">
        <v>17</v>
      </c>
      <c r="I344" s="1">
        <v>20</v>
      </c>
      <c r="J344" s="1">
        <v>30</v>
      </c>
      <c r="K344" s="1">
        <v>17</v>
      </c>
      <c r="L344" s="1">
        <v>30</v>
      </c>
      <c r="M344" s="1">
        <v>25</v>
      </c>
      <c r="N344" s="1">
        <v>16</v>
      </c>
      <c r="O344" s="1">
        <v>18</v>
      </c>
      <c r="P344" s="1">
        <v>20</v>
      </c>
      <c r="Q344" s="1">
        <v>26</v>
      </c>
      <c r="R344" s="1">
        <v>28</v>
      </c>
      <c r="S344" s="1">
        <v>48</v>
      </c>
      <c r="T344" s="1">
        <v>33</v>
      </c>
      <c r="U344" s="1">
        <v>20</v>
      </c>
      <c r="V344" s="1">
        <v>10</v>
      </c>
      <c r="W344" s="1">
        <v>9</v>
      </c>
      <c r="X344" s="1">
        <v>11</v>
      </c>
      <c r="Y344" s="1">
        <v>7</v>
      </c>
    </row>
    <row r="345" spans="1:25" x14ac:dyDescent="0.3">
      <c r="A345" s="2">
        <v>42682</v>
      </c>
      <c r="B345" s="1">
        <v>7</v>
      </c>
      <c r="C345" s="1">
        <v>4</v>
      </c>
      <c r="D345" s="1">
        <v>5</v>
      </c>
      <c r="E345" s="1">
        <v>2</v>
      </c>
      <c r="F345" s="1">
        <v>3</v>
      </c>
      <c r="G345" s="1">
        <v>4</v>
      </c>
      <c r="H345" s="1">
        <v>11</v>
      </c>
      <c r="I345" s="1">
        <v>17</v>
      </c>
      <c r="J345" s="1">
        <v>28</v>
      </c>
      <c r="K345" s="1">
        <v>22</v>
      </c>
      <c r="L345" s="1">
        <v>17</v>
      </c>
      <c r="M345" s="1">
        <v>28</v>
      </c>
      <c r="N345" s="1">
        <v>39</v>
      </c>
      <c r="O345" s="1">
        <v>26</v>
      </c>
      <c r="P345" s="1">
        <v>42</v>
      </c>
      <c r="Q345" s="1">
        <v>29</v>
      </c>
      <c r="R345" s="1">
        <v>31</v>
      </c>
      <c r="S345" s="1">
        <v>26</v>
      </c>
      <c r="T345" s="1">
        <v>29</v>
      </c>
      <c r="U345" s="1">
        <v>15</v>
      </c>
      <c r="V345" s="1">
        <v>18</v>
      </c>
      <c r="W345" s="1">
        <v>12</v>
      </c>
      <c r="X345" s="1">
        <v>7</v>
      </c>
      <c r="Y345" s="1">
        <v>11</v>
      </c>
    </row>
    <row r="346" spans="1:25" x14ac:dyDescent="0.3">
      <c r="A346" s="2">
        <v>42683</v>
      </c>
      <c r="B346" s="1">
        <v>7</v>
      </c>
      <c r="C346" s="1">
        <v>12</v>
      </c>
      <c r="D346" s="1">
        <v>4</v>
      </c>
      <c r="E346" s="1">
        <v>6</v>
      </c>
      <c r="F346" s="1">
        <v>1</v>
      </c>
      <c r="G346" s="1">
        <v>9</v>
      </c>
      <c r="H346" s="1">
        <v>12</v>
      </c>
      <c r="I346" s="1">
        <v>27</v>
      </c>
      <c r="J346" s="1">
        <v>19</v>
      </c>
      <c r="K346" s="1">
        <v>26</v>
      </c>
      <c r="L346" s="1">
        <v>21</v>
      </c>
      <c r="M346" s="1">
        <v>27</v>
      </c>
      <c r="N346" s="1">
        <v>29</v>
      </c>
      <c r="O346" s="1">
        <v>21</v>
      </c>
      <c r="P346" s="1">
        <v>19</v>
      </c>
      <c r="Q346" s="1">
        <v>37</v>
      </c>
      <c r="R346" s="1">
        <v>23</v>
      </c>
      <c r="S346" s="1">
        <v>39</v>
      </c>
      <c r="T346" s="1">
        <v>29</v>
      </c>
      <c r="U346" s="1">
        <v>20</v>
      </c>
      <c r="V346" s="1">
        <v>17</v>
      </c>
      <c r="W346" s="1">
        <v>12</v>
      </c>
      <c r="X346" s="1">
        <v>8</v>
      </c>
      <c r="Y346" s="1">
        <v>7</v>
      </c>
    </row>
    <row r="347" spans="1:25" x14ac:dyDescent="0.3">
      <c r="A347" s="2">
        <v>42684</v>
      </c>
      <c r="B347" s="1">
        <v>3</v>
      </c>
      <c r="C347" s="1">
        <v>5</v>
      </c>
      <c r="D347" s="1">
        <v>6</v>
      </c>
      <c r="E347" s="1">
        <v>3</v>
      </c>
      <c r="F347" s="1">
        <v>8</v>
      </c>
      <c r="G347" s="1">
        <v>10</v>
      </c>
      <c r="H347" s="1">
        <v>8</v>
      </c>
      <c r="I347" s="1">
        <v>21</v>
      </c>
      <c r="J347" s="1">
        <v>27</v>
      </c>
      <c r="K347" s="1">
        <v>29</v>
      </c>
      <c r="L347" s="1">
        <v>28</v>
      </c>
      <c r="M347" s="1">
        <v>31</v>
      </c>
      <c r="N347" s="1">
        <v>35</v>
      </c>
      <c r="O347" s="1">
        <v>22</v>
      </c>
      <c r="P347" s="1">
        <v>26</v>
      </c>
      <c r="Q347" s="1">
        <v>35</v>
      </c>
      <c r="R347" s="1">
        <v>24</v>
      </c>
      <c r="S347" s="1">
        <v>37</v>
      </c>
      <c r="T347" s="1">
        <v>36</v>
      </c>
      <c r="U347" s="1">
        <v>13</v>
      </c>
      <c r="V347" s="1">
        <v>16</v>
      </c>
      <c r="W347" s="1">
        <v>12</v>
      </c>
      <c r="X347" s="1">
        <v>7</v>
      </c>
      <c r="Y347" s="1">
        <v>7</v>
      </c>
    </row>
    <row r="348" spans="1:25" x14ac:dyDescent="0.3">
      <c r="A348" s="2">
        <v>42685</v>
      </c>
      <c r="B348" s="1">
        <v>5</v>
      </c>
      <c r="C348" s="1">
        <v>5</v>
      </c>
      <c r="D348" s="1">
        <v>3</v>
      </c>
      <c r="E348" s="1">
        <v>8</v>
      </c>
      <c r="F348" s="1">
        <v>3</v>
      </c>
      <c r="G348" s="1">
        <v>5</v>
      </c>
      <c r="H348" s="1">
        <v>12</v>
      </c>
      <c r="I348" s="1">
        <v>26</v>
      </c>
      <c r="J348" s="1">
        <v>26</v>
      </c>
      <c r="K348" s="1">
        <v>16</v>
      </c>
      <c r="L348" s="1">
        <v>22</v>
      </c>
      <c r="M348" s="1">
        <v>21</v>
      </c>
      <c r="N348" s="1">
        <v>17</v>
      </c>
      <c r="O348" s="1">
        <v>34</v>
      </c>
      <c r="P348" s="1">
        <v>27</v>
      </c>
      <c r="Q348" s="1">
        <v>24</v>
      </c>
      <c r="R348" s="1">
        <v>34</v>
      </c>
      <c r="S348" s="1">
        <v>46</v>
      </c>
      <c r="T348" s="1">
        <v>35</v>
      </c>
      <c r="U348" s="1">
        <v>23</v>
      </c>
      <c r="V348" s="1">
        <v>25</v>
      </c>
      <c r="W348" s="1">
        <v>24</v>
      </c>
      <c r="X348" s="1">
        <v>18</v>
      </c>
      <c r="Y348" s="1">
        <v>6</v>
      </c>
    </row>
    <row r="349" spans="1:25" x14ac:dyDescent="0.3">
      <c r="A349" s="2">
        <v>42686</v>
      </c>
      <c r="B349" s="1">
        <v>8</v>
      </c>
      <c r="C349" s="1">
        <v>7</v>
      </c>
      <c r="D349" s="1">
        <v>8</v>
      </c>
      <c r="E349" s="1">
        <v>8</v>
      </c>
      <c r="F349" s="1">
        <v>4</v>
      </c>
      <c r="G349" s="1">
        <v>9</v>
      </c>
      <c r="H349" s="1">
        <v>10</v>
      </c>
      <c r="I349" s="1">
        <v>7</v>
      </c>
      <c r="J349" s="1">
        <v>19</v>
      </c>
      <c r="K349" s="1">
        <v>19</v>
      </c>
      <c r="L349" s="1">
        <v>27</v>
      </c>
      <c r="M349" s="1">
        <v>21</v>
      </c>
      <c r="N349" s="1">
        <v>20</v>
      </c>
      <c r="O349" s="1">
        <v>23</v>
      </c>
      <c r="P349" s="1">
        <v>19</v>
      </c>
      <c r="Q349" s="1">
        <v>17</v>
      </c>
      <c r="R349" s="1">
        <v>17</v>
      </c>
      <c r="S349" s="1">
        <v>29</v>
      </c>
      <c r="T349" s="1">
        <v>19</v>
      </c>
      <c r="U349" s="1">
        <v>22</v>
      </c>
      <c r="V349" s="1">
        <v>16</v>
      </c>
      <c r="W349" s="1">
        <v>16</v>
      </c>
      <c r="X349" s="1">
        <v>9</v>
      </c>
      <c r="Y349" s="1">
        <v>10</v>
      </c>
    </row>
    <row r="350" spans="1:25" x14ac:dyDescent="0.3">
      <c r="A350" s="2">
        <v>42687</v>
      </c>
      <c r="B350" s="1">
        <v>12</v>
      </c>
      <c r="C350" s="1">
        <v>11</v>
      </c>
      <c r="D350" s="1">
        <v>8</v>
      </c>
      <c r="E350" s="1">
        <v>9</v>
      </c>
      <c r="F350" s="1">
        <v>5</v>
      </c>
      <c r="G350" s="1">
        <v>8</v>
      </c>
      <c r="H350" s="1">
        <v>10</v>
      </c>
      <c r="I350" s="1">
        <v>17</v>
      </c>
      <c r="J350" s="1">
        <v>13</v>
      </c>
      <c r="K350" s="1">
        <v>14</v>
      </c>
      <c r="L350" s="1">
        <v>15</v>
      </c>
      <c r="M350" s="1">
        <v>20</v>
      </c>
      <c r="N350" s="1">
        <v>15</v>
      </c>
      <c r="O350" s="1">
        <v>12</v>
      </c>
      <c r="P350" s="1">
        <v>26</v>
      </c>
      <c r="Q350" s="1">
        <v>19</v>
      </c>
      <c r="R350" s="1">
        <v>18</v>
      </c>
      <c r="S350" s="1">
        <v>14</v>
      </c>
      <c r="T350" s="1">
        <v>15</v>
      </c>
      <c r="U350" s="1">
        <v>16</v>
      </c>
      <c r="V350" s="1">
        <v>14</v>
      </c>
      <c r="W350" s="1">
        <v>14</v>
      </c>
      <c r="X350" s="1">
        <v>16</v>
      </c>
      <c r="Y350" s="1">
        <v>9</v>
      </c>
    </row>
    <row r="351" spans="1:25" x14ac:dyDescent="0.3">
      <c r="A351" s="2">
        <v>42688</v>
      </c>
      <c r="B351" s="1">
        <v>3</v>
      </c>
      <c r="C351" s="1">
        <v>0</v>
      </c>
      <c r="D351" s="1">
        <v>4</v>
      </c>
      <c r="E351" s="1">
        <v>3</v>
      </c>
      <c r="F351" s="1">
        <v>8</v>
      </c>
      <c r="G351" s="1">
        <v>7</v>
      </c>
      <c r="H351" s="1">
        <v>10</v>
      </c>
      <c r="I351" s="1">
        <v>27</v>
      </c>
      <c r="J351" s="1">
        <v>29</v>
      </c>
      <c r="K351" s="1">
        <v>23</v>
      </c>
      <c r="L351" s="1">
        <v>15</v>
      </c>
      <c r="M351" s="1">
        <v>31</v>
      </c>
      <c r="N351" s="1">
        <v>29</v>
      </c>
      <c r="O351" s="1">
        <v>25</v>
      </c>
      <c r="P351" s="1">
        <v>25</v>
      </c>
      <c r="Q351" s="1">
        <v>24</v>
      </c>
      <c r="R351" s="1">
        <v>25</v>
      </c>
      <c r="S351" s="1">
        <v>21</v>
      </c>
      <c r="T351" s="1">
        <v>23</v>
      </c>
      <c r="U351" s="1">
        <v>22</v>
      </c>
      <c r="V351" s="1">
        <v>15</v>
      </c>
      <c r="W351" s="1">
        <v>13</v>
      </c>
      <c r="X351" s="1">
        <v>6</v>
      </c>
      <c r="Y351" s="1">
        <v>3</v>
      </c>
    </row>
    <row r="352" spans="1:25" x14ac:dyDescent="0.3">
      <c r="A352" s="2">
        <v>42689</v>
      </c>
      <c r="B352" s="1">
        <v>7</v>
      </c>
      <c r="C352" s="1">
        <v>7</v>
      </c>
      <c r="D352" s="1">
        <v>9</v>
      </c>
      <c r="E352" s="1">
        <v>6</v>
      </c>
      <c r="F352" s="1">
        <v>2</v>
      </c>
      <c r="G352" s="1">
        <v>6</v>
      </c>
      <c r="H352" s="1">
        <v>9</v>
      </c>
      <c r="I352" s="1">
        <v>16</v>
      </c>
      <c r="J352" s="1">
        <v>24</v>
      </c>
      <c r="K352" s="1">
        <v>23</v>
      </c>
      <c r="L352" s="1">
        <v>16</v>
      </c>
      <c r="M352" s="1">
        <v>20</v>
      </c>
      <c r="N352" s="1">
        <v>26</v>
      </c>
      <c r="O352" s="1">
        <v>20</v>
      </c>
      <c r="P352" s="1">
        <v>35</v>
      </c>
      <c r="Q352" s="1">
        <v>28</v>
      </c>
      <c r="R352" s="1">
        <v>29</v>
      </c>
      <c r="S352" s="1">
        <v>25</v>
      </c>
      <c r="T352" s="1">
        <v>24</v>
      </c>
      <c r="U352" s="1">
        <v>14</v>
      </c>
      <c r="V352" s="1">
        <v>12</v>
      </c>
      <c r="W352" s="1">
        <v>9</v>
      </c>
      <c r="X352" s="1">
        <v>7</v>
      </c>
      <c r="Y352" s="1">
        <v>10</v>
      </c>
    </row>
    <row r="353" spans="1:25" x14ac:dyDescent="0.3">
      <c r="A353" s="2">
        <v>42690</v>
      </c>
      <c r="B353" s="1">
        <v>7</v>
      </c>
      <c r="C353" s="1">
        <v>5</v>
      </c>
      <c r="D353" s="1">
        <v>5</v>
      </c>
      <c r="E353" s="1">
        <v>4</v>
      </c>
      <c r="F353" s="1">
        <v>6</v>
      </c>
      <c r="G353" s="1">
        <v>4</v>
      </c>
      <c r="H353" s="1">
        <v>16</v>
      </c>
      <c r="I353" s="1">
        <v>20</v>
      </c>
      <c r="J353" s="1">
        <v>19</v>
      </c>
      <c r="K353" s="1">
        <v>19</v>
      </c>
      <c r="L353" s="1">
        <v>14</v>
      </c>
      <c r="M353" s="1">
        <v>15</v>
      </c>
      <c r="N353" s="1">
        <v>27</v>
      </c>
      <c r="O353" s="1">
        <v>27</v>
      </c>
      <c r="P353" s="1">
        <v>27</v>
      </c>
      <c r="Q353" s="1">
        <v>31</v>
      </c>
      <c r="R353" s="1">
        <v>18</v>
      </c>
      <c r="S353" s="1">
        <v>33</v>
      </c>
      <c r="T353" s="1">
        <v>23</v>
      </c>
      <c r="U353" s="1">
        <v>14</v>
      </c>
      <c r="V353" s="1">
        <v>17</v>
      </c>
      <c r="W353" s="1">
        <v>12</v>
      </c>
      <c r="X353" s="1">
        <v>10</v>
      </c>
      <c r="Y353" s="1">
        <v>14</v>
      </c>
    </row>
    <row r="354" spans="1:25" x14ac:dyDescent="0.3">
      <c r="A354" s="2">
        <v>42691</v>
      </c>
      <c r="B354" s="1">
        <v>15</v>
      </c>
      <c r="C354" s="1">
        <v>5</v>
      </c>
      <c r="D354" s="1">
        <v>8</v>
      </c>
      <c r="E354" s="1">
        <v>8</v>
      </c>
      <c r="F354" s="1">
        <v>4</v>
      </c>
      <c r="G354" s="1">
        <v>9</v>
      </c>
      <c r="H354" s="1">
        <v>17</v>
      </c>
      <c r="I354" s="1">
        <v>23</v>
      </c>
      <c r="J354" s="1">
        <v>17</v>
      </c>
      <c r="K354" s="1">
        <v>24</v>
      </c>
      <c r="L354" s="1">
        <v>21</v>
      </c>
      <c r="M354" s="1">
        <v>26</v>
      </c>
      <c r="N354" s="1">
        <v>31</v>
      </c>
      <c r="O354" s="1">
        <v>20</v>
      </c>
      <c r="P354" s="1">
        <v>29</v>
      </c>
      <c r="Q354" s="1">
        <v>29</v>
      </c>
      <c r="R354" s="1">
        <v>32</v>
      </c>
      <c r="S354" s="1">
        <v>38</v>
      </c>
      <c r="T354" s="1">
        <v>24</v>
      </c>
      <c r="U354" s="1">
        <v>14</v>
      </c>
      <c r="V354" s="1">
        <v>13</v>
      </c>
      <c r="W354" s="1">
        <v>13</v>
      </c>
      <c r="X354" s="1">
        <v>13</v>
      </c>
      <c r="Y354" s="1">
        <v>7</v>
      </c>
    </row>
    <row r="355" spans="1:25" x14ac:dyDescent="0.3">
      <c r="A355" s="2">
        <v>42692</v>
      </c>
      <c r="B355" s="1">
        <v>10</v>
      </c>
      <c r="C355" s="1">
        <v>5</v>
      </c>
      <c r="D355" s="1">
        <v>6</v>
      </c>
      <c r="E355" s="1">
        <v>6</v>
      </c>
      <c r="F355" s="1">
        <v>5</v>
      </c>
      <c r="G355" s="1">
        <v>5</v>
      </c>
      <c r="H355" s="1">
        <v>18</v>
      </c>
      <c r="I355" s="1">
        <v>25</v>
      </c>
      <c r="J355" s="1">
        <v>19</v>
      </c>
      <c r="K355" s="1">
        <v>21</v>
      </c>
      <c r="L355" s="1">
        <v>18</v>
      </c>
      <c r="M355" s="1">
        <v>29</v>
      </c>
      <c r="N355" s="1">
        <v>22</v>
      </c>
      <c r="O355" s="1">
        <v>20</v>
      </c>
      <c r="P355" s="1">
        <v>28</v>
      </c>
      <c r="Q355" s="1">
        <v>29</v>
      </c>
      <c r="R355" s="1">
        <v>36</v>
      </c>
      <c r="S355" s="1">
        <v>40</v>
      </c>
      <c r="T355" s="1">
        <v>31</v>
      </c>
      <c r="U355" s="1">
        <v>25</v>
      </c>
      <c r="V355" s="1">
        <v>19</v>
      </c>
      <c r="W355" s="1">
        <v>18</v>
      </c>
      <c r="X355" s="1">
        <v>17</v>
      </c>
      <c r="Y355" s="1">
        <v>9</v>
      </c>
    </row>
    <row r="356" spans="1:25" x14ac:dyDescent="0.3">
      <c r="A356" s="2">
        <v>42693</v>
      </c>
      <c r="B356" s="1">
        <v>7</v>
      </c>
      <c r="C356" s="1">
        <v>8</v>
      </c>
      <c r="D356" s="1">
        <v>2</v>
      </c>
      <c r="E356" s="1">
        <v>7</v>
      </c>
      <c r="F356" s="1">
        <v>5</v>
      </c>
      <c r="G356" s="1">
        <v>11</v>
      </c>
      <c r="H356" s="1">
        <v>10</v>
      </c>
      <c r="I356" s="1">
        <v>8</v>
      </c>
      <c r="J356" s="1">
        <v>19</v>
      </c>
      <c r="K356" s="1">
        <v>19</v>
      </c>
      <c r="L356" s="1">
        <v>25</v>
      </c>
      <c r="M356" s="1">
        <v>29</v>
      </c>
      <c r="N356" s="1">
        <v>26</v>
      </c>
      <c r="O356" s="1">
        <v>32</v>
      </c>
      <c r="P356" s="1">
        <v>28</v>
      </c>
      <c r="Q356" s="1">
        <v>28</v>
      </c>
      <c r="R356" s="1">
        <v>35</v>
      </c>
      <c r="S356" s="1">
        <v>29</v>
      </c>
      <c r="T356" s="1">
        <v>50</v>
      </c>
      <c r="U356" s="1">
        <v>32</v>
      </c>
      <c r="V356" s="1">
        <v>18</v>
      </c>
      <c r="W356" s="1">
        <v>16</v>
      </c>
      <c r="X356" s="1">
        <v>5</v>
      </c>
      <c r="Y356" s="1">
        <v>14</v>
      </c>
    </row>
    <row r="357" spans="1:25" x14ac:dyDescent="0.3">
      <c r="A357" s="2">
        <v>42694</v>
      </c>
      <c r="B357" s="1">
        <v>7</v>
      </c>
      <c r="C357" s="1">
        <v>11</v>
      </c>
      <c r="D357" s="1">
        <v>4</v>
      </c>
      <c r="E357" s="1">
        <v>11</v>
      </c>
      <c r="F357" s="1">
        <v>5</v>
      </c>
      <c r="G357" s="1">
        <v>7</v>
      </c>
      <c r="H357" s="1">
        <v>3</v>
      </c>
      <c r="I357" s="1">
        <v>7</v>
      </c>
      <c r="J357" s="1">
        <v>12</v>
      </c>
      <c r="K357" s="1">
        <v>26</v>
      </c>
      <c r="L357" s="1">
        <v>35</v>
      </c>
      <c r="M357" s="1">
        <v>34</v>
      </c>
      <c r="N357" s="1">
        <v>30</v>
      </c>
      <c r="O357" s="1">
        <v>28</v>
      </c>
      <c r="P357" s="1">
        <v>19</v>
      </c>
      <c r="Q357" s="1">
        <v>16</v>
      </c>
      <c r="R357" s="1">
        <v>17</v>
      </c>
      <c r="S357" s="1">
        <v>27</v>
      </c>
      <c r="T357" s="1">
        <v>14</v>
      </c>
      <c r="U357" s="1">
        <v>15</v>
      </c>
      <c r="V357" s="1">
        <v>14</v>
      </c>
      <c r="W357" s="1">
        <v>13</v>
      </c>
      <c r="X357" s="1">
        <v>9</v>
      </c>
      <c r="Y357" s="1">
        <v>9</v>
      </c>
    </row>
    <row r="358" spans="1:25" x14ac:dyDescent="0.3">
      <c r="A358" s="2">
        <v>42695</v>
      </c>
      <c r="B358" s="1">
        <v>5</v>
      </c>
      <c r="C358" s="1">
        <v>6</v>
      </c>
      <c r="D358" s="1">
        <v>4</v>
      </c>
      <c r="E358" s="1">
        <v>9</v>
      </c>
      <c r="F358" s="1">
        <v>9</v>
      </c>
      <c r="G358" s="1">
        <v>9</v>
      </c>
      <c r="H358" s="1">
        <v>15</v>
      </c>
      <c r="I358" s="1">
        <v>18</v>
      </c>
      <c r="J358" s="1">
        <v>34</v>
      </c>
      <c r="K358" s="1">
        <v>20</v>
      </c>
      <c r="L358" s="1">
        <v>19</v>
      </c>
      <c r="M358" s="1">
        <v>26</v>
      </c>
      <c r="N358" s="1">
        <v>44</v>
      </c>
      <c r="O358" s="1">
        <v>16</v>
      </c>
      <c r="P358" s="1">
        <v>38</v>
      </c>
      <c r="Q358" s="1">
        <v>36</v>
      </c>
      <c r="R358" s="1">
        <v>31</v>
      </c>
      <c r="S358" s="1">
        <v>28</v>
      </c>
      <c r="T358" s="1">
        <v>16</v>
      </c>
      <c r="U358" s="1">
        <v>14</v>
      </c>
      <c r="V358" s="1">
        <v>17</v>
      </c>
      <c r="W358" s="1">
        <v>13</v>
      </c>
      <c r="X358" s="1">
        <v>13</v>
      </c>
      <c r="Y358" s="1">
        <v>7</v>
      </c>
    </row>
    <row r="359" spans="1:25" x14ac:dyDescent="0.3">
      <c r="A359" s="2">
        <v>42696</v>
      </c>
      <c r="B359" s="1">
        <v>4</v>
      </c>
      <c r="C359" s="1">
        <v>5</v>
      </c>
      <c r="D359" s="1">
        <v>1</v>
      </c>
      <c r="E359" s="1">
        <v>6</v>
      </c>
      <c r="F359" s="1">
        <v>12</v>
      </c>
      <c r="G359" s="1">
        <v>6</v>
      </c>
      <c r="H359" s="1">
        <v>12</v>
      </c>
      <c r="I359" s="1">
        <v>21</v>
      </c>
      <c r="J359" s="1">
        <v>13</v>
      </c>
      <c r="K359" s="1">
        <v>29</v>
      </c>
      <c r="L359" s="1">
        <v>22</v>
      </c>
      <c r="M359" s="1">
        <v>30</v>
      </c>
      <c r="N359" s="1">
        <v>28</v>
      </c>
      <c r="O359" s="1">
        <v>24</v>
      </c>
      <c r="P359" s="1">
        <v>29</v>
      </c>
      <c r="Q359" s="1">
        <v>29</v>
      </c>
      <c r="R359" s="1">
        <v>35</v>
      </c>
      <c r="S359" s="1">
        <v>35</v>
      </c>
      <c r="T359" s="1">
        <v>36</v>
      </c>
      <c r="U359" s="1">
        <v>18</v>
      </c>
      <c r="V359" s="1">
        <v>23</v>
      </c>
      <c r="W359" s="1">
        <v>15</v>
      </c>
      <c r="X359" s="1">
        <v>11</v>
      </c>
      <c r="Y359" s="1">
        <v>7</v>
      </c>
    </row>
    <row r="360" spans="1:25" x14ac:dyDescent="0.3">
      <c r="A360" s="2">
        <v>42697</v>
      </c>
      <c r="B360" s="1">
        <v>5</v>
      </c>
      <c r="C360" s="1">
        <v>3</v>
      </c>
      <c r="D360" s="1">
        <v>6</v>
      </c>
      <c r="E360" s="1">
        <v>4</v>
      </c>
      <c r="F360" s="1">
        <v>4</v>
      </c>
      <c r="G360" s="1">
        <v>4</v>
      </c>
      <c r="H360" s="1">
        <v>13</v>
      </c>
      <c r="I360" s="1">
        <v>19</v>
      </c>
      <c r="J360" s="1">
        <v>20</v>
      </c>
      <c r="K360" s="1">
        <v>28</v>
      </c>
      <c r="L360" s="1">
        <v>22</v>
      </c>
      <c r="M360" s="1">
        <v>28</v>
      </c>
      <c r="N360" s="1">
        <v>24</v>
      </c>
      <c r="O360" s="1">
        <v>27</v>
      </c>
      <c r="P360" s="1">
        <v>37</v>
      </c>
      <c r="Q360" s="1">
        <v>26</v>
      </c>
      <c r="R360" s="1">
        <v>32</v>
      </c>
      <c r="S360" s="1">
        <v>30</v>
      </c>
      <c r="T360" s="1">
        <v>20</v>
      </c>
      <c r="U360" s="1">
        <v>12</v>
      </c>
      <c r="V360" s="1">
        <v>14</v>
      </c>
      <c r="W360" s="1">
        <v>16</v>
      </c>
      <c r="X360" s="1">
        <v>7</v>
      </c>
      <c r="Y360" s="1">
        <v>8</v>
      </c>
    </row>
    <row r="361" spans="1:25" x14ac:dyDescent="0.3">
      <c r="A361" s="2">
        <v>42698</v>
      </c>
      <c r="B361" s="1">
        <v>10</v>
      </c>
      <c r="C361" s="1">
        <v>13</v>
      </c>
      <c r="D361" s="1">
        <v>4</v>
      </c>
      <c r="E361" s="1">
        <v>4</v>
      </c>
      <c r="F361" s="1">
        <v>5</v>
      </c>
      <c r="G361" s="1">
        <v>8</v>
      </c>
      <c r="H361" s="1">
        <v>8</v>
      </c>
      <c r="I361" s="1">
        <v>7</v>
      </c>
      <c r="J361" s="1">
        <v>5</v>
      </c>
      <c r="K361" s="1">
        <v>15</v>
      </c>
      <c r="L361" s="1">
        <v>23</v>
      </c>
      <c r="M361" s="1">
        <v>19</v>
      </c>
      <c r="N361" s="1">
        <v>25</v>
      </c>
      <c r="O361" s="1">
        <v>20</v>
      </c>
      <c r="P361" s="1">
        <v>12</v>
      </c>
      <c r="Q361" s="1">
        <v>28</v>
      </c>
      <c r="R361" s="1">
        <v>17</v>
      </c>
      <c r="S361" s="1">
        <v>23</v>
      </c>
      <c r="T361" s="1">
        <v>17</v>
      </c>
      <c r="U361" s="1">
        <v>20</v>
      </c>
      <c r="V361" s="1">
        <v>30</v>
      </c>
      <c r="W361" s="1">
        <v>13</v>
      </c>
      <c r="X361" s="1">
        <v>13</v>
      </c>
      <c r="Y361" s="1">
        <v>14</v>
      </c>
    </row>
    <row r="362" spans="1:25" x14ac:dyDescent="0.3">
      <c r="A362" s="2">
        <v>42699</v>
      </c>
      <c r="B362" s="1">
        <v>8</v>
      </c>
      <c r="C362" s="1">
        <v>5</v>
      </c>
      <c r="D362" s="1">
        <v>9</v>
      </c>
      <c r="E362" s="1">
        <v>4</v>
      </c>
      <c r="F362" s="1">
        <v>7</v>
      </c>
      <c r="G362" s="1">
        <v>4</v>
      </c>
      <c r="H362" s="1">
        <v>8</v>
      </c>
      <c r="I362" s="1">
        <v>16</v>
      </c>
      <c r="J362" s="1">
        <v>14</v>
      </c>
      <c r="K362" s="1">
        <v>22</v>
      </c>
      <c r="L362" s="1">
        <v>22</v>
      </c>
      <c r="M362" s="1">
        <v>21</v>
      </c>
      <c r="N362" s="1">
        <v>19</v>
      </c>
      <c r="O362" s="1">
        <v>25</v>
      </c>
      <c r="P362" s="1">
        <v>27</v>
      </c>
      <c r="Q362" s="1">
        <v>15</v>
      </c>
      <c r="R362" s="1">
        <v>23</v>
      </c>
      <c r="S362" s="1">
        <v>28</v>
      </c>
      <c r="T362" s="1">
        <v>18</v>
      </c>
      <c r="U362" s="1">
        <v>19</v>
      </c>
      <c r="V362" s="1">
        <v>20</v>
      </c>
      <c r="W362" s="1">
        <v>14</v>
      </c>
      <c r="X362" s="1">
        <v>23</v>
      </c>
      <c r="Y362" s="1">
        <v>10</v>
      </c>
    </row>
    <row r="363" spans="1:25" x14ac:dyDescent="0.3">
      <c r="A363" s="2">
        <v>42700</v>
      </c>
      <c r="B363" s="1">
        <v>13</v>
      </c>
      <c r="C363" s="1">
        <v>9</v>
      </c>
      <c r="D363" s="1">
        <v>8</v>
      </c>
      <c r="E363" s="1">
        <v>7</v>
      </c>
      <c r="F363" s="1">
        <v>9</v>
      </c>
      <c r="G363" s="1">
        <v>8</v>
      </c>
      <c r="H363" s="1">
        <v>9</v>
      </c>
      <c r="I363" s="1">
        <v>5</v>
      </c>
      <c r="J363" s="1">
        <v>20</v>
      </c>
      <c r="K363" s="1">
        <v>15</v>
      </c>
      <c r="L363" s="1">
        <v>20</v>
      </c>
      <c r="M363" s="1">
        <v>7</v>
      </c>
      <c r="N363" s="1">
        <v>25</v>
      </c>
      <c r="O363" s="1">
        <v>18</v>
      </c>
      <c r="P363" s="1">
        <v>16</v>
      </c>
      <c r="Q363" s="1">
        <v>19</v>
      </c>
      <c r="R363" s="1">
        <v>20</v>
      </c>
      <c r="S363" s="1">
        <v>24</v>
      </c>
      <c r="T363" s="1">
        <v>18</v>
      </c>
      <c r="U363" s="1">
        <v>12</v>
      </c>
      <c r="V363" s="1">
        <v>19</v>
      </c>
      <c r="W363" s="1">
        <v>10</v>
      </c>
      <c r="X363" s="1">
        <v>15</v>
      </c>
      <c r="Y363" s="1">
        <v>10</v>
      </c>
    </row>
    <row r="364" spans="1:25" x14ac:dyDescent="0.3">
      <c r="A364" s="2">
        <v>42701</v>
      </c>
      <c r="B364" s="1">
        <v>6</v>
      </c>
      <c r="C364" s="1">
        <v>3</v>
      </c>
      <c r="D364" s="1">
        <v>4</v>
      </c>
      <c r="E364" s="1">
        <v>7</v>
      </c>
      <c r="F364" s="1">
        <v>5</v>
      </c>
      <c r="G364" s="1">
        <v>5</v>
      </c>
      <c r="H364" s="1">
        <v>5</v>
      </c>
      <c r="I364" s="1">
        <v>10</v>
      </c>
      <c r="J364" s="1">
        <v>10</v>
      </c>
      <c r="K364" s="1">
        <v>14</v>
      </c>
      <c r="L364" s="1">
        <v>15</v>
      </c>
      <c r="M364" s="1">
        <v>11</v>
      </c>
      <c r="N364" s="1">
        <v>11</v>
      </c>
      <c r="O364" s="1">
        <v>17</v>
      </c>
      <c r="P364" s="1">
        <v>21</v>
      </c>
      <c r="Q364" s="1">
        <v>21</v>
      </c>
      <c r="R364" s="1">
        <v>17</v>
      </c>
      <c r="S364" s="1">
        <v>20</v>
      </c>
      <c r="T364" s="1">
        <v>30</v>
      </c>
      <c r="U364" s="1">
        <v>11</v>
      </c>
      <c r="V364" s="1">
        <v>9</v>
      </c>
      <c r="W364" s="1">
        <v>7</v>
      </c>
      <c r="X364" s="1">
        <v>9</v>
      </c>
      <c r="Y364" s="1">
        <v>6</v>
      </c>
    </row>
    <row r="365" spans="1:25" x14ac:dyDescent="0.3">
      <c r="A365" s="2">
        <v>42702</v>
      </c>
      <c r="B365" s="1">
        <v>8</v>
      </c>
      <c r="C365" s="1">
        <v>7</v>
      </c>
      <c r="D365" s="1">
        <v>4</v>
      </c>
      <c r="E365" s="1">
        <v>5</v>
      </c>
      <c r="F365" s="1">
        <v>3</v>
      </c>
      <c r="G365" s="1">
        <v>8</v>
      </c>
      <c r="H365" s="1">
        <v>5</v>
      </c>
      <c r="I365" s="1">
        <v>16</v>
      </c>
      <c r="J365" s="1">
        <v>19</v>
      </c>
      <c r="K365" s="1">
        <v>32</v>
      </c>
      <c r="L365" s="1">
        <v>14</v>
      </c>
      <c r="M365" s="1">
        <v>25</v>
      </c>
      <c r="N365" s="1">
        <v>34</v>
      </c>
      <c r="O365" s="1">
        <v>24</v>
      </c>
      <c r="P365" s="1">
        <v>22</v>
      </c>
      <c r="Q365" s="1">
        <v>32</v>
      </c>
      <c r="R365" s="1">
        <v>46</v>
      </c>
      <c r="S365" s="1">
        <v>30</v>
      </c>
      <c r="T365" s="1">
        <v>33</v>
      </c>
      <c r="U365" s="1">
        <v>26</v>
      </c>
      <c r="V365" s="1">
        <v>10</v>
      </c>
      <c r="W365" s="1">
        <v>13</v>
      </c>
      <c r="X365" s="1">
        <v>14</v>
      </c>
      <c r="Y365" s="1">
        <v>7</v>
      </c>
    </row>
    <row r="366" spans="1:25" x14ac:dyDescent="0.3">
      <c r="A366" s="2">
        <v>42703</v>
      </c>
      <c r="B366" s="1">
        <v>7</v>
      </c>
      <c r="C366" s="1">
        <v>6</v>
      </c>
      <c r="D366" s="1">
        <v>4</v>
      </c>
      <c r="E366" s="1">
        <v>8</v>
      </c>
      <c r="F366" s="1">
        <v>4</v>
      </c>
      <c r="G366" s="1">
        <v>4</v>
      </c>
      <c r="H366" s="1">
        <v>8</v>
      </c>
      <c r="I366" s="1">
        <v>29</v>
      </c>
      <c r="J366" s="1">
        <v>33</v>
      </c>
      <c r="K366" s="1">
        <v>45</v>
      </c>
      <c r="L366" s="1">
        <v>38</v>
      </c>
      <c r="M366" s="1">
        <v>41</v>
      </c>
      <c r="N366" s="1">
        <v>29</v>
      </c>
      <c r="O366" s="1">
        <v>35</v>
      </c>
      <c r="P366" s="1">
        <v>27</v>
      </c>
      <c r="Q366" s="1">
        <v>31</v>
      </c>
      <c r="R366" s="1">
        <v>41</v>
      </c>
      <c r="S366" s="1">
        <v>64</v>
      </c>
      <c r="T366" s="1">
        <v>37</v>
      </c>
      <c r="U366" s="1">
        <v>18</v>
      </c>
      <c r="V366" s="1">
        <v>12</v>
      </c>
      <c r="W366" s="1">
        <v>13</v>
      </c>
      <c r="X366" s="1">
        <v>16</v>
      </c>
      <c r="Y366" s="1">
        <v>11</v>
      </c>
    </row>
    <row r="367" spans="1:25" x14ac:dyDescent="0.3">
      <c r="A367" s="2">
        <v>42704</v>
      </c>
      <c r="B367" s="1">
        <v>18</v>
      </c>
      <c r="C367" s="1">
        <v>7</v>
      </c>
      <c r="D367" s="1">
        <v>7</v>
      </c>
      <c r="E367" s="1">
        <v>8</v>
      </c>
      <c r="F367" s="1">
        <v>4</v>
      </c>
      <c r="G367" s="1">
        <v>9</v>
      </c>
      <c r="H367" s="1">
        <v>13</v>
      </c>
      <c r="I367" s="1">
        <v>21</v>
      </c>
      <c r="J367" s="1">
        <v>18</v>
      </c>
      <c r="K367" s="1">
        <v>25</v>
      </c>
      <c r="L367" s="1">
        <v>31</v>
      </c>
      <c r="M367" s="1">
        <v>20</v>
      </c>
      <c r="N367" s="1">
        <v>31</v>
      </c>
      <c r="O367" s="1">
        <v>8</v>
      </c>
      <c r="P367" s="1">
        <v>32</v>
      </c>
      <c r="Q367" s="1">
        <v>30</v>
      </c>
      <c r="R367" s="1">
        <v>38</v>
      </c>
      <c r="S367" s="1">
        <v>32</v>
      </c>
      <c r="T367" s="1">
        <v>24</v>
      </c>
      <c r="U367" s="1">
        <v>32</v>
      </c>
      <c r="V367" s="1">
        <v>23</v>
      </c>
      <c r="W367" s="1">
        <v>17</v>
      </c>
      <c r="X367" s="1">
        <v>16</v>
      </c>
      <c r="Y367" s="1">
        <v>14</v>
      </c>
    </row>
    <row r="368" spans="1:25" x14ac:dyDescent="0.3">
      <c r="A368" s="2">
        <v>42705</v>
      </c>
      <c r="B368" s="1">
        <v>14</v>
      </c>
      <c r="C368" s="1">
        <v>4</v>
      </c>
      <c r="D368" s="1">
        <v>8</v>
      </c>
      <c r="E368" s="1">
        <v>4</v>
      </c>
      <c r="F368" s="1">
        <v>4</v>
      </c>
      <c r="G368" s="1">
        <v>9</v>
      </c>
      <c r="H368" s="1">
        <v>15</v>
      </c>
      <c r="I368" s="1">
        <v>25</v>
      </c>
      <c r="J368" s="1">
        <v>15</v>
      </c>
      <c r="K368" s="1">
        <v>26</v>
      </c>
      <c r="L368" s="1">
        <v>32</v>
      </c>
      <c r="M368" s="1">
        <v>24</v>
      </c>
      <c r="N368" s="1">
        <v>26</v>
      </c>
      <c r="O368" s="1">
        <v>28</v>
      </c>
      <c r="P368" s="1">
        <v>13</v>
      </c>
      <c r="Q368" s="1">
        <v>22</v>
      </c>
      <c r="R368" s="1">
        <v>19</v>
      </c>
      <c r="S368" s="1">
        <v>30</v>
      </c>
      <c r="T368" s="1">
        <v>30</v>
      </c>
      <c r="U368" s="1">
        <v>11</v>
      </c>
      <c r="V368" s="1">
        <v>20</v>
      </c>
      <c r="W368" s="1">
        <v>17</v>
      </c>
      <c r="X368" s="1">
        <v>6</v>
      </c>
      <c r="Y368" s="1">
        <v>8</v>
      </c>
    </row>
    <row r="369" spans="1:25" x14ac:dyDescent="0.3">
      <c r="A369" s="2">
        <v>42706</v>
      </c>
      <c r="B369" s="1">
        <v>5</v>
      </c>
      <c r="C369" s="1">
        <v>6</v>
      </c>
      <c r="D369" s="1">
        <v>7</v>
      </c>
      <c r="E369" s="1">
        <v>11</v>
      </c>
      <c r="F369" s="1">
        <v>3</v>
      </c>
      <c r="G369" s="1">
        <v>3</v>
      </c>
      <c r="H369" s="1">
        <v>21</v>
      </c>
      <c r="I369" s="1">
        <v>15</v>
      </c>
      <c r="J369" s="1">
        <v>19</v>
      </c>
      <c r="K369" s="1">
        <v>35</v>
      </c>
      <c r="L369" s="1">
        <v>17</v>
      </c>
      <c r="M369" s="1">
        <v>18</v>
      </c>
      <c r="N369" s="1">
        <v>30</v>
      </c>
      <c r="O369" s="1">
        <v>27</v>
      </c>
      <c r="P369" s="1">
        <v>21</v>
      </c>
      <c r="Q369" s="1">
        <v>26</v>
      </c>
      <c r="R369" s="1">
        <v>25</v>
      </c>
      <c r="S369" s="1">
        <v>40</v>
      </c>
      <c r="T369" s="1">
        <v>29</v>
      </c>
      <c r="U369" s="1">
        <v>17</v>
      </c>
      <c r="V369" s="1">
        <v>15</v>
      </c>
      <c r="W369" s="1">
        <v>9</v>
      </c>
      <c r="X369" s="1">
        <v>14</v>
      </c>
      <c r="Y369" s="1">
        <v>13</v>
      </c>
    </row>
    <row r="370" spans="1:25" x14ac:dyDescent="0.3">
      <c r="A370" s="2">
        <v>42707</v>
      </c>
      <c r="B370" s="1">
        <v>10</v>
      </c>
      <c r="C370" s="1">
        <v>6</v>
      </c>
      <c r="D370" s="1">
        <v>5</v>
      </c>
      <c r="E370" s="1">
        <v>8</v>
      </c>
      <c r="F370" s="1">
        <v>7</v>
      </c>
      <c r="G370" s="1">
        <v>8</v>
      </c>
      <c r="H370" s="1">
        <v>5</v>
      </c>
      <c r="I370" s="1">
        <v>6</v>
      </c>
      <c r="J370" s="1">
        <v>10</v>
      </c>
      <c r="K370" s="1">
        <v>30</v>
      </c>
      <c r="L370" s="1">
        <v>19</v>
      </c>
      <c r="M370" s="1">
        <v>17</v>
      </c>
      <c r="N370" s="1">
        <v>36</v>
      </c>
      <c r="O370" s="1">
        <v>24</v>
      </c>
      <c r="P370" s="1">
        <v>18</v>
      </c>
      <c r="Q370" s="1">
        <v>23</v>
      </c>
      <c r="R370" s="1">
        <v>15</v>
      </c>
      <c r="S370" s="1">
        <v>21</v>
      </c>
      <c r="T370" s="1">
        <v>22</v>
      </c>
      <c r="U370" s="1">
        <v>22</v>
      </c>
      <c r="V370" s="1">
        <v>16</v>
      </c>
      <c r="W370" s="1">
        <v>18</v>
      </c>
      <c r="X370" s="1">
        <v>11</v>
      </c>
      <c r="Y370" s="1">
        <v>15</v>
      </c>
    </row>
    <row r="371" spans="1:25" x14ac:dyDescent="0.3">
      <c r="A371" s="2">
        <v>42708</v>
      </c>
      <c r="B371" s="1">
        <v>12</v>
      </c>
      <c r="C371" s="1">
        <v>10</v>
      </c>
      <c r="D371" s="1">
        <v>12</v>
      </c>
      <c r="E371" s="1">
        <v>4</v>
      </c>
      <c r="F371" s="1">
        <v>4</v>
      </c>
      <c r="G371" s="1">
        <v>7</v>
      </c>
      <c r="H371" s="1">
        <v>3</v>
      </c>
      <c r="I371" s="1">
        <v>5</v>
      </c>
      <c r="J371" s="1">
        <v>13</v>
      </c>
      <c r="K371" s="1">
        <v>11</v>
      </c>
      <c r="L371" s="1">
        <v>24</v>
      </c>
      <c r="M371" s="1">
        <v>11</v>
      </c>
      <c r="N371" s="1">
        <v>19</v>
      </c>
      <c r="O371" s="1">
        <v>16</v>
      </c>
      <c r="P371" s="1">
        <v>25</v>
      </c>
      <c r="Q371" s="1">
        <v>15</v>
      </c>
      <c r="R371" s="1">
        <v>10</v>
      </c>
      <c r="S371" s="1">
        <v>17</v>
      </c>
      <c r="T371" s="1">
        <v>20</v>
      </c>
      <c r="U371" s="1">
        <v>22</v>
      </c>
      <c r="V371" s="1">
        <v>14</v>
      </c>
      <c r="W371" s="1">
        <v>19</v>
      </c>
      <c r="X371" s="1">
        <v>5</v>
      </c>
      <c r="Y371" s="1">
        <v>12</v>
      </c>
    </row>
    <row r="372" spans="1:25" x14ac:dyDescent="0.3">
      <c r="A372" s="2">
        <v>42709</v>
      </c>
      <c r="B372" s="1">
        <v>3</v>
      </c>
      <c r="C372" s="1">
        <v>4</v>
      </c>
      <c r="D372" s="1">
        <v>10</v>
      </c>
      <c r="E372" s="1">
        <v>4</v>
      </c>
      <c r="F372" s="1">
        <v>5</v>
      </c>
      <c r="G372" s="1">
        <v>6</v>
      </c>
      <c r="H372" s="1">
        <v>15</v>
      </c>
      <c r="I372" s="1">
        <v>22</v>
      </c>
      <c r="J372" s="1">
        <v>30</v>
      </c>
      <c r="K372" s="1">
        <v>20</v>
      </c>
      <c r="L372" s="1">
        <v>28</v>
      </c>
      <c r="M372" s="1">
        <v>19</v>
      </c>
      <c r="N372" s="1">
        <v>14</v>
      </c>
      <c r="O372" s="1">
        <v>22</v>
      </c>
      <c r="P372" s="1">
        <v>24</v>
      </c>
      <c r="Q372" s="1">
        <v>32</v>
      </c>
      <c r="R372" s="1">
        <v>27</v>
      </c>
      <c r="S372" s="1">
        <v>40</v>
      </c>
      <c r="T372" s="1">
        <v>22</v>
      </c>
      <c r="U372" s="1">
        <v>23</v>
      </c>
      <c r="V372" s="1">
        <v>12</v>
      </c>
      <c r="W372" s="1">
        <v>11</v>
      </c>
      <c r="X372" s="1">
        <v>8</v>
      </c>
      <c r="Y372" s="1">
        <v>5</v>
      </c>
    </row>
    <row r="373" spans="1:25" x14ac:dyDescent="0.3">
      <c r="A373" s="2">
        <v>42710</v>
      </c>
      <c r="B373" s="1">
        <v>5</v>
      </c>
      <c r="C373" s="1">
        <v>5</v>
      </c>
      <c r="D373" s="1">
        <v>8</v>
      </c>
      <c r="E373" s="1">
        <v>4</v>
      </c>
      <c r="F373" s="1">
        <v>6</v>
      </c>
      <c r="G373" s="1">
        <v>6</v>
      </c>
      <c r="H373" s="1">
        <v>13</v>
      </c>
      <c r="I373" s="1">
        <v>19</v>
      </c>
      <c r="J373" s="1">
        <v>18</v>
      </c>
      <c r="K373" s="1">
        <v>19</v>
      </c>
      <c r="L373" s="1">
        <v>25</v>
      </c>
      <c r="M373" s="1">
        <v>19</v>
      </c>
      <c r="N373" s="1">
        <v>16</v>
      </c>
      <c r="O373" s="1">
        <v>28</v>
      </c>
      <c r="P373" s="1">
        <v>31</v>
      </c>
      <c r="Q373" s="1">
        <v>29</v>
      </c>
      <c r="R373" s="1">
        <v>61</v>
      </c>
      <c r="S373" s="1">
        <v>48</v>
      </c>
      <c r="T373" s="1">
        <v>35</v>
      </c>
      <c r="U373" s="1">
        <v>15</v>
      </c>
      <c r="V373" s="1">
        <v>19</v>
      </c>
      <c r="W373" s="1">
        <v>13</v>
      </c>
      <c r="X373" s="1">
        <v>11</v>
      </c>
      <c r="Y373" s="1">
        <v>6</v>
      </c>
    </row>
    <row r="374" spans="1:25" x14ac:dyDescent="0.3">
      <c r="A374" s="2">
        <v>42711</v>
      </c>
      <c r="B374" s="1">
        <v>7</v>
      </c>
      <c r="C374" s="1">
        <v>3</v>
      </c>
      <c r="D374" s="1">
        <v>1</v>
      </c>
      <c r="E374" s="1">
        <v>6</v>
      </c>
      <c r="F374" s="1">
        <v>6</v>
      </c>
      <c r="G374" s="1">
        <v>4</v>
      </c>
      <c r="H374" s="1">
        <v>22</v>
      </c>
      <c r="I374" s="1">
        <v>27</v>
      </c>
      <c r="J374" s="1">
        <v>24</v>
      </c>
      <c r="K374" s="1">
        <v>18</v>
      </c>
      <c r="L374" s="1">
        <v>30</v>
      </c>
      <c r="M374" s="1">
        <v>24</v>
      </c>
      <c r="N374" s="1">
        <v>29</v>
      </c>
      <c r="O374" s="1">
        <v>19</v>
      </c>
      <c r="P374" s="1">
        <v>14</v>
      </c>
      <c r="Q374" s="1">
        <v>26</v>
      </c>
      <c r="R374" s="1">
        <v>19</v>
      </c>
      <c r="S374" s="1">
        <v>24</v>
      </c>
      <c r="T374" s="1">
        <v>26</v>
      </c>
      <c r="U374" s="1">
        <v>18</v>
      </c>
      <c r="V374" s="1">
        <v>18</v>
      </c>
      <c r="W374" s="1">
        <v>11</v>
      </c>
      <c r="X374" s="1">
        <v>12</v>
      </c>
      <c r="Y374" s="1">
        <v>7</v>
      </c>
    </row>
    <row r="375" spans="1:25" x14ac:dyDescent="0.3">
      <c r="A375" s="2">
        <v>42712</v>
      </c>
      <c r="B375" s="1">
        <v>14</v>
      </c>
      <c r="C375" s="1">
        <v>5</v>
      </c>
      <c r="D375" s="1">
        <v>7</v>
      </c>
      <c r="E375" s="1">
        <v>4</v>
      </c>
      <c r="F375" s="1">
        <v>4</v>
      </c>
      <c r="G375" s="1">
        <v>7</v>
      </c>
      <c r="H375" s="1">
        <v>10</v>
      </c>
      <c r="I375" s="1">
        <v>19</v>
      </c>
      <c r="J375" s="1">
        <v>35</v>
      </c>
      <c r="K375" s="1">
        <v>19</v>
      </c>
      <c r="L375" s="1">
        <v>24</v>
      </c>
      <c r="M375" s="1">
        <v>22</v>
      </c>
      <c r="N375" s="1">
        <v>23</v>
      </c>
      <c r="O375" s="1">
        <v>19</v>
      </c>
      <c r="P375" s="1">
        <v>21</v>
      </c>
      <c r="Q375" s="1">
        <v>26</v>
      </c>
      <c r="R375" s="1">
        <v>32</v>
      </c>
      <c r="S375" s="1">
        <v>30</v>
      </c>
      <c r="T375" s="1">
        <v>22</v>
      </c>
      <c r="U375" s="1">
        <v>15</v>
      </c>
      <c r="V375" s="1">
        <v>19</v>
      </c>
      <c r="W375" s="1">
        <v>9</v>
      </c>
      <c r="X375" s="1">
        <v>14</v>
      </c>
      <c r="Y375" s="1">
        <v>4</v>
      </c>
    </row>
    <row r="376" spans="1:25" x14ac:dyDescent="0.3">
      <c r="A376" s="2">
        <v>42713</v>
      </c>
      <c r="B376" s="1">
        <v>8</v>
      </c>
      <c r="C376" s="1">
        <v>5</v>
      </c>
      <c r="D376" s="1">
        <v>5</v>
      </c>
      <c r="E376" s="1">
        <v>5</v>
      </c>
      <c r="F376" s="1">
        <v>6</v>
      </c>
      <c r="G376" s="1">
        <v>6</v>
      </c>
      <c r="H376" s="1">
        <v>13</v>
      </c>
      <c r="I376" s="1">
        <v>14</v>
      </c>
      <c r="J376" s="1">
        <v>18</v>
      </c>
      <c r="K376" s="1">
        <v>17</v>
      </c>
      <c r="L376" s="1">
        <v>27</v>
      </c>
      <c r="M376" s="1">
        <v>19</v>
      </c>
      <c r="N376" s="1">
        <v>19</v>
      </c>
      <c r="O376" s="1">
        <v>19</v>
      </c>
      <c r="P376" s="1">
        <v>20</v>
      </c>
      <c r="Q376" s="1">
        <v>22</v>
      </c>
      <c r="R376" s="1">
        <v>20</v>
      </c>
      <c r="S376" s="1">
        <v>22</v>
      </c>
      <c r="T376" s="1">
        <v>20</v>
      </c>
      <c r="U376" s="1">
        <v>13</v>
      </c>
      <c r="V376" s="1">
        <v>17</v>
      </c>
      <c r="W376" s="1">
        <v>14</v>
      </c>
      <c r="X376" s="1">
        <v>14</v>
      </c>
      <c r="Y376" s="1">
        <v>14</v>
      </c>
    </row>
    <row r="377" spans="1:25" x14ac:dyDescent="0.3">
      <c r="A377" s="2">
        <v>42714</v>
      </c>
      <c r="B377" s="1">
        <v>16</v>
      </c>
      <c r="C377" s="1">
        <v>4</v>
      </c>
      <c r="D377" s="1">
        <v>6</v>
      </c>
      <c r="E377" s="1">
        <v>10</v>
      </c>
      <c r="F377" s="1">
        <v>6</v>
      </c>
      <c r="G377" s="1">
        <v>7</v>
      </c>
      <c r="H377" s="1">
        <v>2</v>
      </c>
      <c r="I377" s="1">
        <v>6</v>
      </c>
      <c r="J377" s="1">
        <v>13</v>
      </c>
      <c r="K377" s="1">
        <v>12</v>
      </c>
      <c r="L377" s="1">
        <v>17</v>
      </c>
      <c r="M377" s="1">
        <v>23</v>
      </c>
      <c r="N377" s="1">
        <v>20</v>
      </c>
      <c r="O377" s="1">
        <v>13</v>
      </c>
      <c r="P377" s="1">
        <v>18</v>
      </c>
      <c r="Q377" s="1">
        <v>24</v>
      </c>
      <c r="R377" s="1">
        <v>12</v>
      </c>
      <c r="S377" s="1">
        <v>18</v>
      </c>
      <c r="T377" s="1">
        <v>10</v>
      </c>
      <c r="U377" s="1">
        <v>32</v>
      </c>
      <c r="V377" s="1">
        <v>21</v>
      </c>
      <c r="W377" s="1">
        <v>25</v>
      </c>
      <c r="X377" s="1">
        <v>11</v>
      </c>
      <c r="Y377" s="1">
        <v>16</v>
      </c>
    </row>
    <row r="378" spans="1:25" x14ac:dyDescent="0.3">
      <c r="A378" s="2">
        <v>42715</v>
      </c>
      <c r="B378" s="1">
        <v>7</v>
      </c>
      <c r="C378" s="1">
        <v>6</v>
      </c>
      <c r="D378" s="1">
        <v>5</v>
      </c>
      <c r="E378" s="1">
        <v>7</v>
      </c>
      <c r="F378" s="1">
        <v>3</v>
      </c>
      <c r="G378" s="1">
        <v>4</v>
      </c>
      <c r="H378" s="1">
        <v>4</v>
      </c>
      <c r="I378" s="1">
        <v>8</v>
      </c>
      <c r="J378" s="1">
        <v>13</v>
      </c>
      <c r="K378" s="1">
        <v>16</v>
      </c>
      <c r="L378" s="1">
        <v>13</v>
      </c>
      <c r="M378" s="1">
        <v>25</v>
      </c>
      <c r="N378" s="1">
        <v>20</v>
      </c>
      <c r="O378" s="1">
        <v>12</v>
      </c>
      <c r="P378" s="1">
        <v>11</v>
      </c>
      <c r="Q378" s="1">
        <v>17</v>
      </c>
      <c r="R378" s="1">
        <v>14</v>
      </c>
      <c r="S378" s="1">
        <v>19</v>
      </c>
      <c r="T378" s="1">
        <v>11</v>
      </c>
      <c r="U378" s="1">
        <v>7</v>
      </c>
      <c r="V378" s="1">
        <v>19</v>
      </c>
      <c r="W378" s="1">
        <v>12</v>
      </c>
      <c r="X378" s="1">
        <v>6</v>
      </c>
      <c r="Y378" s="1">
        <v>9</v>
      </c>
    </row>
    <row r="379" spans="1:25" x14ac:dyDescent="0.3">
      <c r="A379" s="2">
        <v>42716</v>
      </c>
      <c r="B379" s="1">
        <v>9</v>
      </c>
      <c r="C379" s="1">
        <v>5</v>
      </c>
      <c r="D379" s="1">
        <v>4</v>
      </c>
      <c r="E379" s="1">
        <v>3</v>
      </c>
      <c r="F379" s="1">
        <v>6</v>
      </c>
      <c r="G379" s="1">
        <v>4</v>
      </c>
      <c r="H379" s="1">
        <v>14</v>
      </c>
      <c r="I379" s="1">
        <v>16</v>
      </c>
      <c r="J379" s="1">
        <v>21</v>
      </c>
      <c r="K379" s="1">
        <v>22</v>
      </c>
      <c r="L379" s="1">
        <v>22</v>
      </c>
      <c r="M379" s="1">
        <v>21</v>
      </c>
      <c r="N379" s="1">
        <v>22</v>
      </c>
      <c r="O379" s="1">
        <v>26</v>
      </c>
      <c r="P379" s="1">
        <v>15</v>
      </c>
      <c r="Q379" s="1">
        <v>22</v>
      </c>
      <c r="R379" s="1">
        <v>29</v>
      </c>
      <c r="S379" s="1">
        <v>35</v>
      </c>
      <c r="T379" s="1">
        <v>23</v>
      </c>
      <c r="U379" s="1">
        <v>14</v>
      </c>
      <c r="V379" s="1">
        <v>10</v>
      </c>
      <c r="W379" s="1">
        <v>8</v>
      </c>
      <c r="X379" s="1">
        <v>10</v>
      </c>
      <c r="Y379" s="1">
        <v>8</v>
      </c>
    </row>
    <row r="380" spans="1:25" x14ac:dyDescent="0.3">
      <c r="A380" s="2">
        <v>42717</v>
      </c>
      <c r="B380" s="1">
        <v>9</v>
      </c>
      <c r="C380" s="1">
        <v>9</v>
      </c>
      <c r="D380" s="1">
        <v>7</v>
      </c>
      <c r="E380" s="1">
        <v>6</v>
      </c>
      <c r="F380" s="1">
        <v>5</v>
      </c>
      <c r="G380" s="1">
        <v>14</v>
      </c>
      <c r="H380" s="1">
        <v>15</v>
      </c>
      <c r="I380" s="1">
        <v>17</v>
      </c>
      <c r="J380" s="1">
        <v>5</v>
      </c>
      <c r="K380" s="1">
        <v>27</v>
      </c>
      <c r="L380" s="1">
        <v>17</v>
      </c>
      <c r="M380" s="1">
        <v>33</v>
      </c>
      <c r="N380" s="1">
        <v>30</v>
      </c>
      <c r="O380" s="1">
        <v>18</v>
      </c>
      <c r="P380" s="1">
        <v>22</v>
      </c>
      <c r="Q380" s="1">
        <v>34</v>
      </c>
      <c r="R380" s="1">
        <v>20</v>
      </c>
      <c r="S380" s="1">
        <v>28</v>
      </c>
      <c r="T380" s="1">
        <v>16</v>
      </c>
      <c r="U380" s="1">
        <v>11</v>
      </c>
      <c r="V380" s="1">
        <v>16</v>
      </c>
      <c r="W380" s="1">
        <v>13</v>
      </c>
      <c r="X380" s="1">
        <v>7</v>
      </c>
      <c r="Y380" s="1">
        <v>4</v>
      </c>
    </row>
    <row r="381" spans="1:25" x14ac:dyDescent="0.3">
      <c r="A381" s="2">
        <v>42718</v>
      </c>
      <c r="B381" s="1">
        <v>9</v>
      </c>
      <c r="C381" s="1">
        <v>7</v>
      </c>
      <c r="D381" s="1">
        <v>4</v>
      </c>
      <c r="E381" s="1">
        <v>2</v>
      </c>
      <c r="F381" s="1">
        <v>8</v>
      </c>
      <c r="G381" s="1">
        <v>8</v>
      </c>
      <c r="H381" s="1">
        <v>8</v>
      </c>
      <c r="I381" s="1">
        <v>21</v>
      </c>
      <c r="J381" s="1">
        <v>17</v>
      </c>
      <c r="K381" s="1">
        <v>21</v>
      </c>
      <c r="L381" s="1">
        <v>21</v>
      </c>
      <c r="M381" s="1">
        <v>34</v>
      </c>
      <c r="N381" s="1">
        <v>24</v>
      </c>
      <c r="O381" s="1">
        <v>28</v>
      </c>
      <c r="P381" s="1">
        <v>24</v>
      </c>
      <c r="Q381" s="1">
        <v>20</v>
      </c>
      <c r="R381" s="1">
        <v>27</v>
      </c>
      <c r="S381" s="1">
        <v>30</v>
      </c>
      <c r="T381" s="1">
        <v>33</v>
      </c>
      <c r="U381" s="1">
        <v>15</v>
      </c>
      <c r="V381" s="1">
        <v>15</v>
      </c>
      <c r="W381" s="1">
        <v>10</v>
      </c>
      <c r="X381" s="1">
        <v>13</v>
      </c>
      <c r="Y381" s="1">
        <v>7</v>
      </c>
    </row>
    <row r="382" spans="1:25" x14ac:dyDescent="0.3">
      <c r="A382" s="2">
        <v>42719</v>
      </c>
      <c r="B382" s="1">
        <v>10</v>
      </c>
      <c r="C382" s="1">
        <v>4</v>
      </c>
      <c r="D382" s="1">
        <v>4</v>
      </c>
      <c r="E382" s="1">
        <v>2</v>
      </c>
      <c r="F382" s="1">
        <v>5</v>
      </c>
      <c r="G382" s="1">
        <v>6</v>
      </c>
      <c r="H382" s="1">
        <v>11</v>
      </c>
      <c r="I382" s="1">
        <v>17</v>
      </c>
      <c r="J382" s="1">
        <v>24</v>
      </c>
      <c r="K382" s="1">
        <v>28</v>
      </c>
      <c r="L382" s="1">
        <v>26</v>
      </c>
      <c r="M382" s="1">
        <v>30</v>
      </c>
      <c r="N382" s="1">
        <v>23</v>
      </c>
      <c r="O382" s="1">
        <v>16</v>
      </c>
      <c r="P382" s="1">
        <v>28</v>
      </c>
      <c r="Q382" s="1">
        <v>28</v>
      </c>
      <c r="R382" s="1">
        <v>29</v>
      </c>
      <c r="S382" s="1">
        <v>30</v>
      </c>
      <c r="T382" s="1">
        <v>17</v>
      </c>
      <c r="U382" s="1">
        <v>27</v>
      </c>
      <c r="V382" s="1">
        <v>22</v>
      </c>
      <c r="W382" s="1">
        <v>20</v>
      </c>
      <c r="X382" s="1">
        <v>12</v>
      </c>
      <c r="Y382" s="1">
        <v>10</v>
      </c>
    </row>
    <row r="383" spans="1:25" x14ac:dyDescent="0.3">
      <c r="A383" s="2">
        <v>42720</v>
      </c>
      <c r="B383" s="1">
        <v>9</v>
      </c>
      <c r="C383" s="1">
        <v>10</v>
      </c>
      <c r="D383" s="1">
        <v>14</v>
      </c>
      <c r="E383" s="1">
        <v>3</v>
      </c>
      <c r="F383" s="1">
        <v>2</v>
      </c>
      <c r="G383" s="1">
        <v>9</v>
      </c>
      <c r="H383" s="1">
        <v>13</v>
      </c>
      <c r="I383" s="1">
        <v>24</v>
      </c>
      <c r="J383" s="1">
        <v>34</v>
      </c>
      <c r="K383" s="1">
        <v>25</v>
      </c>
      <c r="L383" s="1">
        <v>27</v>
      </c>
      <c r="M383" s="1">
        <v>23</v>
      </c>
      <c r="N383" s="1">
        <v>27</v>
      </c>
      <c r="O383" s="1">
        <v>25</v>
      </c>
      <c r="P383" s="1">
        <v>15</v>
      </c>
      <c r="Q383" s="1">
        <v>32</v>
      </c>
      <c r="R383" s="1">
        <v>35</v>
      </c>
      <c r="S383" s="1">
        <v>48</v>
      </c>
      <c r="T383" s="1">
        <v>36</v>
      </c>
      <c r="U383" s="1">
        <v>20</v>
      </c>
      <c r="V383" s="1">
        <v>23</v>
      </c>
      <c r="W383" s="1">
        <v>18</v>
      </c>
      <c r="X383" s="1">
        <v>9</v>
      </c>
      <c r="Y383" s="1">
        <v>7</v>
      </c>
    </row>
    <row r="384" spans="1:25" x14ac:dyDescent="0.3">
      <c r="A384" s="2">
        <v>42721</v>
      </c>
      <c r="B384" s="1">
        <v>11</v>
      </c>
      <c r="C384" s="1">
        <v>14</v>
      </c>
      <c r="D384" s="1">
        <v>7</v>
      </c>
      <c r="E384" s="1">
        <v>3</v>
      </c>
      <c r="F384" s="1">
        <v>10</v>
      </c>
      <c r="G384" s="1">
        <v>17</v>
      </c>
      <c r="H384" s="1">
        <v>17</v>
      </c>
      <c r="I384" s="1">
        <v>27</v>
      </c>
      <c r="J384" s="1">
        <v>31</v>
      </c>
      <c r="K384" s="1">
        <v>51</v>
      </c>
      <c r="L384" s="1">
        <v>49</v>
      </c>
      <c r="M384" s="1">
        <v>44</v>
      </c>
      <c r="N384" s="1">
        <v>38</v>
      </c>
      <c r="O384" s="1">
        <v>35</v>
      </c>
      <c r="P384" s="1">
        <v>32</v>
      </c>
      <c r="Q384" s="1">
        <v>21</v>
      </c>
      <c r="R384" s="1">
        <v>13</v>
      </c>
      <c r="S384" s="1">
        <v>38</v>
      </c>
      <c r="T384" s="1">
        <v>17</v>
      </c>
      <c r="U384" s="1">
        <v>17</v>
      </c>
      <c r="V384" s="1">
        <v>12</v>
      </c>
      <c r="W384" s="1">
        <v>16</v>
      </c>
      <c r="X384" s="1">
        <v>17</v>
      </c>
      <c r="Y384" s="1">
        <v>24</v>
      </c>
    </row>
    <row r="385" spans="1:25" x14ac:dyDescent="0.3">
      <c r="A385" s="2">
        <v>42722</v>
      </c>
      <c r="B385" s="1">
        <v>11</v>
      </c>
      <c r="C385" s="1">
        <v>3</v>
      </c>
      <c r="D385" s="1">
        <v>7</v>
      </c>
      <c r="E385" s="1">
        <v>4</v>
      </c>
      <c r="F385" s="1">
        <v>3</v>
      </c>
      <c r="G385" s="1">
        <v>19</v>
      </c>
      <c r="H385" s="1">
        <v>12</v>
      </c>
      <c r="I385" s="1">
        <v>7</v>
      </c>
      <c r="J385" s="1">
        <v>13</v>
      </c>
      <c r="K385" s="1">
        <v>20</v>
      </c>
      <c r="L385" s="1">
        <v>24</v>
      </c>
      <c r="M385" s="1">
        <v>26</v>
      </c>
      <c r="N385" s="1">
        <v>26</v>
      </c>
      <c r="O385" s="1">
        <v>21</v>
      </c>
      <c r="P385" s="1">
        <v>46</v>
      </c>
      <c r="Q385" s="1">
        <v>29</v>
      </c>
      <c r="R385" s="1">
        <v>13</v>
      </c>
      <c r="S385" s="1">
        <v>22</v>
      </c>
      <c r="T385" s="1">
        <v>19</v>
      </c>
      <c r="U385" s="1">
        <v>19</v>
      </c>
      <c r="V385" s="1">
        <v>9</v>
      </c>
      <c r="W385" s="1">
        <v>12</v>
      </c>
      <c r="X385" s="1">
        <v>10</v>
      </c>
      <c r="Y385" s="1">
        <v>12</v>
      </c>
    </row>
    <row r="386" spans="1:25" x14ac:dyDescent="0.3">
      <c r="A386" s="2">
        <v>42723</v>
      </c>
      <c r="B386" s="1">
        <v>9</v>
      </c>
      <c r="C386" s="1">
        <v>2</v>
      </c>
      <c r="D386" s="1">
        <v>4</v>
      </c>
      <c r="E386" s="1">
        <v>5</v>
      </c>
      <c r="F386" s="1">
        <v>6</v>
      </c>
      <c r="G386" s="1">
        <v>6</v>
      </c>
      <c r="H386" s="1">
        <v>5</v>
      </c>
      <c r="I386" s="1">
        <v>20</v>
      </c>
      <c r="J386" s="1">
        <v>18</v>
      </c>
      <c r="K386" s="1">
        <v>36</v>
      </c>
      <c r="L386" s="1">
        <v>21</v>
      </c>
      <c r="M386" s="1">
        <v>33</v>
      </c>
      <c r="N386" s="1">
        <v>22</v>
      </c>
      <c r="O386" s="1">
        <v>18</v>
      </c>
      <c r="P386" s="1">
        <v>20</v>
      </c>
      <c r="Q386" s="1">
        <v>24</v>
      </c>
      <c r="R386" s="1">
        <v>31</v>
      </c>
      <c r="S386" s="1">
        <v>33</v>
      </c>
      <c r="T386" s="1">
        <v>34</v>
      </c>
      <c r="U386" s="1">
        <v>16</v>
      </c>
      <c r="V386" s="1">
        <v>21</v>
      </c>
      <c r="W386" s="1">
        <v>13</v>
      </c>
      <c r="X386" s="1">
        <v>10</v>
      </c>
      <c r="Y386" s="1">
        <v>11</v>
      </c>
    </row>
    <row r="387" spans="1:25" x14ac:dyDescent="0.3">
      <c r="A387" s="2">
        <v>42724</v>
      </c>
      <c r="B387" s="1">
        <v>4</v>
      </c>
      <c r="C387" s="1">
        <v>4</v>
      </c>
      <c r="D387" s="1">
        <v>2</v>
      </c>
      <c r="E387" s="1">
        <v>5</v>
      </c>
      <c r="F387" s="1">
        <v>4</v>
      </c>
      <c r="G387" s="1">
        <v>5</v>
      </c>
      <c r="H387" s="1">
        <v>14</v>
      </c>
      <c r="I387" s="1">
        <v>21</v>
      </c>
      <c r="J387" s="1">
        <v>40</v>
      </c>
      <c r="K387" s="1">
        <v>26</v>
      </c>
      <c r="L387" s="1">
        <v>23</v>
      </c>
      <c r="M387" s="1">
        <v>26</v>
      </c>
      <c r="N387" s="1">
        <v>39</v>
      </c>
      <c r="O387" s="1">
        <v>30</v>
      </c>
      <c r="P387" s="1">
        <v>22</v>
      </c>
      <c r="Q387" s="1">
        <v>30</v>
      </c>
      <c r="R387" s="1">
        <v>20</v>
      </c>
      <c r="S387" s="1">
        <v>30</v>
      </c>
      <c r="T387" s="1">
        <v>31</v>
      </c>
      <c r="U387" s="1">
        <v>23</v>
      </c>
      <c r="V387" s="1">
        <v>12</v>
      </c>
      <c r="W387" s="1">
        <v>11</v>
      </c>
      <c r="X387" s="1">
        <v>10</v>
      </c>
      <c r="Y387" s="1">
        <v>12</v>
      </c>
    </row>
    <row r="388" spans="1:25" x14ac:dyDescent="0.3">
      <c r="A388" s="2">
        <v>42725</v>
      </c>
      <c r="B388" s="1">
        <v>6</v>
      </c>
      <c r="C388" s="1">
        <v>8</v>
      </c>
      <c r="D388" s="1">
        <v>6</v>
      </c>
      <c r="E388" s="1">
        <v>6</v>
      </c>
      <c r="F388" s="1">
        <v>3</v>
      </c>
      <c r="G388" s="1">
        <v>7</v>
      </c>
      <c r="H388" s="1">
        <v>12</v>
      </c>
      <c r="I388" s="1">
        <v>15</v>
      </c>
      <c r="J388" s="1">
        <v>20</v>
      </c>
      <c r="K388" s="1">
        <v>22</v>
      </c>
      <c r="L388" s="1">
        <v>26</v>
      </c>
      <c r="M388" s="1">
        <v>20</v>
      </c>
      <c r="N388" s="1">
        <v>37</v>
      </c>
      <c r="O388" s="1">
        <v>17</v>
      </c>
      <c r="P388" s="1">
        <v>21</v>
      </c>
      <c r="Q388" s="1">
        <v>24</v>
      </c>
      <c r="R388" s="1">
        <v>31</v>
      </c>
      <c r="S388" s="1">
        <v>31</v>
      </c>
      <c r="T388" s="1">
        <v>22</v>
      </c>
      <c r="U388" s="1">
        <v>24</v>
      </c>
      <c r="V388" s="1">
        <v>29</v>
      </c>
      <c r="W388" s="1">
        <v>15</v>
      </c>
      <c r="X388" s="1">
        <v>10</v>
      </c>
      <c r="Y388" s="1">
        <v>14</v>
      </c>
    </row>
    <row r="389" spans="1:25" x14ac:dyDescent="0.3">
      <c r="A389" s="2">
        <v>42726</v>
      </c>
      <c r="B389" s="1">
        <v>15</v>
      </c>
      <c r="C389" s="1">
        <v>10</v>
      </c>
      <c r="D389" s="1">
        <v>5</v>
      </c>
      <c r="E389" s="1">
        <v>5</v>
      </c>
      <c r="F389" s="1">
        <v>2</v>
      </c>
      <c r="G389" s="1">
        <v>6</v>
      </c>
      <c r="H389" s="1">
        <v>7</v>
      </c>
      <c r="I389" s="1">
        <v>13</v>
      </c>
      <c r="J389" s="1">
        <v>13</v>
      </c>
      <c r="K389" s="1">
        <v>17</v>
      </c>
      <c r="L389" s="1">
        <v>18</v>
      </c>
      <c r="M389" s="1">
        <v>29</v>
      </c>
      <c r="N389" s="1">
        <v>22</v>
      </c>
      <c r="O389" s="1">
        <v>25</v>
      </c>
      <c r="P389" s="1">
        <v>22</v>
      </c>
      <c r="Q389" s="1">
        <v>26</v>
      </c>
      <c r="R389" s="1">
        <v>31</v>
      </c>
      <c r="S389" s="1">
        <v>37</v>
      </c>
      <c r="T389" s="1">
        <v>18</v>
      </c>
      <c r="U389" s="1">
        <v>24</v>
      </c>
      <c r="V389" s="1">
        <v>17</v>
      </c>
      <c r="W389" s="1">
        <v>12</v>
      </c>
      <c r="X389" s="1">
        <v>8</v>
      </c>
      <c r="Y389" s="1">
        <v>16</v>
      </c>
    </row>
    <row r="390" spans="1:25" x14ac:dyDescent="0.3">
      <c r="A390" s="2">
        <v>42727</v>
      </c>
      <c r="B390" s="1">
        <v>7</v>
      </c>
      <c r="C390" s="1">
        <v>12</v>
      </c>
      <c r="D390" s="1">
        <v>9</v>
      </c>
      <c r="E390" s="1">
        <v>5</v>
      </c>
      <c r="F390" s="1">
        <v>4</v>
      </c>
      <c r="G390" s="1">
        <v>3</v>
      </c>
      <c r="H390" s="1">
        <v>9</v>
      </c>
      <c r="I390" s="1">
        <v>9</v>
      </c>
      <c r="J390" s="1">
        <v>17</v>
      </c>
      <c r="K390" s="1">
        <v>24</v>
      </c>
      <c r="L390" s="1">
        <v>17</v>
      </c>
      <c r="M390" s="1">
        <v>27</v>
      </c>
      <c r="N390" s="1">
        <v>35</v>
      </c>
      <c r="O390" s="1">
        <v>24</v>
      </c>
      <c r="P390" s="1">
        <v>28</v>
      </c>
      <c r="Q390" s="1">
        <v>23</v>
      </c>
      <c r="R390" s="1">
        <v>31</v>
      </c>
      <c r="S390" s="1">
        <v>33</v>
      </c>
      <c r="T390" s="1">
        <v>20</v>
      </c>
      <c r="U390" s="1">
        <v>18</v>
      </c>
      <c r="V390" s="1">
        <v>23</v>
      </c>
      <c r="W390" s="1">
        <v>18</v>
      </c>
      <c r="X390" s="1">
        <v>15</v>
      </c>
      <c r="Y390" s="1">
        <v>7</v>
      </c>
    </row>
    <row r="391" spans="1:25" x14ac:dyDescent="0.3">
      <c r="A391" s="2">
        <v>42728</v>
      </c>
      <c r="B391" s="1">
        <v>7</v>
      </c>
      <c r="C391" s="1">
        <v>6</v>
      </c>
      <c r="D391" s="1">
        <v>6</v>
      </c>
      <c r="E391" s="1">
        <v>10</v>
      </c>
      <c r="F391" s="1">
        <v>6</v>
      </c>
      <c r="G391" s="1">
        <v>3</v>
      </c>
      <c r="H391" s="1">
        <v>7</v>
      </c>
      <c r="I391" s="1">
        <v>10</v>
      </c>
      <c r="J391" s="1">
        <v>12</v>
      </c>
      <c r="K391" s="1">
        <v>21</v>
      </c>
      <c r="L391" s="1">
        <v>19</v>
      </c>
      <c r="M391" s="1">
        <v>23</v>
      </c>
      <c r="N391" s="1">
        <v>27</v>
      </c>
      <c r="O391" s="1">
        <v>18</v>
      </c>
      <c r="P391" s="1">
        <v>37</v>
      </c>
      <c r="Q391" s="1">
        <v>25</v>
      </c>
      <c r="R391" s="1">
        <v>28</v>
      </c>
      <c r="S391" s="1">
        <v>32</v>
      </c>
      <c r="T391" s="1">
        <v>24</v>
      </c>
      <c r="U391" s="1">
        <v>19</v>
      </c>
      <c r="V391" s="1">
        <v>12</v>
      </c>
      <c r="W391" s="1">
        <v>13</v>
      </c>
      <c r="X391" s="1">
        <v>11</v>
      </c>
      <c r="Y391" s="1">
        <v>8</v>
      </c>
    </row>
    <row r="392" spans="1:25" x14ac:dyDescent="0.3">
      <c r="A392" s="2">
        <v>42729</v>
      </c>
      <c r="B392" s="1">
        <v>13</v>
      </c>
      <c r="C392" s="1">
        <v>3</v>
      </c>
      <c r="D392" s="1">
        <v>14</v>
      </c>
      <c r="E392" s="1">
        <v>11</v>
      </c>
      <c r="F392" s="1">
        <v>7</v>
      </c>
      <c r="G392" s="1">
        <v>3</v>
      </c>
      <c r="H392" s="1">
        <v>6</v>
      </c>
      <c r="I392" s="1">
        <v>8</v>
      </c>
      <c r="J392" s="1">
        <v>18</v>
      </c>
      <c r="K392" s="1">
        <v>19</v>
      </c>
      <c r="L392" s="1">
        <v>13</v>
      </c>
      <c r="M392" s="1">
        <v>11</v>
      </c>
      <c r="N392" s="1">
        <v>9</v>
      </c>
      <c r="O392" s="1">
        <v>10</v>
      </c>
      <c r="P392" s="1">
        <v>8</v>
      </c>
      <c r="Q392" s="1">
        <v>24</v>
      </c>
      <c r="R392" s="1">
        <v>24</v>
      </c>
      <c r="S392" s="1">
        <v>25</v>
      </c>
      <c r="T392" s="1">
        <v>15</v>
      </c>
      <c r="U392" s="1">
        <v>20</v>
      </c>
      <c r="V392" s="1">
        <v>16</v>
      </c>
      <c r="W392" s="1">
        <v>14</v>
      </c>
      <c r="X392" s="1">
        <v>8</v>
      </c>
      <c r="Y392" s="1">
        <v>9</v>
      </c>
    </row>
    <row r="393" spans="1:25" x14ac:dyDescent="0.3">
      <c r="A393" s="2">
        <v>42730</v>
      </c>
      <c r="B393" s="1">
        <v>8</v>
      </c>
      <c r="C393" s="1">
        <v>7</v>
      </c>
      <c r="D393" s="1">
        <v>5</v>
      </c>
      <c r="E393" s="1">
        <v>7</v>
      </c>
      <c r="F393" s="1">
        <v>9</v>
      </c>
      <c r="G393" s="1">
        <v>6</v>
      </c>
      <c r="H393" s="1">
        <v>9</v>
      </c>
      <c r="I393" s="1">
        <v>5</v>
      </c>
      <c r="J393" s="1">
        <v>12</v>
      </c>
      <c r="K393" s="1">
        <v>23</v>
      </c>
      <c r="L393" s="1">
        <v>26</v>
      </c>
      <c r="M393" s="1">
        <v>19</v>
      </c>
      <c r="N393" s="1">
        <v>17</v>
      </c>
      <c r="O393" s="1">
        <v>17</v>
      </c>
      <c r="P393" s="1">
        <v>16</v>
      </c>
      <c r="Q393" s="1">
        <v>24</v>
      </c>
      <c r="R393" s="1">
        <v>14</v>
      </c>
      <c r="S393" s="1">
        <v>20</v>
      </c>
      <c r="T393" s="1">
        <v>19</v>
      </c>
      <c r="U393" s="1">
        <v>16</v>
      </c>
      <c r="V393" s="1">
        <v>19</v>
      </c>
      <c r="W393" s="1">
        <v>15</v>
      </c>
      <c r="X393" s="1">
        <v>7</v>
      </c>
      <c r="Y393" s="1">
        <v>13</v>
      </c>
    </row>
    <row r="394" spans="1:25" x14ac:dyDescent="0.3">
      <c r="A394" s="2">
        <v>42731</v>
      </c>
      <c r="B394" s="1">
        <v>6</v>
      </c>
      <c r="C394" s="1">
        <v>10</v>
      </c>
      <c r="D394" s="1">
        <v>5</v>
      </c>
      <c r="E394" s="1">
        <v>7</v>
      </c>
      <c r="F394" s="1">
        <v>6</v>
      </c>
      <c r="G394" s="1">
        <v>8</v>
      </c>
      <c r="H394" s="1">
        <v>7</v>
      </c>
      <c r="I394" s="1">
        <v>29</v>
      </c>
      <c r="J394" s="1">
        <v>18</v>
      </c>
      <c r="K394" s="1">
        <v>28</v>
      </c>
      <c r="L394" s="1">
        <v>24</v>
      </c>
      <c r="M394" s="1">
        <v>28</v>
      </c>
      <c r="N394" s="1">
        <v>19</v>
      </c>
      <c r="O394" s="1">
        <v>26</v>
      </c>
      <c r="P394" s="1">
        <v>27</v>
      </c>
      <c r="Q394" s="1">
        <v>25</v>
      </c>
      <c r="R394" s="1">
        <v>24</v>
      </c>
      <c r="S394" s="1">
        <v>19</v>
      </c>
      <c r="T394" s="1">
        <v>29</v>
      </c>
      <c r="U394" s="1">
        <v>16</v>
      </c>
      <c r="V394" s="1">
        <v>21</v>
      </c>
      <c r="W394" s="1">
        <v>15</v>
      </c>
      <c r="X394" s="1">
        <v>7</v>
      </c>
      <c r="Y394" s="1">
        <v>9</v>
      </c>
    </row>
    <row r="395" spans="1:25" x14ac:dyDescent="0.3">
      <c r="A395" s="2">
        <v>42732</v>
      </c>
      <c r="B395" s="1">
        <v>10</v>
      </c>
      <c r="C395" s="1">
        <v>5</v>
      </c>
      <c r="D395" s="1">
        <v>2</v>
      </c>
      <c r="E395" s="1">
        <v>9</v>
      </c>
      <c r="F395" s="1">
        <v>5</v>
      </c>
      <c r="G395" s="1">
        <v>9</v>
      </c>
      <c r="H395" s="1">
        <v>9</v>
      </c>
      <c r="I395" s="1">
        <v>14</v>
      </c>
      <c r="J395" s="1">
        <v>11</v>
      </c>
      <c r="K395" s="1">
        <v>26</v>
      </c>
      <c r="L395" s="1">
        <v>19</v>
      </c>
      <c r="M395" s="1">
        <v>14</v>
      </c>
      <c r="N395" s="1">
        <v>27</v>
      </c>
      <c r="O395" s="1">
        <v>27</v>
      </c>
      <c r="P395" s="1">
        <v>23</v>
      </c>
      <c r="Q395" s="1">
        <v>25</v>
      </c>
      <c r="R395" s="1">
        <v>22</v>
      </c>
      <c r="S395" s="1">
        <v>24</v>
      </c>
      <c r="T395" s="1">
        <v>16</v>
      </c>
      <c r="U395" s="1">
        <v>18</v>
      </c>
      <c r="V395" s="1">
        <v>18</v>
      </c>
      <c r="W395" s="1">
        <v>11</v>
      </c>
      <c r="X395" s="1">
        <v>8</v>
      </c>
      <c r="Y395" s="1">
        <v>10</v>
      </c>
    </row>
    <row r="396" spans="1:25" x14ac:dyDescent="0.3">
      <c r="A396" s="2">
        <v>42733</v>
      </c>
      <c r="B396" s="1">
        <v>11</v>
      </c>
      <c r="C396" s="1">
        <v>8</v>
      </c>
      <c r="D396" s="1">
        <v>7</v>
      </c>
      <c r="E396" s="1">
        <v>8</v>
      </c>
      <c r="F396" s="1">
        <v>4</v>
      </c>
      <c r="G396" s="1">
        <v>7</v>
      </c>
      <c r="H396" s="1">
        <v>20</v>
      </c>
      <c r="I396" s="1">
        <v>13</v>
      </c>
      <c r="J396" s="1">
        <v>10</v>
      </c>
      <c r="K396" s="1">
        <v>17</v>
      </c>
      <c r="L396" s="1">
        <v>17</v>
      </c>
      <c r="M396" s="1">
        <v>16</v>
      </c>
      <c r="N396" s="1">
        <v>21</v>
      </c>
      <c r="O396" s="1">
        <v>33</v>
      </c>
      <c r="P396" s="1">
        <v>20</v>
      </c>
      <c r="Q396" s="1">
        <v>16</v>
      </c>
      <c r="R396" s="1">
        <v>17</v>
      </c>
      <c r="S396" s="1">
        <v>30</v>
      </c>
      <c r="T396" s="1">
        <v>20</v>
      </c>
      <c r="U396" s="1">
        <v>21</v>
      </c>
      <c r="V396" s="1">
        <v>10</v>
      </c>
      <c r="W396" s="1">
        <v>12</v>
      </c>
      <c r="X396" s="1">
        <v>10</v>
      </c>
      <c r="Y396" s="1">
        <v>13</v>
      </c>
    </row>
    <row r="397" spans="1:25" x14ac:dyDescent="0.3">
      <c r="A397" s="2">
        <v>42734</v>
      </c>
      <c r="B397" s="1">
        <v>9</v>
      </c>
      <c r="C397" s="1">
        <v>6</v>
      </c>
      <c r="D397" s="1">
        <v>11</v>
      </c>
      <c r="E397" s="1">
        <v>4</v>
      </c>
      <c r="F397" s="1">
        <v>3</v>
      </c>
      <c r="G397" s="1">
        <v>4</v>
      </c>
      <c r="H397" s="1">
        <v>4</v>
      </c>
      <c r="I397" s="1">
        <v>12</v>
      </c>
      <c r="J397" s="1">
        <v>14</v>
      </c>
      <c r="K397" s="1">
        <v>14</v>
      </c>
      <c r="L397" s="1">
        <v>25</v>
      </c>
      <c r="M397" s="1">
        <v>20</v>
      </c>
      <c r="N397" s="1">
        <v>26</v>
      </c>
      <c r="O397" s="1">
        <v>31</v>
      </c>
      <c r="P397" s="1">
        <v>21</v>
      </c>
      <c r="Q397" s="1">
        <v>28</v>
      </c>
      <c r="R397" s="1">
        <v>26</v>
      </c>
      <c r="S397" s="1">
        <v>15</v>
      </c>
      <c r="T397" s="1">
        <v>19</v>
      </c>
      <c r="U397" s="1">
        <v>20</v>
      </c>
      <c r="V397" s="1">
        <v>17</v>
      </c>
      <c r="W397" s="1">
        <v>11</v>
      </c>
      <c r="X397" s="1">
        <v>14</v>
      </c>
      <c r="Y397" s="1">
        <v>15</v>
      </c>
    </row>
    <row r="398" spans="1:25" x14ac:dyDescent="0.3">
      <c r="A398" s="2">
        <v>42735</v>
      </c>
      <c r="B398" s="1">
        <v>8</v>
      </c>
      <c r="C398" s="1">
        <v>14</v>
      </c>
      <c r="D398" s="1">
        <v>6</v>
      </c>
      <c r="E398" s="1">
        <v>3</v>
      </c>
      <c r="F398" s="1">
        <v>5</v>
      </c>
      <c r="G398" s="1">
        <v>4</v>
      </c>
      <c r="H398" s="1">
        <v>4</v>
      </c>
      <c r="I398" s="1">
        <v>14</v>
      </c>
      <c r="J398" s="1">
        <v>8</v>
      </c>
      <c r="K398" s="1">
        <v>8</v>
      </c>
      <c r="L398" s="1">
        <v>17</v>
      </c>
      <c r="M398" s="1">
        <v>20</v>
      </c>
      <c r="N398" s="1">
        <v>20</v>
      </c>
      <c r="O398" s="1">
        <v>16</v>
      </c>
      <c r="P398" s="1">
        <v>23</v>
      </c>
      <c r="Q398" s="1">
        <v>25</v>
      </c>
      <c r="R398" s="1">
        <v>14</v>
      </c>
      <c r="S398" s="1">
        <v>28</v>
      </c>
      <c r="T398" s="1">
        <v>22</v>
      </c>
      <c r="U398" s="1">
        <v>31</v>
      </c>
      <c r="V398" s="1">
        <v>18</v>
      </c>
      <c r="W398" s="1">
        <v>14</v>
      </c>
      <c r="X398" s="1">
        <v>27</v>
      </c>
      <c r="Y398" s="1">
        <v>7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53"/>
  <sheetViews>
    <sheetView zoomScale="85" zoomScaleNormal="85" workbookViewId="0">
      <selection activeCell="T18" sqref="T18"/>
    </sheetView>
  </sheetViews>
  <sheetFormatPr defaultRowHeight="14" x14ac:dyDescent="0.3"/>
  <cols>
    <col min="1" max="1" width="18.4140625" bestFit="1" customWidth="1"/>
    <col min="2" max="2" width="11.5" bestFit="1" customWidth="1"/>
    <col min="3" max="3" width="14.1640625" bestFit="1" customWidth="1"/>
    <col min="4" max="4" width="11.5" bestFit="1" customWidth="1"/>
    <col min="5" max="5" width="14.1640625" bestFit="1" customWidth="1"/>
    <col min="6" max="6" width="11.5" bestFit="1" customWidth="1"/>
    <col min="7" max="7" width="14.1640625" bestFit="1" customWidth="1"/>
    <col min="8" max="8" width="11.5" bestFit="1" customWidth="1"/>
    <col min="9" max="9" width="14.1640625" bestFit="1" customWidth="1"/>
    <col min="10" max="10" width="11.5" bestFit="1" customWidth="1"/>
    <col min="11" max="11" width="14.1640625" bestFit="1" customWidth="1"/>
    <col min="12" max="12" width="11.5" bestFit="1" customWidth="1"/>
    <col min="13" max="13" width="14.1640625" bestFit="1" customWidth="1"/>
    <col min="14" max="14" width="11.5" bestFit="1" customWidth="1"/>
    <col min="15" max="15" width="14.1640625" bestFit="1" customWidth="1"/>
    <col min="16" max="25" width="5.58203125" customWidth="1"/>
  </cols>
  <sheetData>
    <row r="1" spans="1:15" x14ac:dyDescent="0.3">
      <c r="A1" s="9"/>
      <c r="B1" s="10" t="s">
        <v>8</v>
      </c>
      <c r="C1" s="10" t="s">
        <v>9</v>
      </c>
      <c r="D1" s="10" t="s">
        <v>10</v>
      </c>
      <c r="E1" s="10" t="s">
        <v>11</v>
      </c>
      <c r="F1" s="10" t="s">
        <v>12</v>
      </c>
      <c r="G1" s="10" t="s">
        <v>13</v>
      </c>
      <c r="H1" s="10" t="s">
        <v>14</v>
      </c>
      <c r="I1" s="10" t="s">
        <v>15</v>
      </c>
      <c r="J1" s="10" t="s">
        <v>16</v>
      </c>
      <c r="K1" s="11" t="s">
        <v>17</v>
      </c>
      <c r="L1" s="1"/>
      <c r="M1" s="1"/>
      <c r="N1" s="1"/>
      <c r="O1" s="1"/>
    </row>
    <row r="2" spans="1:15" x14ac:dyDescent="0.3">
      <c r="A2" s="12" t="s">
        <v>18</v>
      </c>
      <c r="B2" s="1">
        <v>3</v>
      </c>
      <c r="C2" s="1">
        <v>3</v>
      </c>
      <c r="D2" s="1">
        <v>6</v>
      </c>
      <c r="E2" s="1">
        <v>6</v>
      </c>
      <c r="F2" s="1">
        <v>9</v>
      </c>
      <c r="G2" s="1">
        <v>9</v>
      </c>
      <c r="H2" s="1">
        <v>12</v>
      </c>
      <c r="I2" s="1">
        <v>12</v>
      </c>
      <c r="J2" s="1">
        <v>15</v>
      </c>
      <c r="K2" s="13">
        <v>15</v>
      </c>
      <c r="L2" s="1"/>
      <c r="M2" s="1"/>
      <c r="N2" s="1"/>
      <c r="O2" s="1"/>
    </row>
    <row r="3" spans="1:15" x14ac:dyDescent="0.3">
      <c r="A3" s="12">
        <v>0</v>
      </c>
      <c r="B3" s="14">
        <f>1-_xlfn.BETA.DIST(VLOOKUP($A3,NB_p!$A$2:$G$25,7,FALSE),VLOOKUP($A3,NB_r!$A$2:$G$25,7,FALSE),B$2,TRUE)</f>
        <v>0.83629352975704763</v>
      </c>
      <c r="C3" s="14">
        <f>COUNTIF(INDEX($B$33:$Y$53,0,MATCH($A3,$B$32:$Y$32,0)),"&gt;="&amp;C$2)/ROWS($A$33:$A$53)</f>
        <v>0.90476190476190477</v>
      </c>
      <c r="D3" s="14">
        <f>1-_xlfn.BETA.DIST(VLOOKUP($A3,NB_p!$A$2:$G$25,7,FALSE),VLOOKUP($A3,NB_r!$A$2:$G$25,7,FALSE),D$2,TRUE)</f>
        <v>0.53675669944202109</v>
      </c>
      <c r="E3" s="14">
        <f>COUNTIF(INDEX($B$33:$Y$53,0,MATCH($A3,$B$32:$Y$32,0)),"&gt;="&amp;E$2)/ROWS($A$33:$A$53)</f>
        <v>0.47619047619047616</v>
      </c>
      <c r="F3" s="14">
        <f>1-_xlfn.BETA.DIST(VLOOKUP($A3,NB_p!$A$2:$G$25,7,FALSE),VLOOKUP($A3,NB_r!$A$2:$G$25,7,FALSE),F$2,TRUE)</f>
        <v>0.28929466150750038</v>
      </c>
      <c r="G3" s="14">
        <f>COUNTIF(INDEX($B$33:$Y$53,0,MATCH($A3,$B$32:$Y$32,0)),"&gt;="&amp;G$2)/ROWS($A$33:$A$53)</f>
        <v>0.38095238095238093</v>
      </c>
      <c r="H3" s="14">
        <f>1-_xlfn.BETA.DIST(VLOOKUP($A3,NB_p!$A$2:$G$25,7,FALSE),VLOOKUP($A3,NB_r!$A$2:$G$25,7,FALSE),H$2,TRUE)</f>
        <v>0.13920158784102998</v>
      </c>
      <c r="I3" s="14">
        <f>COUNTIF(INDEX($B$33:$Y$53,0,MATCH($A3,$B$32:$Y$32,0)),"&gt;="&amp;I$2)/ROWS($A$33:$A$53)</f>
        <v>9.5238095238095233E-2</v>
      </c>
      <c r="J3" s="14">
        <f>1-_xlfn.BETA.DIST(VLOOKUP($A3,NB_p!$A$2:$G$25,7,FALSE),VLOOKUP($A3,NB_r!$A$2:$G$25,7,FALSE),J$2,TRUE)</f>
        <v>6.1962255640543695E-2</v>
      </c>
      <c r="K3" s="14">
        <f>COUNTIF(INDEX($B$33:$Y$53,0,MATCH($A3,$B$32:$Y$32,0)),"&gt;="&amp;K$2)/ROWS($A$33:$A$53)</f>
        <v>4.7619047619047616E-2</v>
      </c>
      <c r="L3" s="1"/>
      <c r="M3" s="1"/>
      <c r="N3" s="1"/>
      <c r="O3" s="1"/>
    </row>
    <row r="4" spans="1:15" x14ac:dyDescent="0.3">
      <c r="A4" s="12">
        <v>1</v>
      </c>
      <c r="B4" s="14">
        <f>1-_xlfn.BETA.DIST(VLOOKUP($A4,NB_p!$A$2:$G$25,7,FALSE),VLOOKUP($A4,NB_r!$A$2:$G$25,7,FALSE),B$2,TRUE)</f>
        <v>0.92748833086527815</v>
      </c>
      <c r="C4" s="14">
        <f t="shared" ref="C4:K10" si="0">COUNTIF(INDEX($B$33:$Y$53,0,MATCH($A4,$B$32:$Y$32,0)),"&gt;="&amp;C$2)/ROWS($A$33:$A$53)</f>
        <v>0.90476190476190477</v>
      </c>
      <c r="D4" s="14">
        <f>1-_xlfn.BETA.DIST(VLOOKUP($A4,NB_p!$A$2:$G$25,7,FALSE),VLOOKUP($A4,NB_r!$A$2:$G$25,7,FALSE),D$2,TRUE)</f>
        <v>0.59656645758643645</v>
      </c>
      <c r="E4" s="14">
        <f t="shared" si="0"/>
        <v>0.5714285714285714</v>
      </c>
      <c r="F4" s="14">
        <f>1-_xlfn.BETA.DIST(VLOOKUP($A4,NB_p!$A$2:$G$25,7,FALSE),VLOOKUP($A4,NB_r!$A$2:$G$25,7,FALSE),F$2,TRUE)</f>
        <v>0.23866129122036883</v>
      </c>
      <c r="G4" s="14">
        <f t="shared" si="0"/>
        <v>0.33333333333333331</v>
      </c>
      <c r="H4" s="14">
        <f>1-_xlfn.BETA.DIST(VLOOKUP($A4,NB_p!$A$2:$G$25,7,FALSE),VLOOKUP($A4,NB_r!$A$2:$G$25,7,FALSE),H$2,TRUE)</f>
        <v>6.3789400764306503E-2</v>
      </c>
      <c r="I4" s="14">
        <f t="shared" si="0"/>
        <v>0</v>
      </c>
      <c r="J4" s="14">
        <f>1-_xlfn.BETA.DIST(VLOOKUP($A4,NB_p!$A$2:$G$25,7,FALSE),VLOOKUP($A4,NB_r!$A$2:$G$25,7,FALSE),J$2,TRUE)</f>
        <v>1.2458880939090866E-2</v>
      </c>
      <c r="K4" s="14">
        <f t="shared" si="0"/>
        <v>0</v>
      </c>
      <c r="L4" s="1"/>
      <c r="M4" s="1"/>
      <c r="N4" s="1"/>
      <c r="O4" s="1"/>
    </row>
    <row r="5" spans="1:15" x14ac:dyDescent="0.3">
      <c r="A5" s="12">
        <v>2</v>
      </c>
      <c r="B5" s="14">
        <f>1-_xlfn.BETA.DIST(VLOOKUP($A5,NB_p!$A$2:$G$25,7,FALSE),VLOOKUP($A5,NB_r!$A$2:$G$25,7,FALSE),B$2,TRUE)</f>
        <v>0.85289914828001467</v>
      </c>
      <c r="C5" s="14">
        <f t="shared" si="0"/>
        <v>0.90476190476190477</v>
      </c>
      <c r="D5" s="14">
        <f>1-_xlfn.BETA.DIST(VLOOKUP($A5,NB_p!$A$2:$G$25,7,FALSE),VLOOKUP($A5,NB_r!$A$2:$G$25,7,FALSE),D$2,TRUE)</f>
        <v>0.4680689741651255</v>
      </c>
      <c r="E5" s="14">
        <f t="shared" si="0"/>
        <v>0.42857142857142855</v>
      </c>
      <c r="F5" s="14">
        <f>1-_xlfn.BETA.DIST(VLOOKUP($A5,NB_p!$A$2:$G$25,7,FALSE),VLOOKUP($A5,NB_r!$A$2:$G$25,7,FALSE),F$2,TRUE)</f>
        <v>0.1728899619595794</v>
      </c>
      <c r="G5" s="14">
        <f t="shared" si="0"/>
        <v>0.19047619047619047</v>
      </c>
      <c r="H5" s="14">
        <f>1-_xlfn.BETA.DIST(VLOOKUP($A5,NB_p!$A$2:$G$25,7,FALSE),VLOOKUP($A5,NB_r!$A$2:$G$25,7,FALSE),H$2,TRUE)</f>
        <v>4.8067594633455335E-2</v>
      </c>
      <c r="I5" s="14">
        <f t="shared" si="0"/>
        <v>4.7619047619047616E-2</v>
      </c>
      <c r="J5" s="14">
        <f>1-_xlfn.BETA.DIST(VLOOKUP($A5,NB_p!$A$2:$G$25,7,FALSE),VLOOKUP($A5,NB_r!$A$2:$G$25,7,FALSE),J$2,TRUE)</f>
        <v>1.0907176456930401E-2</v>
      </c>
      <c r="K5" s="14">
        <f t="shared" si="0"/>
        <v>0</v>
      </c>
      <c r="L5" s="1"/>
      <c r="M5" s="1"/>
      <c r="N5" s="1"/>
      <c r="O5" s="1"/>
    </row>
    <row r="6" spans="1:15" x14ac:dyDescent="0.3">
      <c r="A6" s="12">
        <v>3</v>
      </c>
      <c r="B6" s="14">
        <f>1-_xlfn.BETA.DIST(VLOOKUP($A6,NB_p!$A$2:$G$25,7,FALSE),VLOOKUP($A6,NB_r!$A$2:$G$25,7,FALSE),B$2,TRUE)</f>
        <v>0.80856686344529449</v>
      </c>
      <c r="C6" s="14">
        <f t="shared" si="0"/>
        <v>0.80952380952380953</v>
      </c>
      <c r="D6" s="14">
        <f>1-_xlfn.BETA.DIST(VLOOKUP($A6,NB_p!$A$2:$G$25,7,FALSE),VLOOKUP($A6,NB_r!$A$2:$G$25,7,FALSE),D$2,TRUE)</f>
        <v>0.46264378985205912</v>
      </c>
      <c r="E6" s="14">
        <f t="shared" si="0"/>
        <v>0.5714285714285714</v>
      </c>
      <c r="F6" s="14">
        <f>1-_xlfn.BETA.DIST(VLOOKUP($A6,NB_p!$A$2:$G$25,7,FALSE),VLOOKUP($A6,NB_r!$A$2:$G$25,7,FALSE),F$2,TRUE)</f>
        <v>0.20965798924930101</v>
      </c>
      <c r="G6" s="14">
        <f t="shared" si="0"/>
        <v>0.19047619047619047</v>
      </c>
      <c r="H6" s="14">
        <f>1-_xlfn.BETA.DIST(VLOOKUP($A6,NB_p!$A$2:$G$25,7,FALSE),VLOOKUP($A6,NB_r!$A$2:$G$25,7,FALSE),H$2,TRUE)</f>
        <v>8.1719033640560657E-2</v>
      </c>
      <c r="I6" s="14">
        <f t="shared" si="0"/>
        <v>4.7619047619047616E-2</v>
      </c>
      <c r="J6" s="14">
        <f>1-_xlfn.BETA.DIST(VLOOKUP($A6,NB_p!$A$2:$G$25,7,FALSE),VLOOKUP($A6,NB_r!$A$2:$G$25,7,FALSE),J$2,TRUE)</f>
        <v>2.8740414087207178E-2</v>
      </c>
      <c r="K6" s="14">
        <f t="shared" si="0"/>
        <v>4.7619047619047616E-2</v>
      </c>
      <c r="L6" s="1"/>
      <c r="M6" s="1"/>
      <c r="N6" s="1"/>
      <c r="O6" s="1"/>
    </row>
    <row r="7" spans="1:15" x14ac:dyDescent="0.3">
      <c r="A7" s="12">
        <v>4</v>
      </c>
      <c r="B7" s="14">
        <f>1-_xlfn.BETA.DIST(VLOOKUP($A7,NB_p!$A$2:$G$25,7,FALSE),VLOOKUP($A7,NB_r!$A$2:$G$25,7,FALSE),B$2,TRUE)</f>
        <v>0.77133460990264968</v>
      </c>
      <c r="C7" s="14">
        <f t="shared" si="0"/>
        <v>0.76190476190476186</v>
      </c>
      <c r="D7" s="14">
        <f>1-_xlfn.BETA.DIST(VLOOKUP($A7,NB_p!$A$2:$G$25,7,FALSE),VLOOKUP($A7,NB_r!$A$2:$G$25,7,FALSE),D$2,TRUE)</f>
        <v>0.37127578331245137</v>
      </c>
      <c r="E7" s="14">
        <f t="shared" si="0"/>
        <v>0.33333333333333331</v>
      </c>
      <c r="F7" s="14">
        <f>1-_xlfn.BETA.DIST(VLOOKUP($A7,NB_p!$A$2:$G$25,7,FALSE),VLOOKUP($A7,NB_r!$A$2:$G$25,7,FALSE),F$2,TRUE)</f>
        <v>0.12874603140057039</v>
      </c>
      <c r="G7" s="14">
        <f t="shared" si="0"/>
        <v>0.19047619047619047</v>
      </c>
      <c r="H7" s="14">
        <f>1-_xlfn.BETA.DIST(VLOOKUP($A7,NB_p!$A$2:$G$25,7,FALSE),VLOOKUP($A7,NB_r!$A$2:$G$25,7,FALSE),H$2,TRUE)</f>
        <v>3.6111999834870345E-2</v>
      </c>
      <c r="I7" s="14">
        <f t="shared" si="0"/>
        <v>0</v>
      </c>
      <c r="J7" s="14">
        <f>1-_xlfn.BETA.DIST(VLOOKUP($A7,NB_p!$A$2:$G$25,7,FALSE),VLOOKUP($A7,NB_r!$A$2:$G$25,7,FALSE),J$2,TRUE)</f>
        <v>8.7677080833591381E-3</v>
      </c>
      <c r="K7" s="14">
        <f t="shared" si="0"/>
        <v>0</v>
      </c>
      <c r="L7" s="1"/>
      <c r="M7" s="1"/>
      <c r="N7" s="1"/>
      <c r="O7" s="1"/>
    </row>
    <row r="8" spans="1:15" x14ac:dyDescent="0.3">
      <c r="A8" s="12">
        <v>5</v>
      </c>
      <c r="B8" s="14">
        <f>1-_xlfn.BETA.DIST(VLOOKUP($A8,NB_p!$A$2:$G$25,7,FALSE),VLOOKUP($A8,NB_r!$A$2:$G$25,7,FALSE),B$2,TRUE)</f>
        <v>0.87082127636311135</v>
      </c>
      <c r="C8" s="14">
        <f t="shared" si="0"/>
        <v>0.8571428571428571</v>
      </c>
      <c r="D8" s="14">
        <f>1-_xlfn.BETA.DIST(VLOOKUP($A8,NB_p!$A$2:$G$25,7,FALSE),VLOOKUP($A8,NB_r!$A$2:$G$25,7,FALSE),D$2,TRUE)</f>
        <v>0.54888302291823199</v>
      </c>
      <c r="E8" s="14">
        <f t="shared" si="0"/>
        <v>0.52380952380952384</v>
      </c>
      <c r="F8" s="14">
        <f>1-_xlfn.BETA.DIST(VLOOKUP($A8,NB_p!$A$2:$G$25,7,FALSE),VLOOKUP($A8,NB_r!$A$2:$G$25,7,FALSE),F$2,TRUE)</f>
        <v>0.26409617897620441</v>
      </c>
      <c r="G8" s="14">
        <f t="shared" si="0"/>
        <v>0.2857142857142857</v>
      </c>
      <c r="H8" s="14">
        <f>1-_xlfn.BETA.DIST(VLOOKUP($A8,NB_p!$A$2:$G$25,7,FALSE),VLOOKUP($A8,NB_r!$A$2:$G$25,7,FALSE),H$2,TRUE)</f>
        <v>0.10507125783042759</v>
      </c>
      <c r="I8" s="14">
        <f t="shared" si="0"/>
        <v>0.14285714285714285</v>
      </c>
      <c r="J8" s="14">
        <f>1-_xlfn.BETA.DIST(VLOOKUP($A8,NB_p!$A$2:$G$25,7,FALSE),VLOOKUP($A8,NB_r!$A$2:$G$25,7,FALSE),J$2,TRUE)</f>
        <v>3.6526496015129029E-2</v>
      </c>
      <c r="K8" s="14">
        <f t="shared" si="0"/>
        <v>0</v>
      </c>
      <c r="L8" s="1"/>
      <c r="M8" s="1"/>
      <c r="N8" s="1"/>
      <c r="O8" s="1"/>
    </row>
    <row r="9" spans="1:15" x14ac:dyDescent="0.3">
      <c r="A9" s="12">
        <v>6</v>
      </c>
      <c r="B9" s="14">
        <f>1-_xlfn.BETA.DIST(VLOOKUP($A9,NB_p!$A$2:$G$25,7,FALSE),VLOOKUP($A9,NB_r!$A$2:$G$25,7,FALSE),B$2,TRUE)</f>
        <v>0.96197566939317369</v>
      </c>
      <c r="C9" s="14">
        <f t="shared" si="0"/>
        <v>0.90476190476190477</v>
      </c>
      <c r="D9" s="14">
        <f>1-_xlfn.BETA.DIST(VLOOKUP($A9,NB_p!$A$2:$G$25,7,FALSE),VLOOKUP($A9,NB_r!$A$2:$G$25,7,FALSE),D$2,TRUE)</f>
        <v>0.78306014338880603</v>
      </c>
      <c r="E9" s="14">
        <f t="shared" si="0"/>
        <v>0.80952380952380953</v>
      </c>
      <c r="F9" s="14">
        <f>1-_xlfn.BETA.DIST(VLOOKUP($A9,NB_p!$A$2:$G$25,7,FALSE),VLOOKUP($A9,NB_r!$A$2:$G$25,7,FALSE),F$2,TRUE)</f>
        <v>0.51270614602612641</v>
      </c>
      <c r="G9" s="14">
        <f t="shared" si="0"/>
        <v>0.52380952380952384</v>
      </c>
      <c r="H9" s="14">
        <f>1-_xlfn.BETA.DIST(VLOOKUP($A9,NB_p!$A$2:$G$25,7,FALSE),VLOOKUP($A9,NB_r!$A$2:$G$25,7,FALSE),H$2,TRUE)</f>
        <v>0.27703387495887921</v>
      </c>
      <c r="I9" s="14">
        <f t="shared" si="0"/>
        <v>0.33333333333333331</v>
      </c>
      <c r="J9" s="14">
        <f>1-_xlfn.BETA.DIST(VLOOKUP($A9,NB_p!$A$2:$G$25,7,FALSE),VLOOKUP($A9,NB_r!$A$2:$G$25,7,FALSE),J$2,TRUE)</f>
        <v>0.12848128361365474</v>
      </c>
      <c r="K9" s="14">
        <f t="shared" si="0"/>
        <v>0.23809523809523808</v>
      </c>
      <c r="L9" s="1"/>
      <c r="M9" s="1"/>
      <c r="N9" s="1"/>
      <c r="O9" s="1"/>
    </row>
    <row r="10" spans="1:15" x14ac:dyDescent="0.3">
      <c r="A10" s="12">
        <v>23</v>
      </c>
      <c r="B10" s="14">
        <f>1-_xlfn.BETA.DIST(VLOOKUP($A10,NB_p!$A$2:$G$25,7,FALSE),VLOOKUP($A10,NB_r!$A$2:$G$25,7,FALSE),B$2,TRUE)</f>
        <v>0.93793907125698239</v>
      </c>
      <c r="C10" s="14">
        <f t="shared" si="0"/>
        <v>0.90476190476190477</v>
      </c>
      <c r="D10" s="14">
        <f>1-_xlfn.BETA.DIST(VLOOKUP($A10,NB_p!$A$2:$G$25,7,FALSE),VLOOKUP($A10,NB_r!$A$2:$G$25,7,FALSE),D$2,TRUE)</f>
        <v>0.73722809793436128</v>
      </c>
      <c r="E10" s="14">
        <f t="shared" si="0"/>
        <v>0.80952380952380953</v>
      </c>
      <c r="F10" s="14">
        <f>1-_xlfn.BETA.DIST(VLOOKUP($A10,NB_p!$A$2:$G$25,7,FALSE),VLOOKUP($A10,NB_r!$A$2:$G$25,7,FALSE),F$2,TRUE)</f>
        <v>0.48682225793820033</v>
      </c>
      <c r="G10" s="14">
        <f t="shared" si="0"/>
        <v>0.52380952380952384</v>
      </c>
      <c r="H10" s="14">
        <f>1-_xlfn.BETA.DIST(VLOOKUP($A10,NB_p!$A$2:$G$25,7,FALSE),VLOOKUP($A10,NB_r!$A$2:$G$25,7,FALSE),H$2,TRUE)</f>
        <v>0.28067894356464529</v>
      </c>
      <c r="I10" s="14">
        <f t="shared" si="0"/>
        <v>0.2857142857142857</v>
      </c>
      <c r="J10" s="14">
        <f>1-_xlfn.BETA.DIST(VLOOKUP($A10,NB_p!$A$2:$G$25,7,FALSE),VLOOKUP($A10,NB_r!$A$2:$G$25,7,FALSE),J$2,TRUE)</f>
        <v>0.14612513029166951</v>
      </c>
      <c r="K10" s="14">
        <f t="shared" si="0"/>
        <v>0.19047619047619047</v>
      </c>
      <c r="L10" s="1"/>
      <c r="M10" s="1"/>
      <c r="N10" s="1"/>
      <c r="O10" s="1"/>
    </row>
    <row r="11" spans="1:15" x14ac:dyDescent="0.3">
      <c r="A11" s="9"/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16</v>
      </c>
      <c r="G11" s="10" t="s">
        <v>17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1" t="s">
        <v>28</v>
      </c>
      <c r="N11" s="1"/>
      <c r="O11" s="1"/>
    </row>
    <row r="12" spans="1:15" x14ac:dyDescent="0.3">
      <c r="A12" s="12" t="s">
        <v>29</v>
      </c>
      <c r="B12" s="1">
        <v>5</v>
      </c>
      <c r="C12" s="1">
        <v>5</v>
      </c>
      <c r="D12" s="1">
        <v>10</v>
      </c>
      <c r="E12" s="1">
        <v>10</v>
      </c>
      <c r="F12" s="1">
        <v>15</v>
      </c>
      <c r="G12" s="1">
        <v>15</v>
      </c>
      <c r="H12" s="1">
        <v>20</v>
      </c>
      <c r="I12" s="1">
        <v>20</v>
      </c>
      <c r="J12" s="1">
        <v>25</v>
      </c>
      <c r="K12" s="1">
        <v>25</v>
      </c>
      <c r="L12" s="1">
        <v>30</v>
      </c>
      <c r="M12" s="13">
        <v>30</v>
      </c>
      <c r="N12" s="1"/>
      <c r="O12" s="1"/>
    </row>
    <row r="13" spans="1:15" x14ac:dyDescent="0.3">
      <c r="A13" s="12">
        <v>7</v>
      </c>
      <c r="B13" s="14">
        <f>1-_xlfn.BETA.DIST(VLOOKUP($A13,NB_p!$A$2:$G$25,7,FALSE),VLOOKUP($A13,NB_r!$A$2:$G$25,7,FALSE),B$12,TRUE)</f>
        <v>0.98043726563260292</v>
      </c>
      <c r="C13" s="14">
        <f>COUNTIF(INDEX($B$33:$Y$53,0,MATCH($A13,$B$32:$Y$32,0)),"&gt;="&amp;C$12)/ROWS($A$33:$A$53)</f>
        <v>0.95238095238095233</v>
      </c>
      <c r="D13" s="14">
        <f>1-_xlfn.BETA.DIST(VLOOKUP($A13,NB_p!$A$2:$G$25,7,FALSE),VLOOKUP($A13,NB_r!$A$2:$G$25,7,FALSE),D$12,TRUE)</f>
        <v>0.76213615753857633</v>
      </c>
      <c r="E13" s="14">
        <f>COUNTIF(INDEX($B$33:$Y$53,0,MATCH($A13,$B$32:$Y$32,0)),"&gt;="&amp;E$12)/ROWS($A$33:$A$53)</f>
        <v>0.8571428571428571</v>
      </c>
      <c r="F13" s="14">
        <f>1-_xlfn.BETA.DIST(VLOOKUP($A13,NB_p!$A$2:$G$25,7,FALSE),VLOOKUP($A13,NB_r!$A$2:$G$25,7,FALSE),F$12,TRUE)</f>
        <v>0.37116550826951855</v>
      </c>
      <c r="G13" s="14">
        <f>COUNTIF(INDEX($B$33:$Y$53,0,MATCH($A13,$B$32:$Y$32,0)),"&gt;="&amp;G$12)/ROWS($A$33:$A$53)</f>
        <v>0.2857142857142857</v>
      </c>
      <c r="H13" s="14">
        <f>1-_xlfn.BETA.DIST(VLOOKUP($A13,NB_p!$A$2:$G$25,7,FALSE),VLOOKUP($A13,NB_r!$A$2:$G$25,7,FALSE),H$12,TRUE)</f>
        <v>0.11442001489520548</v>
      </c>
      <c r="I13" s="14">
        <f>COUNTIF(INDEX($B$33:$Y$53,0,MATCH($A13,$B$32:$Y$32,0)),"&gt;="&amp;I$12)/ROWS($A$33:$A$53)</f>
        <v>9.5238095238095233E-2</v>
      </c>
      <c r="J13" s="14">
        <f>1-_xlfn.BETA.DIST(VLOOKUP($A13,NB_p!$A$2:$G$25,7,FALSE),VLOOKUP($A13,NB_r!$A$2:$G$25,7,FALSE),J$12,TRUE)</f>
        <v>2.4495529257316351E-2</v>
      </c>
      <c r="K13" s="14">
        <f>COUNTIF(INDEX($B$33:$Y$53,0,MATCH($A13,$B$32:$Y$32,0)),"&gt;="&amp;K$12)/ROWS($A$33:$A$53)</f>
        <v>4.7619047619047616E-2</v>
      </c>
      <c r="L13" s="14">
        <f>1-_xlfn.BETA.DIST(VLOOKUP($A13,NB_p!$A$2:$G$25,7,FALSE),VLOOKUP($A13,NB_r!$A$2:$G$25,7,FALSE),L$12,TRUE)</f>
        <v>3.957998653328243E-3</v>
      </c>
      <c r="M13" s="14">
        <f>COUNTIF(INDEX($B$33:$Y$53,0,MATCH($A13,$B$32:$Y$32,0)),"&gt;="&amp;M$12)/ROWS($A$33:$A$53)</f>
        <v>0</v>
      </c>
      <c r="N13" s="1"/>
      <c r="O13" s="1"/>
    </row>
    <row r="14" spans="1:15" x14ac:dyDescent="0.3">
      <c r="A14" s="12">
        <v>8</v>
      </c>
      <c r="B14" s="14">
        <f>1-_xlfn.BETA.DIST(VLOOKUP($A14,NB_p!$A$2:$G$25,7,FALSE),VLOOKUP($A14,NB_r!$A$2:$G$25,7,FALSE),B$12,TRUE)</f>
        <v>0.98214274103218724</v>
      </c>
      <c r="C14" s="14">
        <f t="shared" ref="C14:M18" si="1">COUNTIF(INDEX($B$33:$Y$53,0,MATCH($A14,$B$32:$Y$32,0)),"&gt;="&amp;C$12)/ROWS($A$33:$A$53)</f>
        <v>0.95238095238095233</v>
      </c>
      <c r="D14" s="14">
        <f>1-_xlfn.BETA.DIST(VLOOKUP($A14,NB_p!$A$2:$G$25,7,FALSE),VLOOKUP($A14,NB_r!$A$2:$G$25,7,FALSE),D$12,TRUE)</f>
        <v>0.8362760888283618</v>
      </c>
      <c r="E14" s="14">
        <f t="shared" si="1"/>
        <v>0.8571428571428571</v>
      </c>
      <c r="F14" s="14">
        <f>1-_xlfn.BETA.DIST(VLOOKUP($A14,NB_p!$A$2:$G$25,7,FALSE),VLOOKUP($A14,NB_r!$A$2:$G$25,7,FALSE),F$12,TRUE)</f>
        <v>0.55705187797581768</v>
      </c>
      <c r="G14" s="14">
        <f t="shared" si="1"/>
        <v>0.5714285714285714</v>
      </c>
      <c r="H14" s="14">
        <f>1-_xlfn.BETA.DIST(VLOOKUP($A14,NB_p!$A$2:$G$25,7,FALSE),VLOOKUP($A14,NB_r!$A$2:$G$25,7,FALSE),H$12,TRUE)</f>
        <v>0.29316250243835729</v>
      </c>
      <c r="I14" s="14">
        <f t="shared" si="1"/>
        <v>0.23809523809523808</v>
      </c>
      <c r="J14" s="14">
        <f>1-_xlfn.BETA.DIST(VLOOKUP($A14,NB_p!$A$2:$G$25,7,FALSE),VLOOKUP($A14,NB_r!$A$2:$G$25,7,FALSE),J$12,TRUE)</f>
        <v>0.12753632414239613</v>
      </c>
      <c r="K14" s="14">
        <f t="shared" si="1"/>
        <v>0.19047619047619047</v>
      </c>
      <c r="L14" s="14">
        <f>1-_xlfn.BETA.DIST(VLOOKUP($A14,NB_p!$A$2:$G$25,7,FALSE),VLOOKUP($A14,NB_r!$A$2:$G$25,7,FALSE),L$12,TRUE)</f>
        <v>4.7822199008016097E-2</v>
      </c>
      <c r="M14" s="14">
        <f t="shared" si="1"/>
        <v>4.7619047619047616E-2</v>
      </c>
      <c r="N14" s="1"/>
      <c r="O14" s="1"/>
    </row>
    <row r="15" spans="1:15" x14ac:dyDescent="0.3">
      <c r="A15" s="12">
        <v>19</v>
      </c>
      <c r="B15" s="14">
        <f>1-_xlfn.BETA.DIST(VLOOKUP($A15,NB_p!$A$2:$G$25,7,FALSE),VLOOKUP($A15,NB_r!$A$2:$G$25,7,FALSE),B$12,TRUE)</f>
        <v>0.99724693742097625</v>
      </c>
      <c r="C15" s="14">
        <f t="shared" si="1"/>
        <v>1</v>
      </c>
      <c r="D15" s="14">
        <f>1-_xlfn.BETA.DIST(VLOOKUP($A15,NB_p!$A$2:$G$25,7,FALSE),VLOOKUP($A15,NB_r!$A$2:$G$25,7,FALSE),D$12,TRUE)</f>
        <v>0.93945707454227623</v>
      </c>
      <c r="E15" s="14">
        <f t="shared" si="1"/>
        <v>0.95238095238095233</v>
      </c>
      <c r="F15" s="14">
        <f>1-_xlfn.BETA.DIST(VLOOKUP($A15,NB_p!$A$2:$G$25,7,FALSE),VLOOKUP($A15,NB_r!$A$2:$G$25,7,FALSE),F$12,TRUE)</f>
        <v>0.72920847077178741</v>
      </c>
      <c r="G15" s="14">
        <f t="shared" si="1"/>
        <v>0.80952380952380953</v>
      </c>
      <c r="H15" s="14">
        <f>1-_xlfn.BETA.DIST(VLOOKUP($A15,NB_p!$A$2:$G$25,7,FALSE),VLOOKUP($A15,NB_r!$A$2:$G$25,7,FALSE),H$12,TRUE)</f>
        <v>0.43067781378107139</v>
      </c>
      <c r="I15" s="14">
        <f t="shared" si="1"/>
        <v>0.33333333333333331</v>
      </c>
      <c r="J15" s="14">
        <f>1-_xlfn.BETA.DIST(VLOOKUP($A15,NB_p!$A$2:$G$25,7,FALSE),VLOOKUP($A15,NB_r!$A$2:$G$25,7,FALSE),J$12,TRUE)</f>
        <v>0.19513563184576521</v>
      </c>
      <c r="K15" s="14">
        <f t="shared" si="1"/>
        <v>0.19047619047619047</v>
      </c>
      <c r="L15" s="14">
        <f>1-_xlfn.BETA.DIST(VLOOKUP($A15,NB_p!$A$2:$G$25,7,FALSE),VLOOKUP($A15,NB_r!$A$2:$G$25,7,FALSE),L$12,TRUE)</f>
        <v>7.0546622771319178E-2</v>
      </c>
      <c r="M15" s="14">
        <f t="shared" si="1"/>
        <v>9.5238095238095233E-2</v>
      </c>
      <c r="N15" s="1"/>
      <c r="O15" s="1"/>
    </row>
    <row r="16" spans="1:15" x14ac:dyDescent="0.3">
      <c r="A16" s="12">
        <v>20</v>
      </c>
      <c r="B16" s="14">
        <f>1-_xlfn.BETA.DIST(VLOOKUP($A16,NB_p!$A$2:$G$25,7,FALSE),VLOOKUP($A16,NB_r!$A$2:$G$25,7,FALSE),B$12,TRUE)</f>
        <v>0.99868239435013451</v>
      </c>
      <c r="C16" s="14">
        <f t="shared" si="1"/>
        <v>1</v>
      </c>
      <c r="D16" s="14">
        <f>1-_xlfn.BETA.DIST(VLOOKUP($A16,NB_p!$A$2:$G$25,7,FALSE),VLOOKUP($A16,NB_r!$A$2:$G$25,7,FALSE),D$12,TRUE)</f>
        <v>0.93001073211937602</v>
      </c>
      <c r="E16" s="14">
        <f t="shared" si="1"/>
        <v>0.95238095238095233</v>
      </c>
      <c r="F16" s="14">
        <f>1-_xlfn.BETA.DIST(VLOOKUP($A16,NB_p!$A$2:$G$25,7,FALSE),VLOOKUP($A16,NB_r!$A$2:$G$25,7,FALSE),F$12,TRUE)</f>
        <v>0.59046462535202116</v>
      </c>
      <c r="G16" s="14">
        <f t="shared" si="1"/>
        <v>0.47619047619047616</v>
      </c>
      <c r="H16" s="14">
        <f>1-_xlfn.BETA.DIST(VLOOKUP($A16,NB_p!$A$2:$G$25,7,FALSE),VLOOKUP($A16,NB_r!$A$2:$G$25,7,FALSE),H$12,TRUE)</f>
        <v>0.19608549352158899</v>
      </c>
      <c r="I16" s="14">
        <f t="shared" si="1"/>
        <v>0.23809523809523808</v>
      </c>
      <c r="J16" s="14">
        <f>1-_xlfn.BETA.DIST(VLOOKUP($A16,NB_p!$A$2:$G$25,7,FALSE),VLOOKUP($A16,NB_r!$A$2:$G$25,7,FALSE),J$12,TRUE)</f>
        <v>3.3678123361095436E-2</v>
      </c>
      <c r="K16" s="14">
        <f t="shared" si="1"/>
        <v>4.7619047619047616E-2</v>
      </c>
      <c r="L16" s="14">
        <f>1-_xlfn.BETA.DIST(VLOOKUP($A16,NB_p!$A$2:$G$25,7,FALSE),VLOOKUP($A16,NB_r!$A$2:$G$25,7,FALSE),L$12,TRUE)</f>
        <v>3.2589511185641129E-3</v>
      </c>
      <c r="M16" s="14">
        <f t="shared" si="1"/>
        <v>0</v>
      </c>
      <c r="N16" s="1"/>
      <c r="O16" s="1"/>
    </row>
    <row r="17" spans="1:25" x14ac:dyDescent="0.3">
      <c r="A17" s="12">
        <v>21</v>
      </c>
      <c r="B17" s="14">
        <f>1-_xlfn.BETA.DIST(VLOOKUP($A17,NB_p!$A$2:$G$25,7,FALSE),VLOOKUP($A17,NB_r!$A$2:$G$25,7,FALSE),B$12,TRUE)</f>
        <v>0.98298151230625574</v>
      </c>
      <c r="C17" s="14">
        <f t="shared" si="1"/>
        <v>1</v>
      </c>
      <c r="D17" s="14">
        <f>1-_xlfn.BETA.DIST(VLOOKUP($A17,NB_p!$A$2:$G$25,7,FALSE),VLOOKUP($A17,NB_r!$A$2:$G$25,7,FALSE),D$12,TRUE)</f>
        <v>0.8039908679873955</v>
      </c>
      <c r="E17" s="14">
        <f t="shared" si="1"/>
        <v>0.8571428571428571</v>
      </c>
      <c r="F17" s="14">
        <f>1-_xlfn.BETA.DIST(VLOOKUP($A17,NB_p!$A$2:$G$25,7,FALSE),VLOOKUP($A17,NB_r!$A$2:$G$25,7,FALSE),F$12,TRUE)</f>
        <v>0.45723612328503771</v>
      </c>
      <c r="G17" s="14">
        <f t="shared" si="1"/>
        <v>0.38095238095238093</v>
      </c>
      <c r="H17" s="14">
        <f>1-_xlfn.BETA.DIST(VLOOKUP($A17,NB_p!$A$2:$G$25,7,FALSE),VLOOKUP($A17,NB_r!$A$2:$G$25,7,FALSE),H$12,TRUE)</f>
        <v>0.18142029224688638</v>
      </c>
      <c r="I17" s="14">
        <f t="shared" si="1"/>
        <v>0.19047619047619047</v>
      </c>
      <c r="J17" s="14">
        <f>1-_xlfn.BETA.DIST(VLOOKUP($A17,NB_p!$A$2:$G$25,7,FALSE),VLOOKUP($A17,NB_r!$A$2:$G$25,7,FALSE),J$12,TRUE)</f>
        <v>5.3837270502519408E-2</v>
      </c>
      <c r="K17" s="14">
        <f t="shared" si="1"/>
        <v>9.5238095238095233E-2</v>
      </c>
      <c r="L17" s="14">
        <f>1-_xlfn.BETA.DIST(VLOOKUP($A17,NB_p!$A$2:$G$25,7,FALSE),VLOOKUP($A17,NB_r!$A$2:$G$25,7,FALSE),L$12,TRUE)</f>
        <v>1.2751661064946518E-2</v>
      </c>
      <c r="M17" s="14">
        <f t="shared" si="1"/>
        <v>0</v>
      </c>
      <c r="N17" s="1"/>
      <c r="O17" s="1"/>
    </row>
    <row r="18" spans="1:25" x14ac:dyDescent="0.3">
      <c r="A18" s="12">
        <v>22</v>
      </c>
      <c r="B18" s="14">
        <f>1-_xlfn.BETA.DIST(VLOOKUP($A18,NB_p!$A$2:$G$25,7,FALSE),VLOOKUP($A18,NB_r!$A$2:$G$25,7,FALSE),B$12,TRUE)</f>
        <v>0.95736540648244894</v>
      </c>
      <c r="C18" s="14">
        <f t="shared" si="1"/>
        <v>0.95238095238095233</v>
      </c>
      <c r="D18" s="14">
        <f>1-_xlfn.BETA.DIST(VLOOKUP($A18,NB_p!$A$2:$G$25,7,FALSE),VLOOKUP($A18,NB_r!$A$2:$G$25,7,FALSE),D$12,TRUE)</f>
        <v>0.66339880950121688</v>
      </c>
      <c r="E18" s="14">
        <f t="shared" si="1"/>
        <v>0.61904761904761907</v>
      </c>
      <c r="F18" s="14">
        <f>1-_xlfn.BETA.DIST(VLOOKUP($A18,NB_p!$A$2:$G$25,7,FALSE),VLOOKUP($A18,NB_r!$A$2:$G$25,7,FALSE),F$12,TRUE)</f>
        <v>0.28541975677015152</v>
      </c>
      <c r="G18" s="14">
        <f t="shared" si="1"/>
        <v>0.33333333333333331</v>
      </c>
      <c r="H18" s="14">
        <f>1-_xlfn.BETA.DIST(VLOOKUP($A18,NB_p!$A$2:$G$25,7,FALSE),VLOOKUP($A18,NB_r!$A$2:$G$25,7,FALSE),H$12,TRUE)</f>
        <v>8.2277842252423516E-2</v>
      </c>
      <c r="I18" s="14">
        <f t="shared" si="1"/>
        <v>9.5238095238095233E-2</v>
      </c>
      <c r="J18" s="14">
        <f>1-_xlfn.BETA.DIST(VLOOKUP($A18,NB_p!$A$2:$G$25,7,FALSE),VLOOKUP($A18,NB_r!$A$2:$G$25,7,FALSE),J$12,TRUE)</f>
        <v>1.758106726931119E-2</v>
      </c>
      <c r="K18" s="14">
        <f t="shared" si="1"/>
        <v>0</v>
      </c>
      <c r="L18" s="14">
        <f>1-_xlfn.BETA.DIST(VLOOKUP($A18,NB_p!$A$2:$G$25,7,FALSE),VLOOKUP($A18,NB_r!$A$2:$G$25,7,FALSE),L$12,TRUE)</f>
        <v>3.0030736137196534E-3</v>
      </c>
      <c r="M18" s="14">
        <f t="shared" si="1"/>
        <v>0</v>
      </c>
      <c r="N18" s="1"/>
      <c r="O18" s="1"/>
    </row>
    <row r="19" spans="1:25" x14ac:dyDescent="0.3">
      <c r="A19" s="9"/>
      <c r="B19" s="10" t="s">
        <v>21</v>
      </c>
      <c r="C19" s="10" t="s">
        <v>22</v>
      </c>
      <c r="D19" s="10" t="s">
        <v>16</v>
      </c>
      <c r="E19" s="10" t="s">
        <v>17</v>
      </c>
      <c r="F19" s="10" t="s">
        <v>23</v>
      </c>
      <c r="G19" s="10" t="s">
        <v>24</v>
      </c>
      <c r="H19" s="10" t="s">
        <v>25</v>
      </c>
      <c r="I19" s="10" t="s">
        <v>26</v>
      </c>
      <c r="J19" s="10" t="s">
        <v>27</v>
      </c>
      <c r="K19" s="10" t="s">
        <v>28</v>
      </c>
      <c r="L19" s="10" t="s">
        <v>30</v>
      </c>
      <c r="M19" s="10" t="s">
        <v>31</v>
      </c>
      <c r="N19" s="10" t="s">
        <v>32</v>
      </c>
      <c r="O19" s="11" t="s">
        <v>33</v>
      </c>
    </row>
    <row r="20" spans="1:25" x14ac:dyDescent="0.3">
      <c r="A20" s="12" t="s">
        <v>34</v>
      </c>
      <c r="B20" s="19">
        <v>10</v>
      </c>
      <c r="C20" s="19">
        <v>10</v>
      </c>
      <c r="D20" s="19">
        <v>15</v>
      </c>
      <c r="E20" s="19">
        <v>15</v>
      </c>
      <c r="F20" s="19">
        <v>20</v>
      </c>
      <c r="G20" s="19">
        <v>20</v>
      </c>
      <c r="H20" s="19">
        <v>25</v>
      </c>
      <c r="I20" s="19">
        <v>25</v>
      </c>
      <c r="J20" s="19">
        <v>30</v>
      </c>
      <c r="K20" s="19">
        <v>30</v>
      </c>
      <c r="L20" s="19">
        <v>35</v>
      </c>
      <c r="M20" s="19">
        <v>35</v>
      </c>
      <c r="N20" s="19">
        <v>40</v>
      </c>
      <c r="O20" s="13">
        <v>40</v>
      </c>
    </row>
    <row r="21" spans="1:25" x14ac:dyDescent="0.3">
      <c r="A21" s="12">
        <v>9</v>
      </c>
      <c r="B21" s="14">
        <f>1-_xlfn.BETA.DIST(VLOOKUP($A21,NB_p!$A$2:$G$25,7,FALSE),VLOOKUP($A21,NB_r!$A$2:$G$25,7,FALSE),B$20,TRUE)</f>
        <v>0.90104403559648583</v>
      </c>
      <c r="C21" s="14">
        <f>COUNTIF(INDEX($B$33:$Y$53,0,MATCH($A21,$B$32:$Y$32,0)),"&gt;="&amp;C$20)/ROWS($A$33:$A$53)</f>
        <v>1</v>
      </c>
      <c r="D21" s="14">
        <f>1-_xlfn.BETA.DIST(VLOOKUP($A21,NB_p!$A$2:$G$25,7,FALSE),VLOOKUP($A21,NB_r!$A$2:$G$25,7,FALSE),D$20,TRUE)</f>
        <v>0.65949846320465566</v>
      </c>
      <c r="E21" s="14">
        <f>COUNTIF(INDEX($B$33:$Y$53,0,MATCH($A21,$B$32:$Y$32,0)),"&gt;="&amp;E$20)/ROWS($A$33:$A$53)</f>
        <v>0.61904761904761907</v>
      </c>
      <c r="F21" s="14">
        <f>1-_xlfn.BETA.DIST(VLOOKUP($A21,NB_p!$A$2:$G$25,7,FALSE),VLOOKUP($A21,NB_r!$A$2:$G$25,7,FALSE),F$20,TRUE)</f>
        <v>0.37661328625066515</v>
      </c>
      <c r="G21" s="14">
        <f>COUNTIF(INDEX($B$33:$Y$53,0,MATCH($A21,$B$32:$Y$32,0)),"&gt;="&amp;G$20)/ROWS($A$33:$A$53)</f>
        <v>0.33333333333333331</v>
      </c>
      <c r="H21" s="14">
        <f>1-_xlfn.BETA.DIST(VLOOKUP($A21,NB_p!$A$2:$G$25,7,FALSE),VLOOKUP($A21,NB_r!$A$2:$G$25,7,FALSE),H$20,TRUE)</f>
        <v>0.17277939856658797</v>
      </c>
      <c r="I21" s="14">
        <f>COUNTIF(INDEX($B$33:$Y$53,0,MATCH($A21,$B$32:$Y$32,0)),"&gt;="&amp;I$20)/ROWS($A$33:$A$53)</f>
        <v>0.19047619047619047</v>
      </c>
      <c r="J21" s="14">
        <f>1-_xlfn.BETA.DIST(VLOOKUP($A21,NB_p!$A$2:$G$25,7,FALSE),VLOOKUP($A21,NB_r!$A$2:$G$25,7,FALSE),J$20,TRUE)</f>
        <v>6.631564106114185E-2</v>
      </c>
      <c r="K21" s="14">
        <f>COUNTIF(INDEX($B$33:$Y$53,0,MATCH($A21,$B$32:$Y$32,0)),"&gt;="&amp;K$20)/ROWS($A$33:$A$53)</f>
        <v>0.14285714285714285</v>
      </c>
      <c r="L21" s="14">
        <f>1-_xlfn.BETA.DIST(VLOOKUP($A21,NB_p!$A$2:$G$25,7,FALSE),VLOOKUP($A21,NB_r!$A$2:$G$25,7,FALSE),L$20,TRUE)</f>
        <v>2.2055382635176368E-2</v>
      </c>
      <c r="M21" s="14">
        <f>COUNTIF(INDEX($B$33:$Y$53,0,MATCH($A21,$B$32:$Y$32,0)),"&gt;="&amp;M$20)/ROWS($A$33:$A$53)</f>
        <v>0</v>
      </c>
      <c r="N21" s="14">
        <f>1-_xlfn.BETA.DIST(VLOOKUP($A21,NB_p!$A$2:$G$25,7,FALSE),VLOOKUP($A21,NB_r!$A$2:$G$25,7,FALSE),N$20,TRUE)</f>
        <v>6.5327307238998156E-3</v>
      </c>
      <c r="O21" s="17">
        <f>COUNTIF(INDEX($B$33:$Y$53,0,MATCH($A21,$B$32:$Y$32,0)),"&gt;="&amp;O$20)/ROWS($A$33:$A$53)</f>
        <v>0</v>
      </c>
    </row>
    <row r="22" spans="1:25" x14ac:dyDescent="0.3">
      <c r="A22" s="12">
        <v>10</v>
      </c>
      <c r="B22" s="14">
        <f>1-_xlfn.BETA.DIST(VLOOKUP($A22,NB_p!$A$2:$G$25,7,FALSE),VLOOKUP($A22,NB_r!$A$2:$G$25,7,FALSE),B$20,TRUE)</f>
        <v>0.97806743108182426</v>
      </c>
      <c r="C22" s="14">
        <f t="shared" ref="C22:O30" si="2">COUNTIF(INDEX($B$33:$Y$53,0,MATCH($A22,$B$32:$Y$32,0)),"&gt;="&amp;C$20)/ROWS($A$33:$A$53)</f>
        <v>0.95238095238095233</v>
      </c>
      <c r="D22" s="14">
        <f>1-_xlfn.BETA.DIST(VLOOKUP($A22,NB_p!$A$2:$G$25,7,FALSE),VLOOKUP($A22,NB_r!$A$2:$G$25,7,FALSE),D$20,TRUE)</f>
        <v>0.81867967085011339</v>
      </c>
      <c r="E22" s="14">
        <f t="shared" si="2"/>
        <v>0.80952380952380953</v>
      </c>
      <c r="F22" s="14">
        <f>1-_xlfn.BETA.DIST(VLOOKUP($A22,NB_p!$A$2:$G$25,7,FALSE),VLOOKUP($A22,NB_r!$A$2:$G$25,7,FALSE),F$20,TRUE)</f>
        <v>0.48530636972796026</v>
      </c>
      <c r="G22" s="14">
        <f t="shared" si="2"/>
        <v>0.52380952380952384</v>
      </c>
      <c r="H22" s="14">
        <f>1-_xlfn.BETA.DIST(VLOOKUP($A22,NB_p!$A$2:$G$25,7,FALSE),VLOOKUP($A22,NB_r!$A$2:$G$25,7,FALSE),H$20,TRUE)</f>
        <v>0.19004944655106004</v>
      </c>
      <c r="I22" s="14">
        <f t="shared" si="2"/>
        <v>0.19047619047619047</v>
      </c>
      <c r="J22" s="14">
        <f>1-_xlfn.BETA.DIST(VLOOKUP($A22,NB_p!$A$2:$G$25,7,FALSE),VLOOKUP($A22,NB_r!$A$2:$G$25,7,FALSE),J$20,TRUE)</f>
        <v>5.0455728079184636E-2</v>
      </c>
      <c r="K22" s="14">
        <f t="shared" si="2"/>
        <v>4.7619047619047616E-2</v>
      </c>
      <c r="L22" s="14">
        <f>1-_xlfn.BETA.DIST(VLOOKUP($A22,NB_p!$A$2:$G$25,7,FALSE),VLOOKUP($A22,NB_r!$A$2:$G$25,7,FALSE),L$20,TRUE)</f>
        <v>9.5756966975906188E-3</v>
      </c>
      <c r="M22" s="14">
        <f t="shared" si="2"/>
        <v>0</v>
      </c>
      <c r="N22" s="14">
        <f>1-_xlfn.BETA.DIST(VLOOKUP($A22,NB_p!$A$2:$G$25,7,FALSE),VLOOKUP($A22,NB_r!$A$2:$G$25,7,FALSE),N$20,TRUE)</f>
        <v>1.3682257893024019E-3</v>
      </c>
      <c r="O22" s="17">
        <f t="shared" si="2"/>
        <v>0</v>
      </c>
    </row>
    <row r="23" spans="1:25" x14ac:dyDescent="0.3">
      <c r="A23" s="12">
        <v>11</v>
      </c>
      <c r="B23" s="14">
        <f>1-_xlfn.BETA.DIST(VLOOKUP($A23,NB_p!$A$2:$G$25,7,FALSE),VLOOKUP($A23,NB_r!$A$2:$G$25,7,FALSE),B$20,TRUE)</f>
        <v>0.95510389075381774</v>
      </c>
      <c r="C23" s="14">
        <f t="shared" si="2"/>
        <v>1</v>
      </c>
      <c r="D23" s="14">
        <f>1-_xlfn.BETA.DIST(VLOOKUP($A23,NB_p!$A$2:$G$25,7,FALSE),VLOOKUP($A23,NB_r!$A$2:$G$25,7,FALSE),D$20,TRUE)</f>
        <v>0.79135477227991757</v>
      </c>
      <c r="E23" s="14">
        <f t="shared" si="2"/>
        <v>0.80952380952380953</v>
      </c>
      <c r="F23" s="14">
        <f>1-_xlfn.BETA.DIST(VLOOKUP($A23,NB_p!$A$2:$G$25,7,FALSE),VLOOKUP($A23,NB_r!$A$2:$G$25,7,FALSE),F$20,TRUE)</f>
        <v>0.5300761885068529</v>
      </c>
      <c r="G23" s="14">
        <f t="shared" si="2"/>
        <v>0.42857142857142855</v>
      </c>
      <c r="H23" s="14">
        <f>1-_xlfn.BETA.DIST(VLOOKUP($A23,NB_p!$A$2:$G$25,7,FALSE),VLOOKUP($A23,NB_r!$A$2:$G$25,7,FALSE),H$20,TRUE)</f>
        <v>0.28650548975789802</v>
      </c>
      <c r="I23" s="14">
        <f t="shared" si="2"/>
        <v>0.23809523809523808</v>
      </c>
      <c r="J23" s="14">
        <f>1-_xlfn.BETA.DIST(VLOOKUP($A23,NB_p!$A$2:$G$25,7,FALSE),VLOOKUP($A23,NB_r!$A$2:$G$25,7,FALSE),J$20,TRUE)</f>
        <v>0.12837906322089876</v>
      </c>
      <c r="K23" s="14">
        <f t="shared" si="2"/>
        <v>0.19047619047619047</v>
      </c>
      <c r="L23" s="14">
        <f>1-_xlfn.BETA.DIST(VLOOKUP($A23,NB_p!$A$2:$G$25,7,FALSE),VLOOKUP($A23,NB_r!$A$2:$G$25,7,FALSE),L$20,TRUE)</f>
        <v>4.9189774710681533E-2</v>
      </c>
      <c r="M23" s="14">
        <f t="shared" si="2"/>
        <v>9.5238095238095233E-2</v>
      </c>
      <c r="N23" s="14">
        <f>1-_xlfn.BETA.DIST(VLOOKUP($A23,NB_p!$A$2:$G$25,7,FALSE),VLOOKUP($A23,NB_r!$A$2:$G$25,7,FALSE),N$20,TRUE)</f>
        <v>1.6558006757404486E-2</v>
      </c>
      <c r="O23" s="17">
        <f t="shared" si="2"/>
        <v>0</v>
      </c>
    </row>
    <row r="24" spans="1:25" x14ac:dyDescent="0.3">
      <c r="A24" s="12">
        <v>12</v>
      </c>
      <c r="B24" s="14">
        <f>1-_xlfn.BETA.DIST(VLOOKUP($A24,NB_p!$A$2:$G$25,7,FALSE),VLOOKUP($A24,NB_r!$A$2:$G$25,7,FALSE),B$20,TRUE)</f>
        <v>0.99558862784250801</v>
      </c>
      <c r="C24" s="14">
        <f t="shared" si="2"/>
        <v>1</v>
      </c>
      <c r="D24" s="14">
        <f>1-_xlfn.BETA.DIST(VLOOKUP($A24,NB_p!$A$2:$G$25,7,FALSE),VLOOKUP($A24,NB_r!$A$2:$G$25,7,FALSE),D$20,TRUE)</f>
        <v>0.93426646548691994</v>
      </c>
      <c r="E24" s="14">
        <f t="shared" si="2"/>
        <v>1</v>
      </c>
      <c r="F24" s="14">
        <f>1-_xlfn.BETA.DIST(VLOOKUP($A24,NB_p!$A$2:$G$25,7,FALSE),VLOOKUP($A24,NB_r!$A$2:$G$25,7,FALSE),F$20,TRUE)</f>
        <v>0.70865834697495078</v>
      </c>
      <c r="G24" s="14">
        <f t="shared" si="2"/>
        <v>0.66666666666666663</v>
      </c>
      <c r="H24" s="14">
        <f>1-_xlfn.BETA.DIST(VLOOKUP($A24,NB_p!$A$2:$G$25,7,FALSE),VLOOKUP($A24,NB_r!$A$2:$G$25,7,FALSE),H$20,TRUE)</f>
        <v>0.379652952742075</v>
      </c>
      <c r="I24" s="14">
        <f t="shared" si="2"/>
        <v>0.42857142857142855</v>
      </c>
      <c r="J24" s="14">
        <f>1-_xlfn.BETA.DIST(VLOOKUP($A24,NB_p!$A$2:$G$25,7,FALSE),VLOOKUP($A24,NB_r!$A$2:$G$25,7,FALSE),J$20,TRUE)</f>
        <v>0.13874493142104438</v>
      </c>
      <c r="K24" s="14">
        <f t="shared" si="2"/>
        <v>9.5238095238095233E-2</v>
      </c>
      <c r="L24" s="14">
        <f>1-_xlfn.BETA.DIST(VLOOKUP($A24,NB_p!$A$2:$G$25,7,FALSE),VLOOKUP($A24,NB_r!$A$2:$G$25,7,FALSE),L$20,TRUE)</f>
        <v>3.5459260930203795E-2</v>
      </c>
      <c r="M24" s="14">
        <f t="shared" si="2"/>
        <v>4.7619047619047616E-2</v>
      </c>
      <c r="N24" s="14">
        <f>1-_xlfn.BETA.DIST(VLOOKUP($A24,NB_p!$A$2:$G$25,7,FALSE),VLOOKUP($A24,NB_r!$A$2:$G$25,7,FALSE),N$20,TRUE)</f>
        <v>6.6097658875068355E-3</v>
      </c>
      <c r="O24" s="17">
        <f t="shared" si="2"/>
        <v>4.7619047619047616E-2</v>
      </c>
    </row>
    <row r="25" spans="1:25" x14ac:dyDescent="0.3">
      <c r="A25" s="12">
        <v>13</v>
      </c>
      <c r="B25" s="14">
        <f>1-_xlfn.BETA.DIST(VLOOKUP($A25,NB_p!$A$2:$G$25,7,FALSE),VLOOKUP($A25,NB_r!$A$2:$G$25,7,FALSE),B$20,TRUE)</f>
        <v>0.99362097731196786</v>
      </c>
      <c r="C25" s="14">
        <f t="shared" si="2"/>
        <v>1</v>
      </c>
      <c r="D25" s="14">
        <f>1-_xlfn.BETA.DIST(VLOOKUP($A25,NB_p!$A$2:$G$25,7,FALSE),VLOOKUP($A25,NB_r!$A$2:$G$25,7,FALSE),D$20,TRUE)</f>
        <v>0.9182433864205467</v>
      </c>
      <c r="E25" s="14">
        <f t="shared" si="2"/>
        <v>0.90476190476190477</v>
      </c>
      <c r="F25" s="14">
        <f>1-_xlfn.BETA.DIST(VLOOKUP($A25,NB_p!$A$2:$G$25,7,FALSE),VLOOKUP($A25,NB_r!$A$2:$G$25,7,FALSE),F$20,TRUE)</f>
        <v>0.6733649163852311</v>
      </c>
      <c r="G25" s="14">
        <f t="shared" si="2"/>
        <v>0.76190476190476186</v>
      </c>
      <c r="H25" s="14">
        <f>1-_xlfn.BETA.DIST(VLOOKUP($A25,NB_p!$A$2:$G$25,7,FALSE),VLOOKUP($A25,NB_r!$A$2:$G$25,7,FALSE),H$20,TRUE)</f>
        <v>0.34777250969226703</v>
      </c>
      <c r="I25" s="14">
        <f t="shared" si="2"/>
        <v>0.2857142857142857</v>
      </c>
      <c r="J25" s="14">
        <f>1-_xlfn.BETA.DIST(VLOOKUP($A25,NB_p!$A$2:$G$25,7,FALSE),VLOOKUP($A25,NB_r!$A$2:$G$25,7,FALSE),J$20,TRUE)</f>
        <v>0.12395204034006135</v>
      </c>
      <c r="K25" s="14">
        <f t="shared" si="2"/>
        <v>9.5238095238095233E-2</v>
      </c>
      <c r="L25" s="14">
        <f>1-_xlfn.BETA.DIST(VLOOKUP($A25,NB_p!$A$2:$G$25,7,FALSE),VLOOKUP($A25,NB_r!$A$2:$G$25,7,FALSE),L$20,TRUE)</f>
        <v>3.143991992658679E-2</v>
      </c>
      <c r="M25" s="14">
        <f t="shared" si="2"/>
        <v>4.7619047619047616E-2</v>
      </c>
      <c r="N25" s="14">
        <f>1-_xlfn.BETA.DIST(VLOOKUP($A25,NB_p!$A$2:$G$25,7,FALSE),VLOOKUP($A25,NB_r!$A$2:$G$25,7,FALSE),N$20,TRUE)</f>
        <v>5.9255554008961209E-3</v>
      </c>
      <c r="O25" s="17">
        <f t="shared" si="2"/>
        <v>0</v>
      </c>
    </row>
    <row r="26" spans="1:25" x14ac:dyDescent="0.3">
      <c r="A26" s="12">
        <v>14</v>
      </c>
      <c r="B26" s="14">
        <f>1-_xlfn.BETA.DIST(VLOOKUP($A26,NB_p!$A$2:$G$25,7,FALSE),VLOOKUP($A26,NB_r!$A$2:$G$25,7,FALSE),B$20,TRUE)</f>
        <v>0.9867364092938824</v>
      </c>
      <c r="C26" s="14">
        <f t="shared" si="2"/>
        <v>1</v>
      </c>
      <c r="D26" s="14">
        <f>1-_xlfn.BETA.DIST(VLOOKUP($A26,NB_p!$A$2:$G$25,7,FALSE),VLOOKUP($A26,NB_r!$A$2:$G$25,7,FALSE),D$20,TRUE)</f>
        <v>0.89034073917065049</v>
      </c>
      <c r="E26" s="14">
        <f t="shared" si="2"/>
        <v>1</v>
      </c>
      <c r="F26" s="14">
        <f>1-_xlfn.BETA.DIST(VLOOKUP($A26,NB_p!$A$2:$G$25,7,FALSE),VLOOKUP($A26,NB_r!$A$2:$G$25,7,FALSE),F$20,TRUE)</f>
        <v>0.65217604190748002</v>
      </c>
      <c r="G26" s="14">
        <f t="shared" si="2"/>
        <v>0.5714285714285714</v>
      </c>
      <c r="H26" s="14">
        <f>1-_xlfn.BETA.DIST(VLOOKUP($A26,NB_p!$A$2:$G$25,7,FALSE),VLOOKUP($A26,NB_r!$A$2:$G$25,7,FALSE),H$20,TRUE)</f>
        <v>0.36520534901761714</v>
      </c>
      <c r="I26" s="14">
        <f t="shared" si="2"/>
        <v>0.23809523809523808</v>
      </c>
      <c r="J26" s="14">
        <f>1-_xlfn.BETA.DIST(VLOOKUP($A26,NB_p!$A$2:$G$25,7,FALSE),VLOOKUP($A26,NB_r!$A$2:$G$25,7,FALSE),J$20,TRUE)</f>
        <v>0.15699868016784024</v>
      </c>
      <c r="K26" s="14">
        <f t="shared" si="2"/>
        <v>0.23809523809523808</v>
      </c>
      <c r="L26" s="14">
        <f>1-_xlfn.BETA.DIST(VLOOKUP($A26,NB_p!$A$2:$G$25,7,FALSE),VLOOKUP($A26,NB_r!$A$2:$G$25,7,FALSE),L$20,TRUE)</f>
        <v>5.3393340474455764E-2</v>
      </c>
      <c r="M26" s="14">
        <f t="shared" si="2"/>
        <v>4.7619047619047616E-2</v>
      </c>
      <c r="N26" s="14">
        <f>1-_xlfn.BETA.DIST(VLOOKUP($A26,NB_p!$A$2:$G$25,7,FALSE),VLOOKUP($A26,NB_r!$A$2:$G$25,7,FALSE),N$20,TRUE)</f>
        <v>1.4859267240317831E-2</v>
      </c>
      <c r="O26" s="17">
        <f t="shared" si="2"/>
        <v>4.7619047619047616E-2</v>
      </c>
    </row>
    <row r="27" spans="1:25" x14ac:dyDescent="0.3">
      <c r="A27" s="12">
        <v>15</v>
      </c>
      <c r="B27" s="14">
        <f>1-_xlfn.BETA.DIST(VLOOKUP($A27,NB_p!$A$2:$G$25,7,FALSE),VLOOKUP($A27,NB_r!$A$2:$G$25,7,FALSE),B$20,TRUE)</f>
        <v>0.99280896555905751</v>
      </c>
      <c r="C27" s="14">
        <f t="shared" si="2"/>
        <v>1</v>
      </c>
      <c r="D27" s="14">
        <f>1-_xlfn.BETA.DIST(VLOOKUP($A27,NB_p!$A$2:$G$25,7,FALSE),VLOOKUP($A27,NB_r!$A$2:$G$25,7,FALSE),D$20,TRUE)</f>
        <v>0.90659138583954291</v>
      </c>
      <c r="E27" s="14">
        <f t="shared" si="2"/>
        <v>0.90476190476190477</v>
      </c>
      <c r="F27" s="14">
        <f>1-_xlfn.BETA.DIST(VLOOKUP($A27,NB_p!$A$2:$G$25,7,FALSE),VLOOKUP($A27,NB_r!$A$2:$G$25,7,FALSE),F$20,TRUE)</f>
        <v>0.63527854057320854</v>
      </c>
      <c r="G27" s="14">
        <f t="shared" si="2"/>
        <v>0.66666666666666663</v>
      </c>
      <c r="H27" s="14">
        <f>1-_xlfn.BETA.DIST(VLOOKUP($A27,NB_p!$A$2:$G$25,7,FALSE),VLOOKUP($A27,NB_r!$A$2:$G$25,7,FALSE),H$20,TRUE)</f>
        <v>0.30009242546743753</v>
      </c>
      <c r="I27" s="14">
        <f t="shared" si="2"/>
        <v>0.38095238095238093</v>
      </c>
      <c r="J27" s="14">
        <f>1-_xlfn.BETA.DIST(VLOOKUP($A27,NB_p!$A$2:$G$25,7,FALSE),VLOOKUP($A27,NB_r!$A$2:$G$25,7,FALSE),J$20,TRUE)</f>
        <v>9.3925278247083854E-2</v>
      </c>
      <c r="K27" s="14">
        <f t="shared" si="2"/>
        <v>4.7619047619047616E-2</v>
      </c>
      <c r="L27" s="14">
        <f>1-_xlfn.BETA.DIST(VLOOKUP($A27,NB_p!$A$2:$G$25,7,FALSE),VLOOKUP($A27,NB_r!$A$2:$G$25,7,FALSE),L$20,TRUE)</f>
        <v>2.0205816983183578E-2</v>
      </c>
      <c r="M27" s="14">
        <f t="shared" si="2"/>
        <v>0</v>
      </c>
      <c r="N27" s="14">
        <f>1-_xlfn.BETA.DIST(VLOOKUP($A27,NB_p!$A$2:$G$25,7,FALSE),VLOOKUP($A27,NB_r!$A$2:$G$25,7,FALSE),N$20,TRUE)</f>
        <v>3.1356600687573177E-3</v>
      </c>
      <c r="O27" s="17">
        <f t="shared" si="2"/>
        <v>0</v>
      </c>
    </row>
    <row r="28" spans="1:25" x14ac:dyDescent="0.3">
      <c r="A28" s="12">
        <v>16</v>
      </c>
      <c r="B28" s="14">
        <f>1-_xlfn.BETA.DIST(VLOOKUP($A28,NB_p!$A$2:$G$25,7,FALSE),VLOOKUP($A28,NB_r!$A$2:$G$25,7,FALSE),B$20,TRUE)</f>
        <v>0.9795589898767606</v>
      </c>
      <c r="C28" s="14">
        <f t="shared" si="2"/>
        <v>1</v>
      </c>
      <c r="D28" s="14">
        <f>1-_xlfn.BETA.DIST(VLOOKUP($A28,NB_p!$A$2:$G$25,7,FALSE),VLOOKUP($A28,NB_r!$A$2:$G$25,7,FALSE),D$20,TRUE)</f>
        <v>0.87901460989899183</v>
      </c>
      <c r="E28" s="14">
        <f t="shared" si="2"/>
        <v>0.90476190476190477</v>
      </c>
      <c r="F28" s="14">
        <f>1-_xlfn.BETA.DIST(VLOOKUP($A28,NB_p!$A$2:$G$25,7,FALSE),VLOOKUP($A28,NB_r!$A$2:$G$25,7,FALSE),F$20,TRUE)</f>
        <v>0.67089932693732779</v>
      </c>
      <c r="G28" s="14">
        <f t="shared" si="2"/>
        <v>0.7142857142857143</v>
      </c>
      <c r="H28" s="14">
        <f>1-_xlfn.BETA.DIST(VLOOKUP($A28,NB_p!$A$2:$G$25,7,FALSE),VLOOKUP($A28,NB_r!$A$2:$G$25,7,FALSE),H$20,TRUE)</f>
        <v>0.42460402335209735</v>
      </c>
      <c r="I28" s="14">
        <f t="shared" si="2"/>
        <v>0.38095238095238093</v>
      </c>
      <c r="J28" s="14">
        <f>1-_xlfn.BETA.DIST(VLOOKUP($A28,NB_p!$A$2:$G$25,7,FALSE),VLOOKUP($A28,NB_r!$A$2:$G$25,7,FALSE),J$20,TRUE)</f>
        <v>0.22515387427751976</v>
      </c>
      <c r="K28" s="14">
        <f t="shared" si="2"/>
        <v>0.23809523809523808</v>
      </c>
      <c r="L28" s="14">
        <f>1-_xlfn.BETA.DIST(VLOOKUP($A28,NB_p!$A$2:$G$25,7,FALSE),VLOOKUP($A28,NB_r!$A$2:$G$25,7,FALSE),L$20,TRUE)</f>
        <v>0.10231739358420566</v>
      </c>
      <c r="M28" s="14">
        <f t="shared" si="2"/>
        <v>9.5238095238095233E-2</v>
      </c>
      <c r="N28" s="14">
        <f>1-_xlfn.BETA.DIST(VLOOKUP($A28,NB_p!$A$2:$G$25,7,FALSE),VLOOKUP($A28,NB_r!$A$2:$G$25,7,FALSE),N$20,TRUE)</f>
        <v>4.0784419082557033E-2</v>
      </c>
      <c r="O28" s="17">
        <f t="shared" si="2"/>
        <v>4.7619047619047616E-2</v>
      </c>
    </row>
    <row r="29" spans="1:25" x14ac:dyDescent="0.3">
      <c r="A29" s="12">
        <v>17</v>
      </c>
      <c r="B29" s="14">
        <f>1-_xlfn.BETA.DIST(VLOOKUP($A29,NB_p!$A$2:$G$25,7,FALSE),VLOOKUP($A29,NB_r!$A$2:$G$25,7,FALSE),B$20,TRUE)</f>
        <v>0.99269466474701973</v>
      </c>
      <c r="C29" s="14">
        <f t="shared" si="2"/>
        <v>1</v>
      </c>
      <c r="D29" s="14">
        <f>1-_xlfn.BETA.DIST(VLOOKUP($A29,NB_p!$A$2:$G$25,7,FALSE),VLOOKUP($A29,NB_r!$A$2:$G$25,7,FALSE),D$20,TRUE)</f>
        <v>0.94909542086354259</v>
      </c>
      <c r="E29" s="14">
        <f t="shared" si="2"/>
        <v>0.90476190476190477</v>
      </c>
      <c r="F29" s="14">
        <f>1-_xlfn.BETA.DIST(VLOOKUP($A29,NB_p!$A$2:$G$25,7,FALSE),VLOOKUP($A29,NB_r!$A$2:$G$25,7,FALSE),F$20,TRUE)</f>
        <v>0.83389236235360431</v>
      </c>
      <c r="G29" s="14">
        <f t="shared" si="2"/>
        <v>0.90476190476190477</v>
      </c>
      <c r="H29" s="14">
        <f>1-_xlfn.BETA.DIST(VLOOKUP($A29,NB_p!$A$2:$G$25,7,FALSE),VLOOKUP($A29,NB_r!$A$2:$G$25,7,FALSE),H$20,TRUE)</f>
        <v>0.65273608171354969</v>
      </c>
      <c r="I29" s="14">
        <f t="shared" si="2"/>
        <v>0.66666666666666663</v>
      </c>
      <c r="J29" s="14">
        <f>1-_xlfn.BETA.DIST(VLOOKUP($A29,NB_p!$A$2:$G$25,7,FALSE),VLOOKUP($A29,NB_r!$A$2:$G$25,7,FALSE),J$20,TRUE)</f>
        <v>0.45192337414095451</v>
      </c>
      <c r="K29" s="14">
        <f t="shared" si="2"/>
        <v>0.42857142857142855</v>
      </c>
      <c r="L29" s="14">
        <f>1-_xlfn.BETA.DIST(VLOOKUP($A29,NB_p!$A$2:$G$25,7,FALSE),VLOOKUP($A29,NB_r!$A$2:$G$25,7,FALSE),L$20,TRUE)</f>
        <v>0.27874160858819264</v>
      </c>
      <c r="M29" s="14">
        <f t="shared" si="2"/>
        <v>0.23809523809523808</v>
      </c>
      <c r="N29" s="14">
        <f>1-_xlfn.BETA.DIST(VLOOKUP($A29,NB_p!$A$2:$G$25,7,FALSE),VLOOKUP($A29,NB_r!$A$2:$G$25,7,FALSE),N$20,TRUE)</f>
        <v>0.1550819707078428</v>
      </c>
      <c r="O29" s="17">
        <f t="shared" si="2"/>
        <v>9.5238095238095233E-2</v>
      </c>
    </row>
    <row r="30" spans="1:25" x14ac:dyDescent="0.3">
      <c r="A30" s="15">
        <v>18</v>
      </c>
      <c r="B30" s="16">
        <f>1-_xlfn.BETA.DIST(VLOOKUP($A30,NB_p!$A$2:$G$25,7,FALSE),VLOOKUP($A30,NB_r!$A$2:$G$25,7,FALSE),B$20,TRUE)</f>
        <v>0.99126280940955691</v>
      </c>
      <c r="C30" s="16">
        <f t="shared" si="2"/>
        <v>1</v>
      </c>
      <c r="D30" s="16">
        <f>1-_xlfn.BETA.DIST(VLOOKUP($A30,NB_p!$A$2:$G$25,7,FALSE),VLOOKUP($A30,NB_r!$A$2:$G$25,7,FALSE),D$20,TRUE)</f>
        <v>0.92451908687873985</v>
      </c>
      <c r="E30" s="16">
        <f t="shared" si="2"/>
        <v>0.90476190476190477</v>
      </c>
      <c r="F30" s="16">
        <f>1-_xlfn.BETA.DIST(VLOOKUP($A30,NB_p!$A$2:$G$25,7,FALSE),VLOOKUP($A30,NB_r!$A$2:$G$25,7,FALSE),F$20,TRUE)</f>
        <v>0.7405518655262171</v>
      </c>
      <c r="G30" s="16">
        <f t="shared" si="2"/>
        <v>0.7142857142857143</v>
      </c>
      <c r="H30" s="16">
        <f>1-_xlfn.BETA.DIST(VLOOKUP($A30,NB_p!$A$2:$G$25,7,FALSE),VLOOKUP($A30,NB_r!$A$2:$G$25,7,FALSE),H$20,TRUE)</f>
        <v>0.48097659009095173</v>
      </c>
      <c r="I30" s="16">
        <f t="shared" si="2"/>
        <v>0.47619047619047616</v>
      </c>
      <c r="J30" s="16">
        <f>1-_xlfn.BETA.DIST(VLOOKUP($A30,NB_p!$A$2:$G$25,7,FALSE),VLOOKUP($A30,NB_r!$A$2:$G$25,7,FALSE),J$20,TRUE)</f>
        <v>0.25158202856825351</v>
      </c>
      <c r="K30" s="16">
        <f t="shared" si="2"/>
        <v>0.2857142857142857</v>
      </c>
      <c r="L30" s="16">
        <f>1-_xlfn.BETA.DIST(VLOOKUP($A30,NB_p!$A$2:$G$25,7,FALSE),VLOOKUP($A30,NB_r!$A$2:$G$25,7,FALSE),L$20,TRUE)</f>
        <v>0.10801080938228413</v>
      </c>
      <c r="M30" s="16">
        <f t="shared" si="2"/>
        <v>9.5238095238095233E-2</v>
      </c>
      <c r="N30" s="16">
        <f>1-_xlfn.BETA.DIST(VLOOKUP($A30,NB_p!$A$2:$G$25,7,FALSE),VLOOKUP($A30,NB_r!$A$2:$G$25,7,FALSE),N$20,TRUE)</f>
        <v>3.9050183918328041E-2</v>
      </c>
      <c r="O30" s="18">
        <f t="shared" si="2"/>
        <v>0</v>
      </c>
    </row>
    <row r="32" spans="1:25" x14ac:dyDescent="0.3">
      <c r="A32" s="1" t="s">
        <v>7</v>
      </c>
      <c r="B32" s="1">
        <v>0</v>
      </c>
      <c r="C32" s="1">
        <v>1</v>
      </c>
      <c r="D32" s="1">
        <v>2</v>
      </c>
      <c r="E32" s="1">
        <v>3</v>
      </c>
      <c r="F32" s="1">
        <v>4</v>
      </c>
      <c r="G32" s="1">
        <v>5</v>
      </c>
      <c r="H32" s="1">
        <v>6</v>
      </c>
      <c r="I32" s="1">
        <v>7</v>
      </c>
      <c r="J32" s="1">
        <v>8</v>
      </c>
      <c r="K32" s="1">
        <v>9</v>
      </c>
      <c r="L32" s="1">
        <v>10</v>
      </c>
      <c r="M32" s="1">
        <v>11</v>
      </c>
      <c r="N32" s="1">
        <v>12</v>
      </c>
      <c r="O32" s="1">
        <v>13</v>
      </c>
      <c r="P32" s="1">
        <v>14</v>
      </c>
      <c r="Q32" s="1">
        <v>15</v>
      </c>
      <c r="R32" s="1">
        <v>16</v>
      </c>
      <c r="S32" s="1">
        <v>17</v>
      </c>
      <c r="T32" s="1">
        <v>18</v>
      </c>
      <c r="U32" s="1">
        <v>19</v>
      </c>
      <c r="V32" s="1">
        <v>20</v>
      </c>
      <c r="W32" s="1">
        <v>21</v>
      </c>
      <c r="X32" s="1">
        <v>22</v>
      </c>
      <c r="Y32" s="1">
        <v>23</v>
      </c>
    </row>
    <row r="33" spans="1:25" x14ac:dyDescent="0.3">
      <c r="A33" s="2">
        <v>42349</v>
      </c>
      <c r="B33" s="1">
        <v>3</v>
      </c>
      <c r="C33" s="1">
        <v>4</v>
      </c>
      <c r="D33" s="1">
        <v>4</v>
      </c>
      <c r="E33" s="1">
        <v>9</v>
      </c>
      <c r="F33" s="1">
        <v>6</v>
      </c>
      <c r="G33" s="1">
        <v>5</v>
      </c>
      <c r="H33" s="1">
        <v>10</v>
      </c>
      <c r="I33" s="1">
        <v>11</v>
      </c>
      <c r="J33" s="1">
        <v>29</v>
      </c>
      <c r="K33" s="1">
        <v>11</v>
      </c>
      <c r="L33" s="1">
        <v>18</v>
      </c>
      <c r="M33" s="1">
        <v>15</v>
      </c>
      <c r="N33" s="1">
        <v>24</v>
      </c>
      <c r="O33" s="1">
        <v>23</v>
      </c>
      <c r="P33" s="1">
        <v>23</v>
      </c>
      <c r="Q33" s="1">
        <v>28</v>
      </c>
      <c r="R33" s="1">
        <v>27</v>
      </c>
      <c r="S33" s="1">
        <v>39</v>
      </c>
      <c r="T33" s="1">
        <v>24</v>
      </c>
      <c r="U33" s="1">
        <v>32</v>
      </c>
      <c r="V33" s="1">
        <v>11</v>
      </c>
      <c r="W33" s="1">
        <v>12</v>
      </c>
      <c r="X33" s="1">
        <v>16</v>
      </c>
      <c r="Y33" s="1">
        <v>7</v>
      </c>
    </row>
    <row r="34" spans="1:25" x14ac:dyDescent="0.3">
      <c r="A34" s="2">
        <v>42350</v>
      </c>
      <c r="B34" s="1">
        <v>7</v>
      </c>
      <c r="C34" s="1">
        <v>5</v>
      </c>
      <c r="D34" s="1">
        <v>5</v>
      </c>
      <c r="E34" s="1">
        <v>11</v>
      </c>
      <c r="F34" s="1">
        <v>5</v>
      </c>
      <c r="G34" s="1">
        <v>11</v>
      </c>
      <c r="H34" s="1">
        <v>3</v>
      </c>
      <c r="I34" s="1">
        <v>14</v>
      </c>
      <c r="J34" s="1">
        <v>5</v>
      </c>
      <c r="K34" s="1">
        <v>12</v>
      </c>
      <c r="L34" s="1">
        <v>25</v>
      </c>
      <c r="M34" s="1">
        <v>19</v>
      </c>
      <c r="N34" s="1">
        <v>18</v>
      </c>
      <c r="O34" s="1">
        <v>23</v>
      </c>
      <c r="P34" s="1">
        <v>20</v>
      </c>
      <c r="Q34" s="1">
        <v>28</v>
      </c>
      <c r="R34" s="1">
        <v>30</v>
      </c>
      <c r="S34" s="1">
        <v>22</v>
      </c>
      <c r="T34" s="1">
        <v>24</v>
      </c>
      <c r="U34" s="1">
        <v>37</v>
      </c>
      <c r="V34" s="1">
        <v>9</v>
      </c>
      <c r="W34" s="1">
        <v>29</v>
      </c>
      <c r="X34" s="1">
        <v>21</v>
      </c>
      <c r="Y34" s="1">
        <v>19</v>
      </c>
    </row>
    <row r="35" spans="1:25" x14ac:dyDescent="0.3">
      <c r="A35" s="2">
        <v>42351</v>
      </c>
      <c r="B35" s="1">
        <v>9</v>
      </c>
      <c r="C35" s="1">
        <v>5</v>
      </c>
      <c r="D35" s="1">
        <v>5</v>
      </c>
      <c r="E35" s="1">
        <v>8</v>
      </c>
      <c r="F35" s="1">
        <v>2</v>
      </c>
      <c r="G35" s="1">
        <v>4</v>
      </c>
      <c r="H35" s="1">
        <v>8</v>
      </c>
      <c r="I35" s="1">
        <v>13</v>
      </c>
      <c r="J35" s="1">
        <v>14</v>
      </c>
      <c r="K35" s="1">
        <v>11</v>
      </c>
      <c r="L35" s="1">
        <v>17</v>
      </c>
      <c r="M35" s="1">
        <v>19</v>
      </c>
      <c r="N35" s="1">
        <v>22</v>
      </c>
      <c r="O35" s="1">
        <v>19</v>
      </c>
      <c r="P35" s="1">
        <v>18</v>
      </c>
      <c r="Q35" s="1">
        <v>17</v>
      </c>
      <c r="R35" s="1">
        <v>14</v>
      </c>
      <c r="S35" s="1">
        <v>22</v>
      </c>
      <c r="T35" s="1">
        <v>28</v>
      </c>
      <c r="U35" s="1">
        <v>16</v>
      </c>
      <c r="V35" s="1">
        <v>14</v>
      </c>
      <c r="W35" s="1">
        <v>8</v>
      </c>
      <c r="X35" s="1">
        <v>17</v>
      </c>
      <c r="Y35" s="1">
        <v>6</v>
      </c>
    </row>
    <row r="36" spans="1:25" x14ac:dyDescent="0.3">
      <c r="A36" s="2">
        <v>42352</v>
      </c>
      <c r="B36" s="1">
        <v>4</v>
      </c>
      <c r="C36" s="1">
        <v>11</v>
      </c>
      <c r="D36" s="1">
        <v>4</v>
      </c>
      <c r="E36" s="1">
        <v>3</v>
      </c>
      <c r="F36" s="1">
        <v>4</v>
      </c>
      <c r="G36" s="1">
        <v>10</v>
      </c>
      <c r="H36" s="1">
        <v>15</v>
      </c>
      <c r="I36" s="1">
        <v>27</v>
      </c>
      <c r="J36" s="1">
        <v>25</v>
      </c>
      <c r="K36" s="1">
        <v>21</v>
      </c>
      <c r="L36" s="1">
        <v>16</v>
      </c>
      <c r="M36" s="1">
        <v>22</v>
      </c>
      <c r="N36" s="1">
        <v>26</v>
      </c>
      <c r="O36" s="1">
        <v>29</v>
      </c>
      <c r="P36" s="1">
        <v>16</v>
      </c>
      <c r="Q36" s="1">
        <v>28</v>
      </c>
      <c r="R36" s="1">
        <v>33</v>
      </c>
      <c r="S36" s="1">
        <v>31</v>
      </c>
      <c r="T36" s="1">
        <v>38</v>
      </c>
      <c r="U36" s="1">
        <v>22</v>
      </c>
      <c r="V36" s="1">
        <v>20</v>
      </c>
      <c r="W36" s="1">
        <v>19</v>
      </c>
      <c r="X36" s="1">
        <v>10</v>
      </c>
      <c r="Y36" s="1">
        <v>10</v>
      </c>
    </row>
    <row r="37" spans="1:25" x14ac:dyDescent="0.3">
      <c r="A37" s="2">
        <v>42353</v>
      </c>
      <c r="B37" s="1">
        <v>3</v>
      </c>
      <c r="C37" s="1">
        <v>10</v>
      </c>
      <c r="D37" s="1">
        <v>3</v>
      </c>
      <c r="E37" s="1">
        <v>7</v>
      </c>
      <c r="F37" s="1">
        <v>9</v>
      </c>
      <c r="G37" s="1">
        <v>6</v>
      </c>
      <c r="H37" s="1">
        <v>5</v>
      </c>
      <c r="I37" s="1">
        <v>16</v>
      </c>
      <c r="J37" s="1">
        <v>22</v>
      </c>
      <c r="K37" s="1">
        <v>31</v>
      </c>
      <c r="L37" s="1">
        <v>24</v>
      </c>
      <c r="M37" s="1">
        <v>35</v>
      </c>
      <c r="N37" s="1">
        <v>26</v>
      </c>
      <c r="O37" s="1">
        <v>25</v>
      </c>
      <c r="P37" s="1">
        <v>24</v>
      </c>
      <c r="Q37" s="1">
        <v>24</v>
      </c>
      <c r="R37" s="1">
        <v>23</v>
      </c>
      <c r="S37" s="1">
        <v>32</v>
      </c>
      <c r="T37" s="1">
        <v>27</v>
      </c>
      <c r="U37" s="1">
        <v>16</v>
      </c>
      <c r="V37" s="1">
        <v>13</v>
      </c>
      <c r="W37" s="1">
        <v>21</v>
      </c>
      <c r="X37" s="1">
        <v>13</v>
      </c>
      <c r="Y37" s="1">
        <v>4</v>
      </c>
    </row>
    <row r="38" spans="1:25" x14ac:dyDescent="0.3">
      <c r="A38" s="2">
        <v>42354</v>
      </c>
      <c r="B38" s="1">
        <v>4</v>
      </c>
      <c r="C38" s="1">
        <v>6</v>
      </c>
      <c r="D38" s="1">
        <v>8</v>
      </c>
      <c r="E38" s="1">
        <v>4</v>
      </c>
      <c r="F38" s="1">
        <v>6</v>
      </c>
      <c r="G38" s="1">
        <v>8</v>
      </c>
      <c r="H38" s="1">
        <v>17</v>
      </c>
      <c r="I38" s="1">
        <v>17</v>
      </c>
      <c r="J38" s="1">
        <v>19</v>
      </c>
      <c r="K38" s="1">
        <v>19</v>
      </c>
      <c r="L38" s="1">
        <v>21</v>
      </c>
      <c r="M38" s="1">
        <v>15</v>
      </c>
      <c r="N38" s="1">
        <v>19</v>
      </c>
      <c r="O38" s="1">
        <v>26</v>
      </c>
      <c r="P38" s="1">
        <v>19</v>
      </c>
      <c r="Q38" s="1">
        <v>11</v>
      </c>
      <c r="R38" s="1">
        <v>36</v>
      </c>
      <c r="S38" s="1">
        <v>32</v>
      </c>
      <c r="T38" s="1">
        <v>25</v>
      </c>
      <c r="U38" s="1">
        <v>17</v>
      </c>
      <c r="V38" s="1">
        <v>19</v>
      </c>
      <c r="W38" s="1">
        <v>13</v>
      </c>
      <c r="X38" s="1">
        <v>9</v>
      </c>
      <c r="Y38" s="1">
        <v>6</v>
      </c>
    </row>
    <row r="39" spans="1:25" x14ac:dyDescent="0.3">
      <c r="A39" s="2">
        <v>42355</v>
      </c>
      <c r="B39" s="1">
        <v>9</v>
      </c>
      <c r="C39" s="1">
        <v>9</v>
      </c>
      <c r="D39" s="1">
        <v>3</v>
      </c>
      <c r="E39" s="1">
        <v>2</v>
      </c>
      <c r="F39" s="1">
        <v>3</v>
      </c>
      <c r="G39" s="1">
        <v>5</v>
      </c>
      <c r="H39" s="1">
        <v>12</v>
      </c>
      <c r="I39" s="1">
        <v>14</v>
      </c>
      <c r="J39" s="1">
        <v>30</v>
      </c>
      <c r="K39" s="1">
        <v>18</v>
      </c>
      <c r="L39" s="1">
        <v>14</v>
      </c>
      <c r="M39" s="1">
        <v>11</v>
      </c>
      <c r="N39" s="1">
        <v>20</v>
      </c>
      <c r="O39" s="1">
        <v>28</v>
      </c>
      <c r="P39" s="1">
        <v>34</v>
      </c>
      <c r="Q39" s="1">
        <v>27</v>
      </c>
      <c r="R39" s="1">
        <v>24</v>
      </c>
      <c r="S39" s="1">
        <v>32</v>
      </c>
      <c r="T39" s="1">
        <v>34</v>
      </c>
      <c r="U39" s="1">
        <v>14</v>
      </c>
      <c r="V39" s="1">
        <v>25</v>
      </c>
      <c r="W39" s="1">
        <v>12</v>
      </c>
      <c r="X39" s="1">
        <v>7</v>
      </c>
      <c r="Y39" s="1">
        <v>0</v>
      </c>
    </row>
    <row r="40" spans="1:25" x14ac:dyDescent="0.3">
      <c r="A40" s="2">
        <v>42356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2</v>
      </c>
      <c r="I40" s="1">
        <v>11</v>
      </c>
      <c r="J40" s="1">
        <v>11</v>
      </c>
      <c r="K40" s="1">
        <v>12</v>
      </c>
      <c r="L40" s="1">
        <v>22</v>
      </c>
      <c r="M40" s="1">
        <v>24</v>
      </c>
      <c r="N40" s="1">
        <v>23</v>
      </c>
      <c r="O40" s="1">
        <v>33</v>
      </c>
      <c r="P40" s="1">
        <v>30</v>
      </c>
      <c r="Q40" s="1">
        <v>25</v>
      </c>
      <c r="R40" s="1">
        <v>30</v>
      </c>
      <c r="S40" s="1">
        <v>43</v>
      </c>
      <c r="T40" s="1">
        <v>23</v>
      </c>
      <c r="U40" s="1">
        <v>17</v>
      </c>
      <c r="V40" s="1">
        <v>20</v>
      </c>
      <c r="W40" s="1">
        <v>11</v>
      </c>
      <c r="X40" s="1">
        <v>8</v>
      </c>
      <c r="Y40" s="1">
        <v>0</v>
      </c>
    </row>
    <row r="41" spans="1:25" x14ac:dyDescent="0.3">
      <c r="A41" s="2">
        <v>42357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2</v>
      </c>
      <c r="I41" s="1">
        <v>0</v>
      </c>
      <c r="J41" s="1">
        <v>12</v>
      </c>
      <c r="K41" s="1">
        <v>10</v>
      </c>
      <c r="L41" s="1">
        <v>21</v>
      </c>
      <c r="M41" s="1">
        <v>21</v>
      </c>
      <c r="N41" s="1">
        <v>27</v>
      </c>
      <c r="O41" s="1">
        <v>21</v>
      </c>
      <c r="P41" s="1">
        <v>18</v>
      </c>
      <c r="Q41" s="1">
        <v>16</v>
      </c>
      <c r="R41" s="1">
        <v>10</v>
      </c>
      <c r="S41" s="1">
        <v>25</v>
      </c>
      <c r="T41" s="1">
        <v>29</v>
      </c>
      <c r="U41" s="1">
        <v>20</v>
      </c>
      <c r="V41" s="1">
        <v>12</v>
      </c>
      <c r="W41" s="1">
        <v>10</v>
      </c>
      <c r="X41" s="1">
        <v>12</v>
      </c>
      <c r="Y41" s="1">
        <v>6</v>
      </c>
    </row>
    <row r="42" spans="1:25" x14ac:dyDescent="0.3">
      <c r="A42" s="2">
        <v>42358</v>
      </c>
      <c r="B42" s="1">
        <v>11</v>
      </c>
      <c r="C42" s="1">
        <v>9</v>
      </c>
      <c r="D42" s="1">
        <v>10</v>
      </c>
      <c r="E42" s="1">
        <v>8</v>
      </c>
      <c r="F42" s="1">
        <v>5</v>
      </c>
      <c r="G42" s="1">
        <v>5</v>
      </c>
      <c r="H42" s="1">
        <v>9</v>
      </c>
      <c r="I42" s="1">
        <v>10</v>
      </c>
      <c r="J42" s="1">
        <v>9</v>
      </c>
      <c r="K42" s="1">
        <v>11</v>
      </c>
      <c r="L42" s="1">
        <v>11</v>
      </c>
      <c r="M42" s="1">
        <v>11</v>
      </c>
      <c r="N42" s="1">
        <v>17</v>
      </c>
      <c r="O42" s="1">
        <v>10</v>
      </c>
      <c r="P42" s="1">
        <v>22</v>
      </c>
      <c r="Q42" s="1">
        <v>20</v>
      </c>
      <c r="R42" s="1">
        <v>15</v>
      </c>
      <c r="S42" s="1">
        <v>14</v>
      </c>
      <c r="T42" s="1">
        <v>19</v>
      </c>
      <c r="U42" s="1">
        <v>8</v>
      </c>
      <c r="V42" s="1">
        <v>12</v>
      </c>
      <c r="W42" s="1">
        <v>10</v>
      </c>
      <c r="X42" s="1">
        <v>6</v>
      </c>
      <c r="Y42" s="1">
        <v>9</v>
      </c>
    </row>
    <row r="43" spans="1:25" x14ac:dyDescent="0.3">
      <c r="A43" s="2">
        <v>42359</v>
      </c>
      <c r="B43" s="1">
        <v>14</v>
      </c>
      <c r="C43" s="1">
        <v>6</v>
      </c>
      <c r="D43" s="1">
        <v>9</v>
      </c>
      <c r="E43" s="1">
        <v>9</v>
      </c>
      <c r="F43" s="1">
        <v>5</v>
      </c>
      <c r="G43" s="1">
        <v>12</v>
      </c>
      <c r="H43" s="1">
        <v>11</v>
      </c>
      <c r="I43" s="1">
        <v>15</v>
      </c>
      <c r="J43" s="1">
        <v>18</v>
      </c>
      <c r="K43" s="1">
        <v>21</v>
      </c>
      <c r="L43" s="1">
        <v>16</v>
      </c>
      <c r="M43" s="1">
        <v>19</v>
      </c>
      <c r="N43" s="1">
        <v>30</v>
      </c>
      <c r="O43" s="1">
        <v>24</v>
      </c>
      <c r="P43" s="1">
        <v>19</v>
      </c>
      <c r="Q43" s="1">
        <v>29</v>
      </c>
      <c r="R43" s="1">
        <v>29</v>
      </c>
      <c r="S43" s="1">
        <v>38</v>
      </c>
      <c r="T43" s="1">
        <v>30</v>
      </c>
      <c r="U43" s="1">
        <v>16</v>
      </c>
      <c r="V43" s="1">
        <v>14</v>
      </c>
      <c r="W43" s="1">
        <v>17</v>
      </c>
      <c r="X43" s="1">
        <v>15</v>
      </c>
      <c r="Y43" s="1">
        <v>11</v>
      </c>
    </row>
    <row r="44" spans="1:25" x14ac:dyDescent="0.3">
      <c r="A44" s="2">
        <v>42360</v>
      </c>
      <c r="B44" s="1">
        <v>5</v>
      </c>
      <c r="C44" s="1">
        <v>9</v>
      </c>
      <c r="D44" s="1">
        <v>3</v>
      </c>
      <c r="E44" s="1">
        <v>6</v>
      </c>
      <c r="F44" s="1">
        <v>4</v>
      </c>
      <c r="G44" s="1">
        <v>5</v>
      </c>
      <c r="H44" s="1">
        <v>15</v>
      </c>
      <c r="I44" s="1">
        <v>20</v>
      </c>
      <c r="J44" s="1">
        <v>15</v>
      </c>
      <c r="K44" s="1">
        <v>32</v>
      </c>
      <c r="L44" s="1">
        <v>21</v>
      </c>
      <c r="M44" s="1">
        <v>29</v>
      </c>
      <c r="N44" s="1">
        <v>24</v>
      </c>
      <c r="O44" s="1">
        <v>20</v>
      </c>
      <c r="P44" s="1">
        <v>42</v>
      </c>
      <c r="Q44" s="1">
        <v>26</v>
      </c>
      <c r="R44" s="1">
        <v>28</v>
      </c>
      <c r="S44" s="1">
        <v>36</v>
      </c>
      <c r="T44" s="1">
        <v>31</v>
      </c>
      <c r="U44" s="1">
        <v>27</v>
      </c>
      <c r="V44" s="1">
        <v>11</v>
      </c>
      <c r="W44" s="1">
        <v>15</v>
      </c>
      <c r="X44" s="1">
        <v>14</v>
      </c>
      <c r="Y44" s="1">
        <v>10</v>
      </c>
    </row>
    <row r="45" spans="1:25" x14ac:dyDescent="0.3">
      <c r="A45" s="2">
        <v>42361</v>
      </c>
      <c r="B45" s="1">
        <v>5</v>
      </c>
      <c r="C45" s="1">
        <v>10</v>
      </c>
      <c r="D45" s="1">
        <v>5</v>
      </c>
      <c r="E45" s="1">
        <v>4</v>
      </c>
      <c r="F45" s="1">
        <v>1</v>
      </c>
      <c r="G45" s="1">
        <v>14</v>
      </c>
      <c r="H45" s="1">
        <v>15</v>
      </c>
      <c r="I45" s="1">
        <v>12</v>
      </c>
      <c r="J45" s="1">
        <v>26</v>
      </c>
      <c r="K45" s="1">
        <v>26</v>
      </c>
      <c r="L45" s="1">
        <v>28</v>
      </c>
      <c r="M45" s="1">
        <v>32</v>
      </c>
      <c r="N45" s="1">
        <v>25</v>
      </c>
      <c r="O45" s="1">
        <v>24</v>
      </c>
      <c r="P45" s="1">
        <v>30</v>
      </c>
      <c r="Q45" s="1">
        <v>20</v>
      </c>
      <c r="R45" s="1">
        <v>44</v>
      </c>
      <c r="S45" s="1">
        <v>59</v>
      </c>
      <c r="T45" s="1">
        <v>39</v>
      </c>
      <c r="U45" s="1">
        <v>27</v>
      </c>
      <c r="V45" s="1">
        <v>17</v>
      </c>
      <c r="W45" s="1">
        <v>25</v>
      </c>
      <c r="X45" s="1">
        <v>18</v>
      </c>
      <c r="Y45" s="1">
        <v>13</v>
      </c>
    </row>
    <row r="46" spans="1:25" x14ac:dyDescent="0.3">
      <c r="A46" s="2">
        <v>42362</v>
      </c>
      <c r="B46" s="1">
        <v>9</v>
      </c>
      <c r="C46" s="1">
        <v>10</v>
      </c>
      <c r="D46" s="1">
        <v>7</v>
      </c>
      <c r="E46" s="1">
        <v>7</v>
      </c>
      <c r="F46" s="1">
        <v>10</v>
      </c>
      <c r="G46" s="1">
        <v>6</v>
      </c>
      <c r="H46" s="1">
        <v>10</v>
      </c>
      <c r="I46" s="1">
        <v>9</v>
      </c>
      <c r="J46" s="1">
        <v>17</v>
      </c>
      <c r="K46" s="1">
        <v>18</v>
      </c>
      <c r="L46" s="1">
        <v>21</v>
      </c>
      <c r="M46" s="1">
        <v>35</v>
      </c>
      <c r="N46" s="1">
        <v>40</v>
      </c>
      <c r="O46" s="1">
        <v>35</v>
      </c>
      <c r="P46" s="1">
        <v>30</v>
      </c>
      <c r="Q46" s="1">
        <v>31</v>
      </c>
      <c r="R46" s="1">
        <v>21</v>
      </c>
      <c r="S46" s="1">
        <v>26</v>
      </c>
      <c r="T46" s="1">
        <v>30</v>
      </c>
      <c r="U46" s="1">
        <v>16</v>
      </c>
      <c r="V46" s="1">
        <v>22</v>
      </c>
      <c r="W46" s="1">
        <v>17</v>
      </c>
      <c r="X46" s="1">
        <v>4</v>
      </c>
      <c r="Y46" s="1">
        <v>16</v>
      </c>
    </row>
    <row r="47" spans="1:25" x14ac:dyDescent="0.3">
      <c r="A47" s="2">
        <v>42363</v>
      </c>
      <c r="B47" s="1">
        <v>9</v>
      </c>
      <c r="C47" s="1">
        <v>7</v>
      </c>
      <c r="D47" s="1">
        <v>10</v>
      </c>
      <c r="E47" s="1">
        <v>2</v>
      </c>
      <c r="F47" s="1">
        <v>9</v>
      </c>
      <c r="G47" s="1">
        <v>6</v>
      </c>
      <c r="H47" s="1">
        <v>6</v>
      </c>
      <c r="I47" s="1">
        <v>14</v>
      </c>
      <c r="J47" s="1">
        <v>10</v>
      </c>
      <c r="K47" s="1">
        <v>19</v>
      </c>
      <c r="L47" s="1">
        <v>19</v>
      </c>
      <c r="M47" s="1">
        <v>19</v>
      </c>
      <c r="N47" s="1">
        <v>16</v>
      </c>
      <c r="O47" s="1">
        <v>13</v>
      </c>
      <c r="P47" s="1">
        <v>21</v>
      </c>
      <c r="Q47" s="1">
        <v>19</v>
      </c>
      <c r="R47" s="1">
        <v>16</v>
      </c>
      <c r="S47" s="1">
        <v>22</v>
      </c>
      <c r="T47" s="1">
        <v>17</v>
      </c>
      <c r="U47" s="1">
        <v>14</v>
      </c>
      <c r="V47" s="1">
        <v>22</v>
      </c>
      <c r="W47" s="1">
        <v>7</v>
      </c>
      <c r="X47" s="1">
        <v>8</v>
      </c>
      <c r="Y47" s="1">
        <v>16</v>
      </c>
    </row>
    <row r="48" spans="1:25" x14ac:dyDescent="0.3">
      <c r="A48" s="2">
        <v>42364</v>
      </c>
      <c r="B48" s="1">
        <v>5</v>
      </c>
      <c r="C48" s="1">
        <v>5</v>
      </c>
      <c r="D48" s="1">
        <v>7</v>
      </c>
      <c r="E48" s="1">
        <v>6</v>
      </c>
      <c r="F48" s="1">
        <v>5</v>
      </c>
      <c r="G48" s="1">
        <v>2</v>
      </c>
      <c r="H48" s="1">
        <v>7</v>
      </c>
      <c r="I48" s="1">
        <v>16</v>
      </c>
      <c r="J48" s="1">
        <v>4</v>
      </c>
      <c r="K48" s="1">
        <v>10</v>
      </c>
      <c r="L48" s="1">
        <v>9</v>
      </c>
      <c r="M48" s="1">
        <v>16</v>
      </c>
      <c r="N48" s="1">
        <v>16</v>
      </c>
      <c r="O48" s="1">
        <v>21</v>
      </c>
      <c r="P48" s="1">
        <v>18</v>
      </c>
      <c r="Q48" s="1">
        <v>23</v>
      </c>
      <c r="R48" s="1">
        <v>18</v>
      </c>
      <c r="S48" s="1">
        <v>14</v>
      </c>
      <c r="T48" s="1">
        <v>19</v>
      </c>
      <c r="U48" s="1">
        <v>18</v>
      </c>
      <c r="V48" s="1">
        <v>11</v>
      </c>
      <c r="W48" s="1">
        <v>20</v>
      </c>
      <c r="X48" s="1">
        <v>6</v>
      </c>
      <c r="Y48" s="1">
        <v>10</v>
      </c>
    </row>
    <row r="49" spans="1:25" x14ac:dyDescent="0.3">
      <c r="A49" s="2">
        <v>42365</v>
      </c>
      <c r="B49" s="1">
        <v>19</v>
      </c>
      <c r="C49" s="1">
        <v>5</v>
      </c>
      <c r="D49" s="1">
        <v>12</v>
      </c>
      <c r="E49" s="1">
        <v>7</v>
      </c>
      <c r="F49" s="1">
        <v>5</v>
      </c>
      <c r="G49" s="1">
        <v>13</v>
      </c>
      <c r="H49" s="1">
        <v>6</v>
      </c>
      <c r="I49" s="1">
        <v>11</v>
      </c>
      <c r="J49" s="1">
        <v>14</v>
      </c>
      <c r="K49" s="1">
        <v>11</v>
      </c>
      <c r="L49" s="1">
        <v>13</v>
      </c>
      <c r="M49" s="1">
        <v>11</v>
      </c>
      <c r="N49" s="1">
        <v>15</v>
      </c>
      <c r="O49" s="1">
        <v>15</v>
      </c>
      <c r="P49" s="1">
        <v>16</v>
      </c>
      <c r="Q49" s="1">
        <v>13</v>
      </c>
      <c r="R49" s="1">
        <v>20</v>
      </c>
      <c r="S49" s="1">
        <v>24</v>
      </c>
      <c r="T49" s="1">
        <v>22</v>
      </c>
      <c r="U49" s="1">
        <v>17</v>
      </c>
      <c r="V49" s="1">
        <v>14</v>
      </c>
      <c r="W49" s="1">
        <v>14</v>
      </c>
      <c r="X49" s="1">
        <v>8</v>
      </c>
      <c r="Y49" s="1">
        <v>12</v>
      </c>
    </row>
    <row r="50" spans="1:25" x14ac:dyDescent="0.3">
      <c r="A50" s="2">
        <v>42366</v>
      </c>
      <c r="B50" s="1">
        <v>4</v>
      </c>
      <c r="C50" s="1">
        <v>5</v>
      </c>
      <c r="D50" s="1">
        <v>8</v>
      </c>
      <c r="E50" s="1">
        <v>6</v>
      </c>
      <c r="F50" s="1">
        <v>2</v>
      </c>
      <c r="G50" s="1">
        <v>9</v>
      </c>
      <c r="H50" s="1">
        <v>13</v>
      </c>
      <c r="I50" s="1">
        <v>14</v>
      </c>
      <c r="J50" s="1">
        <v>15</v>
      </c>
      <c r="K50" s="1">
        <v>30</v>
      </c>
      <c r="L50" s="1">
        <v>26</v>
      </c>
      <c r="M50" s="1">
        <v>30</v>
      </c>
      <c r="N50" s="1">
        <v>27</v>
      </c>
      <c r="O50" s="1">
        <v>22</v>
      </c>
      <c r="P50" s="1">
        <v>16</v>
      </c>
      <c r="Q50" s="1">
        <v>20</v>
      </c>
      <c r="R50" s="1">
        <v>15</v>
      </c>
      <c r="S50" s="1">
        <v>29</v>
      </c>
      <c r="T50" s="1">
        <v>22</v>
      </c>
      <c r="U50" s="1">
        <v>14</v>
      </c>
      <c r="V50" s="1">
        <v>12</v>
      </c>
      <c r="W50" s="1">
        <v>12</v>
      </c>
      <c r="X50" s="1">
        <v>21</v>
      </c>
      <c r="Y50" s="1">
        <v>8</v>
      </c>
    </row>
    <row r="51" spans="1:25" x14ac:dyDescent="0.3">
      <c r="A51" s="2">
        <v>42367</v>
      </c>
      <c r="B51" s="1">
        <v>4</v>
      </c>
      <c r="C51" s="1">
        <v>8</v>
      </c>
      <c r="D51" s="1">
        <v>6</v>
      </c>
      <c r="E51" s="1">
        <v>3</v>
      </c>
      <c r="F51" s="1">
        <v>11</v>
      </c>
      <c r="G51" s="1">
        <v>7</v>
      </c>
      <c r="H51" s="1">
        <v>15</v>
      </c>
      <c r="I51" s="1">
        <v>14</v>
      </c>
      <c r="J51" s="1">
        <v>19</v>
      </c>
      <c r="K51" s="1">
        <v>17</v>
      </c>
      <c r="L51" s="1">
        <v>32</v>
      </c>
      <c r="M51" s="1">
        <v>22</v>
      </c>
      <c r="N51" s="1">
        <v>26</v>
      </c>
      <c r="O51" s="1">
        <v>21</v>
      </c>
      <c r="P51" s="1">
        <v>22</v>
      </c>
      <c r="Q51" s="1">
        <v>20</v>
      </c>
      <c r="R51" s="1">
        <v>20</v>
      </c>
      <c r="S51" s="1">
        <v>27</v>
      </c>
      <c r="T51" s="1">
        <v>10</v>
      </c>
      <c r="U51" s="1">
        <v>15</v>
      </c>
      <c r="V51" s="1">
        <v>19</v>
      </c>
      <c r="W51" s="1">
        <v>11</v>
      </c>
      <c r="X51" s="1">
        <v>10</v>
      </c>
      <c r="Y51" s="1">
        <v>8</v>
      </c>
    </row>
    <row r="52" spans="1:25" x14ac:dyDescent="0.3">
      <c r="A52" s="2">
        <v>42368</v>
      </c>
      <c r="B52" s="1">
        <v>8</v>
      </c>
      <c r="C52" s="1">
        <v>8</v>
      </c>
      <c r="D52" s="1">
        <v>5</v>
      </c>
      <c r="E52" s="1">
        <v>16</v>
      </c>
      <c r="F52" s="1">
        <v>4</v>
      </c>
      <c r="G52" s="1">
        <v>5</v>
      </c>
      <c r="H52" s="1">
        <v>6</v>
      </c>
      <c r="I52" s="1">
        <v>12</v>
      </c>
      <c r="J52" s="1">
        <v>15</v>
      </c>
      <c r="K52" s="1">
        <v>22</v>
      </c>
      <c r="L52" s="1">
        <v>17</v>
      </c>
      <c r="M52" s="1">
        <v>13</v>
      </c>
      <c r="N52" s="1">
        <v>26</v>
      </c>
      <c r="O52" s="1">
        <v>23</v>
      </c>
      <c r="P52" s="1">
        <v>21</v>
      </c>
      <c r="Q52" s="1">
        <v>17</v>
      </c>
      <c r="R52" s="1">
        <v>24</v>
      </c>
      <c r="S52" s="1">
        <v>27</v>
      </c>
      <c r="T52" s="1">
        <v>17</v>
      </c>
      <c r="U52" s="1">
        <v>20</v>
      </c>
      <c r="V52" s="1">
        <v>16</v>
      </c>
      <c r="W52" s="1">
        <v>8</v>
      </c>
      <c r="X52" s="1">
        <v>18</v>
      </c>
      <c r="Y52" s="1">
        <v>4</v>
      </c>
    </row>
    <row r="53" spans="1:25" x14ac:dyDescent="0.3">
      <c r="A53" s="2">
        <v>42369</v>
      </c>
      <c r="B53" s="1">
        <v>9</v>
      </c>
      <c r="C53" s="1">
        <v>5</v>
      </c>
      <c r="D53" s="1">
        <v>5</v>
      </c>
      <c r="E53" s="1">
        <v>4</v>
      </c>
      <c r="F53" s="1">
        <v>8</v>
      </c>
      <c r="G53" s="1">
        <v>3</v>
      </c>
      <c r="H53" s="1">
        <v>7</v>
      </c>
      <c r="I53" s="1">
        <v>9</v>
      </c>
      <c r="J53" s="1">
        <v>14</v>
      </c>
      <c r="K53" s="1">
        <v>16</v>
      </c>
      <c r="L53" s="1">
        <v>22</v>
      </c>
      <c r="M53" s="1">
        <v>19</v>
      </c>
      <c r="N53" s="1">
        <v>16</v>
      </c>
      <c r="O53" s="1">
        <v>17</v>
      </c>
      <c r="P53" s="1">
        <v>16</v>
      </c>
      <c r="Q53" s="1">
        <v>15</v>
      </c>
      <c r="R53" s="1">
        <v>21</v>
      </c>
      <c r="S53" s="1">
        <v>21</v>
      </c>
      <c r="T53" s="1">
        <v>12</v>
      </c>
      <c r="U53" s="1">
        <v>15</v>
      </c>
      <c r="V53" s="1">
        <v>18</v>
      </c>
      <c r="W53" s="1">
        <v>13</v>
      </c>
      <c r="X53" s="1">
        <v>12</v>
      </c>
      <c r="Y53" s="1">
        <v>17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/>
  </sheetViews>
  <sheetFormatPr defaultRowHeight="14" x14ac:dyDescent="0.3"/>
  <cols>
    <col min="2" max="7" width="12.33203125" customWidth="1"/>
  </cols>
  <sheetData>
    <row r="1" spans="1:7" x14ac:dyDescent="0.3">
      <c r="A1" t="s">
        <v>7</v>
      </c>
      <c r="B1">
        <v>2020</v>
      </c>
      <c r="C1">
        <v>2019</v>
      </c>
      <c r="D1">
        <v>2018</v>
      </c>
      <c r="E1">
        <v>2017</v>
      </c>
      <c r="F1">
        <v>2016</v>
      </c>
      <c r="G1">
        <v>2015</v>
      </c>
    </row>
    <row r="2" spans="1:7" x14ac:dyDescent="0.3">
      <c r="A2">
        <v>0</v>
      </c>
      <c r="B2">
        <v>0.58477019949390918</v>
      </c>
      <c r="C2">
        <v>0.15502148069679847</v>
      </c>
      <c r="D2">
        <v>0.29712593492539585</v>
      </c>
      <c r="E2">
        <v>0.68940700100957852</v>
      </c>
      <c r="F2">
        <v>0.52678929741483094</v>
      </c>
      <c r="G2">
        <v>0.33052039381153303</v>
      </c>
    </row>
    <row r="3" spans="1:7" x14ac:dyDescent="0.3">
      <c r="A3">
        <v>1</v>
      </c>
      <c r="B3">
        <v>0.6780821917808223</v>
      </c>
      <c r="C3">
        <v>0.2842266865875594</v>
      </c>
      <c r="D3">
        <v>0.37801157277518921</v>
      </c>
      <c r="E3">
        <v>0.61513423984772109</v>
      </c>
      <c r="F3">
        <v>0.56369534774872421</v>
      </c>
      <c r="G3">
        <v>0.70437017994858631</v>
      </c>
    </row>
    <row r="4" spans="1:7" x14ac:dyDescent="0.3">
      <c r="A4">
        <v>2</v>
      </c>
      <c r="B4">
        <v>0.61449543870954759</v>
      </c>
      <c r="C4">
        <v>0.58322425109945475</v>
      </c>
      <c r="D4">
        <v>0.46181186860056594</v>
      </c>
      <c r="E4">
        <v>0.51617633227139093</v>
      </c>
      <c r="F4">
        <v>0.6153035324918471</v>
      </c>
      <c r="G4">
        <v>0.5762711864406781</v>
      </c>
    </row>
    <row r="5" spans="1:7" x14ac:dyDescent="0.3">
      <c r="A5">
        <v>3</v>
      </c>
      <c r="B5">
        <v>0.66819320832973306</v>
      </c>
      <c r="C5">
        <v>0.69267209341894354</v>
      </c>
      <c r="D5">
        <v>0.59961731240736793</v>
      </c>
      <c r="E5">
        <v>0.74858592571711946</v>
      </c>
      <c r="F5">
        <v>0.64390598246251218</v>
      </c>
      <c r="G5">
        <v>0.4045092838196287</v>
      </c>
    </row>
    <row r="6" spans="1:7" x14ac:dyDescent="0.3">
      <c r="A6">
        <v>4</v>
      </c>
      <c r="B6">
        <v>0.6196840288533878</v>
      </c>
      <c r="C6">
        <v>0.56869106358556576</v>
      </c>
      <c r="D6">
        <v>0.56516085260360704</v>
      </c>
      <c r="E6">
        <v>0.58339647147959739</v>
      </c>
      <c r="F6">
        <v>0.6832219769955632</v>
      </c>
      <c r="G6">
        <v>0.50806057645334635</v>
      </c>
    </row>
    <row r="7" spans="1:7" x14ac:dyDescent="0.3">
      <c r="A7">
        <v>5</v>
      </c>
      <c r="B7">
        <v>0.61777117987031283</v>
      </c>
      <c r="C7">
        <v>0.43009531856467659</v>
      </c>
      <c r="D7">
        <v>0.37264718304506483</v>
      </c>
      <c r="E7">
        <v>0.47445997591203193</v>
      </c>
      <c r="F7">
        <v>0.50721775018125703</v>
      </c>
      <c r="G7">
        <v>0.44494965898018846</v>
      </c>
    </row>
    <row r="8" spans="1:7" x14ac:dyDescent="0.3">
      <c r="A8">
        <v>6</v>
      </c>
      <c r="B8">
        <v>0.37113438992062797</v>
      </c>
      <c r="C8">
        <v>0.34100607065752153</v>
      </c>
      <c r="D8">
        <v>0.35538958210561383</v>
      </c>
      <c r="E8">
        <v>0.32869696479594585</v>
      </c>
      <c r="F8">
        <v>0.42426940043773592</v>
      </c>
      <c r="G8">
        <v>0.4359550561797752</v>
      </c>
    </row>
    <row r="9" spans="1:7" x14ac:dyDescent="0.3">
      <c r="A9">
        <v>7</v>
      </c>
      <c r="B9">
        <v>0.29005996294648489</v>
      </c>
      <c r="C9">
        <v>0.27546010029579465</v>
      </c>
      <c r="D9">
        <v>0.29194567772398289</v>
      </c>
      <c r="E9">
        <v>0.29295930915960949</v>
      </c>
      <c r="F9">
        <v>0.23997586679332603</v>
      </c>
      <c r="G9">
        <v>0.52071668533034721</v>
      </c>
    </row>
    <row r="10" spans="1:7" x14ac:dyDescent="0.3">
      <c r="A10">
        <v>8</v>
      </c>
      <c r="B10">
        <v>0.31446221935364888</v>
      </c>
      <c r="C10">
        <v>0.33990233255396868</v>
      </c>
      <c r="D10">
        <v>0.27437694315912153</v>
      </c>
      <c r="E10">
        <v>0.3363161938954749</v>
      </c>
      <c r="F10">
        <v>0.2743494045256466</v>
      </c>
      <c r="G10">
        <v>0.32385988103106395</v>
      </c>
    </row>
    <row r="11" spans="1:7" x14ac:dyDescent="0.3">
      <c r="A11">
        <v>9</v>
      </c>
      <c r="B11">
        <v>0.45919708767317213</v>
      </c>
      <c r="C11">
        <v>0.36790724242042078</v>
      </c>
      <c r="D11">
        <v>0.25944345239357608</v>
      </c>
      <c r="E11">
        <v>0.41826319247415933</v>
      </c>
      <c r="F11">
        <v>0.36569943724262927</v>
      </c>
      <c r="G11">
        <v>0.35643564356435642</v>
      </c>
    </row>
    <row r="12" spans="1:7" x14ac:dyDescent="0.3">
      <c r="A12">
        <v>10</v>
      </c>
      <c r="B12">
        <v>0.30914339082997194</v>
      </c>
      <c r="C12">
        <v>0.53878483905783747</v>
      </c>
      <c r="D12">
        <v>0.41442477048490439</v>
      </c>
      <c r="E12">
        <v>0.44898944387229683</v>
      </c>
      <c r="F12">
        <v>0.51828582288933722</v>
      </c>
      <c r="G12">
        <v>0.61780104712041861</v>
      </c>
    </row>
    <row r="13" spans="1:7" x14ac:dyDescent="0.3">
      <c r="A13">
        <v>11</v>
      </c>
      <c r="B13">
        <v>0.26355611601513246</v>
      </c>
      <c r="C13">
        <v>0.56430676360521681</v>
      </c>
      <c r="D13">
        <v>0.41367865315152486</v>
      </c>
      <c r="E13">
        <v>0.48462231666636801</v>
      </c>
      <c r="F13">
        <v>0.50907606955048434</v>
      </c>
      <c r="G13">
        <v>0.36214469213557632</v>
      </c>
    </row>
    <row r="14" spans="1:7" x14ac:dyDescent="0.3">
      <c r="A14">
        <v>12</v>
      </c>
      <c r="B14">
        <v>6.355590583575095E-2</v>
      </c>
      <c r="C14">
        <v>0.47852045845431018</v>
      </c>
      <c r="D14">
        <v>0.12807586099938167</v>
      </c>
      <c r="E14">
        <v>0.5632444055810677</v>
      </c>
      <c r="F14">
        <v>0.43791947127704733</v>
      </c>
      <c r="G14">
        <v>0.647887323943662</v>
      </c>
    </row>
    <row r="15" spans="1:7" x14ac:dyDescent="0.3">
      <c r="A15">
        <v>13</v>
      </c>
      <c r="B15">
        <v>5.0828141367689143E-2</v>
      </c>
      <c r="C15">
        <v>0.61158800029291416</v>
      </c>
      <c r="D15">
        <v>7.701854408830737E-2</v>
      </c>
      <c r="E15">
        <v>0.46157915339772987</v>
      </c>
      <c r="F15">
        <v>0.49922711008044651</v>
      </c>
      <c r="G15">
        <v>0.62326686914036689</v>
      </c>
    </row>
    <row r="16" spans="1:7" x14ac:dyDescent="0.3">
      <c r="A16">
        <v>14</v>
      </c>
      <c r="B16">
        <v>0.11969171677421586</v>
      </c>
      <c r="C16">
        <v>0.64635511297041659</v>
      </c>
      <c r="D16">
        <v>7.418420566023215E-2</v>
      </c>
      <c r="E16">
        <v>0.4443607227585385</v>
      </c>
      <c r="F16">
        <v>0.56937913253455297</v>
      </c>
      <c r="G16">
        <v>0.47671617824166967</v>
      </c>
    </row>
    <row r="17" spans="1:7" x14ac:dyDescent="0.3">
      <c r="A17">
        <v>15</v>
      </c>
      <c r="B17">
        <v>0.16720972389952674</v>
      </c>
      <c r="C17">
        <v>0.40834936496708818</v>
      </c>
      <c r="D17">
        <v>8.1638714589307104E-2</v>
      </c>
      <c r="E17">
        <v>0.36948208104176927</v>
      </c>
      <c r="F17">
        <v>0.47867450968595776</v>
      </c>
      <c r="G17">
        <v>0.66569555717407225</v>
      </c>
    </row>
    <row r="18" spans="1:7" x14ac:dyDescent="0.3">
      <c r="A18">
        <v>16</v>
      </c>
      <c r="B18">
        <v>0.35364581178152094</v>
      </c>
      <c r="C18">
        <v>0.39258477817953424</v>
      </c>
      <c r="D18">
        <v>9.2227263092165682E-2</v>
      </c>
      <c r="E18">
        <v>0.23183843804872595</v>
      </c>
      <c r="F18">
        <v>0.37881971594130076</v>
      </c>
      <c r="G18">
        <v>0.35021097046413513</v>
      </c>
    </row>
    <row r="19" spans="1:7" x14ac:dyDescent="0.3">
      <c r="A19">
        <v>17</v>
      </c>
      <c r="B19">
        <v>0.24663713117878699</v>
      </c>
      <c r="C19">
        <v>0.24015669822108821</v>
      </c>
      <c r="D19">
        <v>0.10400487142254906</v>
      </c>
      <c r="E19">
        <v>0.26300292584805313</v>
      </c>
      <c r="F19">
        <v>0.33970166138560365</v>
      </c>
      <c r="G19">
        <v>0.28236914600550966</v>
      </c>
    </row>
    <row r="20" spans="1:7" x14ac:dyDescent="0.3">
      <c r="A20">
        <v>18</v>
      </c>
      <c r="B20">
        <v>0.42195348600379307</v>
      </c>
      <c r="C20">
        <v>0.23426667058322348</v>
      </c>
      <c r="D20">
        <v>0.16208152745663015</v>
      </c>
      <c r="E20">
        <v>0.38029859298903118</v>
      </c>
      <c r="F20">
        <v>0.31965622400887161</v>
      </c>
      <c r="G20">
        <v>0.42047384167542684</v>
      </c>
    </row>
    <row r="21" spans="1:7" x14ac:dyDescent="0.3">
      <c r="A21">
        <v>19</v>
      </c>
      <c r="B21">
        <v>0.48182804448060751</v>
      </c>
      <c r="C21">
        <v>0.32811547032890015</v>
      </c>
      <c r="D21">
        <v>0.21030848306420058</v>
      </c>
      <c r="E21">
        <v>0.53595480751820124</v>
      </c>
      <c r="F21">
        <v>0.37810877160407502</v>
      </c>
      <c r="G21">
        <v>0.41701592623637901</v>
      </c>
    </row>
    <row r="22" spans="1:7" x14ac:dyDescent="0.3">
      <c r="A22">
        <v>20</v>
      </c>
      <c r="B22">
        <v>0.47240925653828253</v>
      </c>
      <c r="C22">
        <v>0.39226395863456126</v>
      </c>
      <c r="D22">
        <v>0.29543780353256061</v>
      </c>
      <c r="E22">
        <v>0.50763231554982058</v>
      </c>
      <c r="F22">
        <v>0.36232219394937998</v>
      </c>
      <c r="G22">
        <v>0.78847070033349209</v>
      </c>
    </row>
    <row r="23" spans="1:7" x14ac:dyDescent="0.3">
      <c r="A23">
        <v>21</v>
      </c>
      <c r="B23">
        <v>0.31906666485892871</v>
      </c>
      <c r="C23">
        <v>0.43243528549374882</v>
      </c>
      <c r="D23">
        <v>0.33452697845858953</v>
      </c>
      <c r="E23">
        <v>0.70928277671553885</v>
      </c>
      <c r="F23">
        <v>0.27358096436787227</v>
      </c>
      <c r="G23">
        <v>0.44186046511627891</v>
      </c>
    </row>
    <row r="24" spans="1:7" x14ac:dyDescent="0.3">
      <c r="A24">
        <v>22</v>
      </c>
      <c r="B24">
        <v>0.4818168601632431</v>
      </c>
      <c r="C24">
        <v>0.53657622298888974</v>
      </c>
      <c r="D24">
        <v>0.39640266511614608</v>
      </c>
      <c r="E24">
        <v>0.54589059046338073</v>
      </c>
      <c r="F24">
        <v>0.35576868794501393</v>
      </c>
      <c r="G24">
        <v>0.46791196597003903</v>
      </c>
    </row>
    <row r="25" spans="1:7" x14ac:dyDescent="0.3">
      <c r="A25">
        <v>23</v>
      </c>
      <c r="B25">
        <v>0.52293200575380694</v>
      </c>
      <c r="C25">
        <v>0.36250788311961307</v>
      </c>
      <c r="D25">
        <v>0.2220066932741869</v>
      </c>
      <c r="E25">
        <v>0.52292171191082981</v>
      </c>
      <c r="F25">
        <v>0.44432768508540893</v>
      </c>
      <c r="G25">
        <v>0.33952254641909807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/>
  </sheetViews>
  <sheetFormatPr defaultRowHeight="14" x14ac:dyDescent="0.3"/>
  <cols>
    <col min="2" max="7" width="12.33203125" customWidth="1"/>
  </cols>
  <sheetData>
    <row r="1" spans="1:7" x14ac:dyDescent="0.3">
      <c r="A1" t="s">
        <v>7</v>
      </c>
      <c r="B1">
        <v>2020</v>
      </c>
      <c r="C1">
        <v>2019</v>
      </c>
      <c r="D1">
        <v>2018</v>
      </c>
      <c r="E1">
        <v>2017</v>
      </c>
      <c r="F1">
        <v>2016</v>
      </c>
      <c r="G1">
        <v>2015</v>
      </c>
    </row>
    <row r="2" spans="1:7" x14ac:dyDescent="0.3">
      <c r="A2">
        <v>0</v>
      </c>
      <c r="B2">
        <v>10.522050129575636</v>
      </c>
      <c r="C2">
        <v>1.6295450005420393</v>
      </c>
      <c r="D2">
        <v>3.6354777723761682</v>
      </c>
      <c r="E2">
        <v>17.021352324297666</v>
      </c>
      <c r="F2">
        <v>9.024410567595206</v>
      </c>
      <c r="G2">
        <v>3.3148259303721486</v>
      </c>
    </row>
    <row r="3" spans="1:7" x14ac:dyDescent="0.3">
      <c r="A3">
        <v>1</v>
      </c>
      <c r="B3">
        <v>13.541033434650478</v>
      </c>
      <c r="C3">
        <v>2.8895123577547661</v>
      </c>
      <c r="D3">
        <v>4.4806768664896719</v>
      </c>
      <c r="E3">
        <v>10.77654074576842</v>
      </c>
      <c r="F3">
        <v>8.6308264687940177</v>
      </c>
      <c r="G3">
        <v>15.543685300207054</v>
      </c>
    </row>
    <row r="4" spans="1:7" x14ac:dyDescent="0.3">
      <c r="A4">
        <v>2</v>
      </c>
      <c r="B4">
        <v>8.8656930420917277</v>
      </c>
      <c r="C4">
        <v>9.1323390371494497</v>
      </c>
      <c r="D4">
        <v>5.6727733419347741</v>
      </c>
      <c r="E4">
        <v>6.8747265917521148</v>
      </c>
      <c r="F4">
        <v>9.6797436319884547</v>
      </c>
      <c r="G4">
        <v>7.7066666666666706</v>
      </c>
    </row>
    <row r="5" spans="1:7" x14ac:dyDescent="0.3">
      <c r="A5">
        <v>3</v>
      </c>
      <c r="B5">
        <v>9.9347569444444481</v>
      </c>
      <c r="C5">
        <v>13.121750122840222</v>
      </c>
      <c r="D5">
        <v>8.837953404175181</v>
      </c>
      <c r="E5">
        <v>16.306922276370205</v>
      </c>
      <c r="F5">
        <v>10.078754451883819</v>
      </c>
      <c r="G5">
        <v>3.946335772616397</v>
      </c>
    </row>
    <row r="6" spans="1:7" x14ac:dyDescent="0.3">
      <c r="A6">
        <v>4</v>
      </c>
      <c r="B6">
        <v>8.8375150991278577</v>
      </c>
      <c r="C6">
        <v>7.0802917601381452</v>
      </c>
      <c r="D6">
        <v>7.6272861180921243</v>
      </c>
      <c r="E6">
        <v>7.3854799503162178</v>
      </c>
      <c r="F6">
        <v>11.714994210933801</v>
      </c>
      <c r="G6">
        <v>5.1146734761431878</v>
      </c>
    </row>
    <row r="7" spans="1:7" x14ac:dyDescent="0.3">
      <c r="A7">
        <v>5</v>
      </c>
      <c r="B7">
        <v>10.328504310020746</v>
      </c>
      <c r="C7">
        <v>5.5515456654853397</v>
      </c>
      <c r="D7">
        <v>4.2523845881124451</v>
      </c>
      <c r="E7">
        <v>6.1835934723541026</v>
      </c>
      <c r="F7">
        <v>6.7269697892220108</v>
      </c>
      <c r="G7">
        <v>5.2297361308478933</v>
      </c>
    </row>
    <row r="8" spans="1:7" x14ac:dyDescent="0.3">
      <c r="A8">
        <v>6</v>
      </c>
      <c r="B8">
        <v>4.8758859353190687</v>
      </c>
      <c r="C8">
        <v>5.4936316815931745</v>
      </c>
      <c r="D8">
        <v>5.9860257474461243</v>
      </c>
      <c r="E8">
        <v>5.0332331495408109</v>
      </c>
      <c r="F8">
        <v>7.4296384246266012</v>
      </c>
      <c r="G8">
        <v>7.1402011003604589</v>
      </c>
    </row>
    <row r="9" spans="1:7" x14ac:dyDescent="0.3">
      <c r="A9">
        <v>7</v>
      </c>
      <c r="B9">
        <v>4.8794891392654041</v>
      </c>
      <c r="C9">
        <v>6.3892120465302513</v>
      </c>
      <c r="D9">
        <v>7.0636803140743289</v>
      </c>
      <c r="E9">
        <v>6.5943410773706255</v>
      </c>
      <c r="F9">
        <v>5.1546242254969039</v>
      </c>
      <c r="G9">
        <v>14.43424566088118</v>
      </c>
    </row>
    <row r="10" spans="1:7" x14ac:dyDescent="0.3">
      <c r="A10">
        <v>8</v>
      </c>
      <c r="B10">
        <v>7.0575626861369933</v>
      </c>
      <c r="C10">
        <v>10.79654491130097</v>
      </c>
      <c r="D10">
        <v>8.1478383040634235</v>
      </c>
      <c r="E10">
        <v>9.7724770504601075</v>
      </c>
      <c r="F10">
        <v>7.4726369828031416</v>
      </c>
      <c r="G10">
        <v>7.8233952427500748</v>
      </c>
    </row>
    <row r="11" spans="1:7" x14ac:dyDescent="0.3">
      <c r="A11">
        <v>9</v>
      </c>
      <c r="B11">
        <v>14.495392135911954</v>
      </c>
      <c r="C11">
        <v>13.036242175472616</v>
      </c>
      <c r="D11">
        <v>7.7419407261192621</v>
      </c>
      <c r="E11">
        <v>14.738318723389453</v>
      </c>
      <c r="F11">
        <v>12.238078408670441</v>
      </c>
      <c r="G11">
        <v>9.9692307692307693</v>
      </c>
    </row>
    <row r="12" spans="1:7" x14ac:dyDescent="0.3">
      <c r="A12">
        <v>10</v>
      </c>
      <c r="B12">
        <v>8.6022389913872317</v>
      </c>
      <c r="C12">
        <v>26.116145888921263</v>
      </c>
      <c r="D12">
        <v>15.862679024528104</v>
      </c>
      <c r="E12">
        <v>17.797157220204635</v>
      </c>
      <c r="F12">
        <v>22.929438440080055</v>
      </c>
      <c r="G12">
        <v>31.789954337899506</v>
      </c>
    </row>
    <row r="13" spans="1:7" x14ac:dyDescent="0.3">
      <c r="A13">
        <v>11</v>
      </c>
      <c r="B13">
        <v>7.1779843444227032</v>
      </c>
      <c r="C13">
        <v>30.211703852082508</v>
      </c>
      <c r="D13">
        <v>16.674161125125728</v>
      </c>
      <c r="E13">
        <v>21.047813768175615</v>
      </c>
      <c r="F13">
        <v>22.949456944357269</v>
      </c>
      <c r="G13">
        <v>11.814683519243736</v>
      </c>
    </row>
    <row r="14" spans="1:7" x14ac:dyDescent="0.3">
      <c r="A14">
        <v>12</v>
      </c>
      <c r="B14">
        <v>1.4992675306279948</v>
      </c>
      <c r="C14">
        <v>22.417601112664695</v>
      </c>
      <c r="D14">
        <v>3.6557193210336933</v>
      </c>
      <c r="E14">
        <v>29.523237284612375</v>
      </c>
      <c r="F14">
        <v>18.313213234716983</v>
      </c>
      <c r="G14">
        <v>42.32</v>
      </c>
    </row>
    <row r="15" spans="1:7" x14ac:dyDescent="0.3">
      <c r="A15">
        <v>13</v>
      </c>
      <c r="B15">
        <v>1.1773347298708754</v>
      </c>
      <c r="C15">
        <v>37.414745806145064</v>
      </c>
      <c r="D15">
        <v>2.1039668209328535</v>
      </c>
      <c r="E15">
        <v>19.705770296602246</v>
      </c>
      <c r="F15">
        <v>22.934451484964054</v>
      </c>
      <c r="G15">
        <v>37.184584313921818</v>
      </c>
    </row>
    <row r="16" spans="1:7" x14ac:dyDescent="0.3">
      <c r="A16">
        <v>14</v>
      </c>
      <c r="B16">
        <v>2.9491604047788731</v>
      </c>
      <c r="C16">
        <v>44.455559594267569</v>
      </c>
      <c r="D16">
        <v>2.0556795039779501</v>
      </c>
      <c r="E16">
        <v>18.643540304732408</v>
      </c>
      <c r="F16">
        <v>30.880896730021593</v>
      </c>
      <c r="G16">
        <v>20.606151935265832</v>
      </c>
    </row>
    <row r="17" spans="1:7" x14ac:dyDescent="0.3">
      <c r="A17">
        <v>15</v>
      </c>
      <c r="B17">
        <v>4.4850988831101644</v>
      </c>
      <c r="C17">
        <v>17.891906864628375</v>
      </c>
      <c r="D17">
        <v>2.3702372911547682</v>
      </c>
      <c r="E17">
        <v>14.309583381936335</v>
      </c>
      <c r="F17">
        <v>22.530713842810147</v>
      </c>
      <c r="G17">
        <v>43.334163294947786</v>
      </c>
    </row>
    <row r="18" spans="1:7" x14ac:dyDescent="0.3">
      <c r="A18">
        <v>16</v>
      </c>
      <c r="B18">
        <v>11.82602628223794</v>
      </c>
      <c r="C18">
        <v>16.600692205163998</v>
      </c>
      <c r="D18">
        <v>2.749529241153954</v>
      </c>
      <c r="E18">
        <v>7.6667875508903487</v>
      </c>
      <c r="F18">
        <v>15.377596876185779</v>
      </c>
      <c r="G18">
        <v>12.781076066790359</v>
      </c>
    </row>
    <row r="19" spans="1:7" x14ac:dyDescent="0.3">
      <c r="A19">
        <v>17</v>
      </c>
      <c r="B19">
        <v>7.0605295481030268</v>
      </c>
      <c r="C19">
        <v>8.8808761259537299</v>
      </c>
      <c r="D19">
        <v>3.2008767192036482</v>
      </c>
      <c r="E19">
        <v>8.9820541328670735</v>
      </c>
      <c r="F19">
        <v>13.284773189654887</v>
      </c>
      <c r="G19">
        <v>11.52316972854401</v>
      </c>
    </row>
    <row r="20" spans="1:7" x14ac:dyDescent="0.3">
      <c r="A20">
        <v>18</v>
      </c>
      <c r="B20">
        <v>13.782426644418361</v>
      </c>
      <c r="C20">
        <v>6.9418514583349848</v>
      </c>
      <c r="D20">
        <v>4.5014367078072235</v>
      </c>
      <c r="E20">
        <v>13.390001428038984</v>
      </c>
      <c r="F20">
        <v>10.36098418551623</v>
      </c>
      <c r="G20">
        <v>17.965941783438666</v>
      </c>
    </row>
    <row r="21" spans="1:7" x14ac:dyDescent="0.3">
      <c r="A21">
        <v>19</v>
      </c>
      <c r="B21">
        <v>15.807641978539648</v>
      </c>
      <c r="C21">
        <v>9.9663738908673203</v>
      </c>
      <c r="D21">
        <v>5.2679743445129912</v>
      </c>
      <c r="E21">
        <v>21.305103246876133</v>
      </c>
      <c r="F21">
        <v>11.714763880268967</v>
      </c>
      <c r="G21">
        <v>13.556879257813844</v>
      </c>
    </row>
    <row r="22" spans="1:7" x14ac:dyDescent="0.3">
      <c r="A22">
        <v>20</v>
      </c>
      <c r="B22">
        <v>12.915202205565386</v>
      </c>
      <c r="C22">
        <v>11.255607953992094</v>
      </c>
      <c r="D22">
        <v>7.2732108454914384</v>
      </c>
      <c r="E22">
        <v>16.710714557753253</v>
      </c>
      <c r="F22">
        <v>9.4574149585727056</v>
      </c>
      <c r="G22">
        <v>58.752145002144971</v>
      </c>
    </row>
    <row r="23" spans="1:7" x14ac:dyDescent="0.3">
      <c r="A23">
        <v>21</v>
      </c>
      <c r="B23">
        <v>6.2811033818667692</v>
      </c>
      <c r="C23">
        <v>11.745994335895769</v>
      </c>
      <c r="D23">
        <v>7.7125120695492511</v>
      </c>
      <c r="E23">
        <v>33.855968150191053</v>
      </c>
      <c r="F23">
        <v>5.388900294676179</v>
      </c>
      <c r="G23">
        <v>11.460317460317453</v>
      </c>
    </row>
    <row r="24" spans="1:7" x14ac:dyDescent="0.3">
      <c r="A24">
        <v>22</v>
      </c>
      <c r="B24">
        <v>10.320997995991977</v>
      </c>
      <c r="C24">
        <v>14.220962330166781</v>
      </c>
      <c r="D24">
        <v>8.2226648252994181</v>
      </c>
      <c r="E24">
        <v>13.984026324759032</v>
      </c>
      <c r="F24">
        <v>6.6690976542395202</v>
      </c>
      <c r="G24">
        <v>10.594534650843315</v>
      </c>
    </row>
    <row r="25" spans="1:7" x14ac:dyDescent="0.3">
      <c r="A25">
        <v>23</v>
      </c>
      <c r="B25">
        <v>9.6512276207441143</v>
      </c>
      <c r="C25">
        <v>5.904579603539041</v>
      </c>
      <c r="D25">
        <v>3.0333957130200799</v>
      </c>
      <c r="E25">
        <v>10.606567313920076</v>
      </c>
      <c r="F25">
        <v>7.954707371432109</v>
      </c>
      <c r="G25">
        <v>4.6999426276534688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G35" sqref="G35"/>
    </sheetView>
  </sheetViews>
  <sheetFormatPr defaultRowHeight="14" x14ac:dyDescent="0.3"/>
  <cols>
    <col min="2" max="2" width="16.25" bestFit="1" customWidth="1"/>
    <col min="3" max="7" width="16.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3" t="s">
        <v>35</v>
      </c>
    </row>
    <row r="2" spans="1:8" x14ac:dyDescent="0.3">
      <c r="A2" s="3">
        <v>0</v>
      </c>
      <c r="B2" s="4">
        <v>6.7142857142857144</v>
      </c>
      <c r="C2" s="3">
        <v>8.1065573770491799</v>
      </c>
      <c r="D2" s="3">
        <v>7.6684931506849319</v>
      </c>
      <c r="E2" s="3">
        <v>8.6</v>
      </c>
      <c r="F2" s="3">
        <v>8.882191780821918</v>
      </c>
      <c r="G2" s="3">
        <v>7.4714285714285715</v>
      </c>
      <c r="H2" s="24">
        <f>AVERAGE(B2:G2)</f>
        <v>7.9071594323783856</v>
      </c>
    </row>
    <row r="3" spans="1:8" x14ac:dyDescent="0.3">
      <c r="A3" s="3">
        <v>1</v>
      </c>
      <c r="B3" s="4">
        <v>6.5238095238095237</v>
      </c>
      <c r="C3" s="3">
        <v>6.6803278688524594</v>
      </c>
      <c r="D3" s="3">
        <v>6.7424657534246579</v>
      </c>
      <c r="E3" s="3">
        <v>7.3726027397260276</v>
      </c>
      <c r="F3" s="3">
        <v>7.2767123287671236</v>
      </c>
      <c r="G3" s="3">
        <v>6.4285714285714288</v>
      </c>
      <c r="H3" s="24">
        <f t="shared" ref="H3:H25" si="0">AVERAGE(B3:G3)</f>
        <v>6.8374149405252034</v>
      </c>
    </row>
    <row r="4" spans="1:8" x14ac:dyDescent="0.3">
      <c r="A4" s="3">
        <v>2</v>
      </c>
      <c r="B4" s="4">
        <v>5.666666666666667</v>
      </c>
      <c r="C4" s="3">
        <v>6.0519125683060109</v>
      </c>
      <c r="D4" s="3">
        <v>6.4438356164383563</v>
      </c>
      <c r="E4" s="3">
        <v>6.6109589041095891</v>
      </c>
      <c r="F4" s="3">
        <v>6.5260273972602736</v>
      </c>
      <c r="G4" s="3">
        <v>5.5619047619047617</v>
      </c>
      <c r="H4" s="24">
        <f t="shared" si="0"/>
        <v>6.1435509857809434</v>
      </c>
    </row>
    <row r="5" spans="1:8" x14ac:dyDescent="0.3">
      <c r="A5" s="3">
        <v>3</v>
      </c>
      <c r="B5" s="4">
        <v>5.8095238095238093</v>
      </c>
      <c r="C5" s="3">
        <v>5.5737704918032787</v>
      </c>
      <c r="D5" s="3">
        <v>5.4767123287671229</v>
      </c>
      <c r="E5" s="3">
        <v>5.9013698630136986</v>
      </c>
      <c r="F5" s="3">
        <v>5.8219178082191778</v>
      </c>
      <c r="G5" s="3">
        <v>4.9333333333333336</v>
      </c>
      <c r="H5" s="24">
        <f t="shared" si="0"/>
        <v>5.586104605776737</v>
      </c>
    </row>
    <row r="6" spans="1:8" x14ac:dyDescent="0.3">
      <c r="A6" s="3">
        <v>4</v>
      </c>
      <c r="B6" s="4">
        <v>4.9523809523809526</v>
      </c>
      <c r="C6" s="3">
        <v>5.4316939890710385</v>
      </c>
      <c r="D6" s="3">
        <v>5.2739726027397262</v>
      </c>
      <c r="E6" s="3">
        <v>5.8684931506849312</v>
      </c>
      <c r="F6" s="3">
        <v>5.3698630136986303</v>
      </c>
      <c r="G6" s="3">
        <v>5.4238095238095241</v>
      </c>
      <c r="H6" s="24">
        <f t="shared" si="0"/>
        <v>5.3867022053974667</v>
      </c>
    </row>
    <row r="7" spans="1:8" x14ac:dyDescent="0.3">
      <c r="A7" s="3">
        <v>5</v>
      </c>
      <c r="B7" s="4">
        <v>6.5238095238095237</v>
      </c>
      <c r="C7" s="3">
        <v>6.5355191256830603</v>
      </c>
      <c r="D7" s="3">
        <v>6.8493150684931505</v>
      </c>
      <c r="E7" s="3">
        <v>7.1589041095890407</v>
      </c>
      <c r="F7" s="3">
        <v>7.3561643835616435</v>
      </c>
      <c r="G7" s="3">
        <v>6.3904761904761909</v>
      </c>
      <c r="H7" s="24">
        <f t="shared" si="0"/>
        <v>6.8023647336021016</v>
      </c>
    </row>
    <row r="8" spans="1:8" x14ac:dyDescent="0.3">
      <c r="A8" s="3">
        <v>6</v>
      </c>
      <c r="B8" s="4">
        <v>9.2380952380952372</v>
      </c>
      <c r="C8" s="3">
        <v>10.081967213114755</v>
      </c>
      <c r="D8" s="3">
        <v>10.27945205479452</v>
      </c>
      <c r="E8" s="3">
        <v>10.857534246575343</v>
      </c>
      <c r="F8" s="3">
        <v>10.616438356164384</v>
      </c>
      <c r="G8" s="3">
        <v>8.2619047619047628</v>
      </c>
      <c r="H8" s="24">
        <f t="shared" si="0"/>
        <v>9.889231978441499</v>
      </c>
    </row>
    <row r="9" spans="1:8" x14ac:dyDescent="0.3">
      <c r="A9" s="5">
        <v>7</v>
      </c>
      <c r="B9" s="6">
        <v>13.285714285714286</v>
      </c>
      <c r="C9" s="5">
        <v>16.325136612021858</v>
      </c>
      <c r="D9" s="5">
        <v>15.915068493150685</v>
      </c>
      <c r="E9" s="5">
        <v>17.13150684931507</v>
      </c>
      <c r="F9" s="5">
        <v>16.805479452054794</v>
      </c>
      <c r="G9" s="5">
        <v>11.942857142857143</v>
      </c>
      <c r="H9" s="24">
        <f t="shared" si="0"/>
        <v>15.234293805852309</v>
      </c>
    </row>
    <row r="10" spans="1:8" x14ac:dyDescent="0.3">
      <c r="A10" s="5">
        <v>8</v>
      </c>
      <c r="B10" s="6">
        <v>16.333333333333332</v>
      </c>
      <c r="C10" s="5">
        <v>19.765027322404372</v>
      </c>
      <c r="D10" s="5">
        <v>19.284931506849315</v>
      </c>
      <c r="E10" s="5">
        <v>21.547945205479451</v>
      </c>
      <c r="F10" s="5">
        <v>20.967123287671232</v>
      </c>
      <c r="G10" s="5">
        <v>15.385714285714286</v>
      </c>
      <c r="H10" s="24">
        <f t="shared" si="0"/>
        <v>18.880679156908666</v>
      </c>
    </row>
    <row r="11" spans="1:8" x14ac:dyDescent="0.3">
      <c r="A11" s="8">
        <v>9</v>
      </c>
      <c r="B11" s="7">
        <v>18</v>
      </c>
      <c r="C11" s="8">
        <v>21.226775956284154</v>
      </c>
      <c r="D11" s="8">
        <v>20.4986301369863</v>
      </c>
      <c r="E11" s="8">
        <v>22.098630136986301</v>
      </c>
      <c r="F11" s="8">
        <v>22.397260273972602</v>
      </c>
      <c r="G11" s="8">
        <v>17.071428571428573</v>
      </c>
      <c r="H11" s="24">
        <f t="shared" si="0"/>
        <v>20.215454179276321</v>
      </c>
    </row>
    <row r="12" spans="1:8" x14ac:dyDescent="0.3">
      <c r="A12" s="8">
        <v>10</v>
      </c>
      <c r="B12" s="7">
        <v>19.666666666666668</v>
      </c>
      <c r="C12" s="8">
        <v>21.311475409836067</v>
      </c>
      <c r="D12" s="8">
        <v>21.841095890410958</v>
      </c>
      <c r="E12" s="8">
        <v>22.413698630136988</v>
      </c>
      <c r="F12" s="8">
        <v>22.356164383561644</v>
      </c>
      <c r="G12" s="8">
        <v>19.223809523809525</v>
      </c>
      <c r="H12" s="24">
        <f t="shared" si="0"/>
        <v>21.135485084070307</v>
      </c>
    </row>
    <row r="13" spans="1:8" x14ac:dyDescent="0.3">
      <c r="A13" s="8">
        <v>11</v>
      </c>
      <c r="B13" s="7">
        <v>20.80952380952381</v>
      </c>
      <c r="C13" s="8">
        <v>22.131147540983605</v>
      </c>
      <c r="D13" s="8">
        <v>22.383561643835616</v>
      </c>
      <c r="E13" s="8">
        <v>23.632876712328766</v>
      </c>
      <c r="F13" s="8">
        <v>23.326027397260273</v>
      </c>
      <c r="G13" s="8">
        <v>20.057142857142857</v>
      </c>
      <c r="H13" s="24">
        <f t="shared" si="0"/>
        <v>22.056713326845824</v>
      </c>
    </row>
    <row r="14" spans="1:8" x14ac:dyDescent="0.3">
      <c r="A14" s="8">
        <v>12</v>
      </c>
      <c r="B14" s="7">
        <v>23</v>
      </c>
      <c r="C14" s="8">
        <v>23.505464480874316</v>
      </c>
      <c r="D14" s="8">
        <v>22.893150684931506</v>
      </c>
      <c r="E14" s="8">
        <v>24.887671232876713</v>
      </c>
      <c r="F14" s="8">
        <v>24.43013698630137</v>
      </c>
      <c r="G14" s="8">
        <v>22.090476190476192</v>
      </c>
      <c r="H14" s="24">
        <f t="shared" si="0"/>
        <v>23.467816595910012</v>
      </c>
    </row>
    <row r="15" spans="1:8" x14ac:dyDescent="0.3">
      <c r="A15" s="8">
        <v>13</v>
      </c>
      <c r="B15" s="7">
        <v>22.476190476190474</v>
      </c>
      <c r="C15" s="8">
        <v>23.005464480874316</v>
      </c>
      <c r="D15" s="8">
        <v>22.986301369863014</v>
      </c>
      <c r="E15" s="8">
        <v>25.213698630136985</v>
      </c>
      <c r="F15" s="8">
        <v>23.761643835616439</v>
      </c>
      <c r="G15" s="8">
        <v>21.985714285714284</v>
      </c>
      <c r="H15" s="24">
        <f t="shared" si="0"/>
        <v>23.238168846399251</v>
      </c>
    </row>
    <row r="16" spans="1:8" x14ac:dyDescent="0.3">
      <c r="A16" s="8">
        <v>14</v>
      </c>
      <c r="B16" s="7">
        <v>22.61904761904762</v>
      </c>
      <c r="C16" s="8">
        <v>23.355191256830601</v>
      </c>
      <c r="D16" s="8">
        <v>23.312328767123287</v>
      </c>
      <c r="E16" s="8">
        <v>25.654794520547945</v>
      </c>
      <c r="F16" s="8">
        <v>24.323287671232876</v>
      </c>
      <c r="G16" s="8">
        <v>21.69047619047619</v>
      </c>
      <c r="H16" s="24">
        <f t="shared" si="0"/>
        <v>23.492521004209753</v>
      </c>
    </row>
    <row r="17" spans="1:8" x14ac:dyDescent="0.3">
      <c r="A17" s="8">
        <v>15</v>
      </c>
      <c r="B17" s="7">
        <v>21.761904761904763</v>
      </c>
      <c r="C17" s="8">
        <v>24.538251366120218</v>
      </c>
      <c r="D17" s="8">
        <v>24.419178082191781</v>
      </c>
      <c r="E17" s="8">
        <v>26.663013698630138</v>
      </c>
      <c r="F17" s="8">
        <v>25.923287671232877</v>
      </c>
      <c r="G17" s="8">
        <v>22.338095238095239</v>
      </c>
      <c r="H17" s="24">
        <f t="shared" si="0"/>
        <v>24.273955136362503</v>
      </c>
    </row>
    <row r="18" spans="1:8" x14ac:dyDescent="0.3">
      <c r="A18" s="8">
        <v>16</v>
      </c>
      <c r="B18" s="7">
        <v>23.714285714285715</v>
      </c>
      <c r="C18" s="8">
        <v>25.215846994535518</v>
      </c>
      <c r="D18" s="8">
        <v>25.402739726027399</v>
      </c>
      <c r="E18" s="8">
        <v>27.063013698630137</v>
      </c>
      <c r="F18" s="8">
        <v>25.684931506849313</v>
      </c>
      <c r="G18" s="8">
        <v>21.614285714285714</v>
      </c>
      <c r="H18" s="24">
        <f t="shared" si="0"/>
        <v>24.782517225768967</v>
      </c>
    </row>
    <row r="19" spans="1:8" x14ac:dyDescent="0.3">
      <c r="A19" s="8">
        <v>17</v>
      </c>
      <c r="B19" s="7">
        <v>29.285714285714285</v>
      </c>
      <c r="C19" s="8">
        <v>25.8224043715847</v>
      </c>
      <c r="D19" s="8">
        <v>25.169863013698631</v>
      </c>
      <c r="E19" s="8">
        <v>27.575342465753426</v>
      </c>
      <c r="F19" s="8">
        <v>28.098630136986301</v>
      </c>
      <c r="G19" s="8">
        <v>21.566666666666666</v>
      </c>
      <c r="H19" s="24">
        <f t="shared" si="0"/>
        <v>26.253103490067332</v>
      </c>
    </row>
    <row r="20" spans="1:8" x14ac:dyDescent="0.3">
      <c r="A20" s="8">
        <v>18</v>
      </c>
      <c r="B20" s="7">
        <v>24.761904761904763</v>
      </c>
      <c r="C20" s="8">
        <v>22.051912568306012</v>
      </c>
      <c r="D20" s="8">
        <v>21.81917808219178</v>
      </c>
      <c r="E20" s="8">
        <v>23.271232876712329</v>
      </c>
      <c r="F20" s="8">
        <v>22.69041095890411</v>
      </c>
      <c r="G20" s="8">
        <v>18.88095238095238</v>
      </c>
      <c r="H20" s="24">
        <f t="shared" si="0"/>
        <v>22.245931938161892</v>
      </c>
    </row>
    <row r="21" spans="1:8" x14ac:dyDescent="0.3">
      <c r="A21" s="5">
        <v>19</v>
      </c>
      <c r="B21" s="6">
        <v>18.952380952380953</v>
      </c>
      <c r="C21" s="5">
        <v>19.26775956284153</v>
      </c>
      <c r="D21" s="5">
        <v>18.446575342465753</v>
      </c>
      <c r="E21" s="5">
        <v>19.780821917808218</v>
      </c>
      <c r="F21" s="5">
        <v>20.408219178082192</v>
      </c>
      <c r="G21" s="5">
        <v>17</v>
      </c>
      <c r="H21" s="24">
        <f t="shared" si="0"/>
        <v>18.975959492263105</v>
      </c>
    </row>
    <row r="22" spans="1:8" x14ac:dyDescent="0.3">
      <c r="A22" s="5">
        <v>20</v>
      </c>
      <c r="B22" s="6">
        <v>15.761904761904763</v>
      </c>
      <c r="C22" s="5">
        <v>16.644808743169399</v>
      </c>
      <c r="D22" s="5">
        <v>16.208219178082192</v>
      </c>
      <c r="E22" s="5">
        <v>17.345205479452055</v>
      </c>
      <c r="F22" s="5">
        <v>17.438356164383563</v>
      </c>
      <c r="G22" s="5">
        <v>14.423809523809524</v>
      </c>
      <c r="H22" s="24">
        <f t="shared" si="0"/>
        <v>16.303717308466918</v>
      </c>
    </row>
    <row r="23" spans="1:8" x14ac:dyDescent="0.3">
      <c r="A23" s="5">
        <v>21</v>
      </c>
      <c r="B23" s="6">
        <v>14.476190476190476</v>
      </c>
      <c r="C23" s="5">
        <v>14.308743169398907</v>
      </c>
      <c r="D23" s="5">
        <v>13.876712328767123</v>
      </c>
      <c r="E23" s="5">
        <v>15.342465753424657</v>
      </c>
      <c r="F23" s="5">
        <v>15.416438356164383</v>
      </c>
      <c r="G23" s="5">
        <v>13.404761904761905</v>
      </c>
      <c r="H23" s="24">
        <f t="shared" si="0"/>
        <v>14.470885331451242</v>
      </c>
    </row>
    <row r="24" spans="1:8" x14ac:dyDescent="0.3">
      <c r="A24" s="5">
        <v>22</v>
      </c>
      <c r="B24" s="6">
        <v>12.047619047619047</v>
      </c>
      <c r="C24" s="5">
        <v>12.076502732240437</v>
      </c>
      <c r="D24" s="5">
        <v>11.632876712328768</v>
      </c>
      <c r="E24" s="5">
        <v>12.520547945205479</v>
      </c>
      <c r="F24" s="5">
        <v>12.282191780821918</v>
      </c>
      <c r="G24" s="5">
        <v>11.1</v>
      </c>
      <c r="H24" s="24">
        <f t="shared" si="0"/>
        <v>11.943289703035942</v>
      </c>
    </row>
    <row r="25" spans="1:8" x14ac:dyDescent="0.3">
      <c r="A25" s="3">
        <v>23</v>
      </c>
      <c r="B25" s="4">
        <v>9.1428571428571423</v>
      </c>
      <c r="C25" s="3">
        <v>9.9480874316939882</v>
      </c>
      <c r="D25" s="3">
        <v>9.6767123287671239</v>
      </c>
      <c r="E25" s="3">
        <v>10.63013698630137</v>
      </c>
      <c r="F25" s="3">
        <v>10.383561643835616</v>
      </c>
      <c r="G25" s="3">
        <v>8.8047619047619055</v>
      </c>
      <c r="H25" s="24">
        <f t="shared" si="0"/>
        <v>9.764352906369524</v>
      </c>
    </row>
    <row r="28" spans="1:8" x14ac:dyDescent="0.3">
      <c r="A28" s="20" t="s">
        <v>37</v>
      </c>
      <c r="B28" s="20"/>
    </row>
    <row r="29" spans="1:8" x14ac:dyDescent="0.3">
      <c r="A29" s="21" t="s">
        <v>36</v>
      </c>
      <c r="B29" s="21"/>
    </row>
    <row r="30" spans="1:8" x14ac:dyDescent="0.3">
      <c r="A30" s="22" t="s">
        <v>38</v>
      </c>
      <c r="B30" s="22"/>
    </row>
  </sheetData>
  <mergeCells count="3">
    <mergeCell ref="A28:B28"/>
    <mergeCell ref="A29:B29"/>
    <mergeCell ref="A30:B30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2020</vt:lpstr>
      <vt:lpstr>2019</vt:lpstr>
      <vt:lpstr>2018</vt:lpstr>
      <vt:lpstr>2017</vt:lpstr>
      <vt:lpstr>2016</vt:lpstr>
      <vt:lpstr>2015</vt:lpstr>
      <vt:lpstr>NB_p</vt:lpstr>
      <vt:lpstr>NB_r</vt:lpstr>
      <vt:lpstr>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Yizhou Jin</cp:lastModifiedBy>
  <dcterms:modified xsi:type="dcterms:W3CDTF">2026-09-12T10:15:29Z</dcterms:modified>
</cp:coreProperties>
</file>